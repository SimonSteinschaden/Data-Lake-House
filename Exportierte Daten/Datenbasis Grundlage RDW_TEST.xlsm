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725" codeName="{DD97A8EA-9A9A-E61F-A557-7D5A7D7259CE}"/>
  <x: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AE0621F7-482B-4A05-8FC3-EB19246630C8}" xr6:coauthVersionLast="47" xr6:coauthVersionMax="47" xr10:uidLastSave="{00000000-0000-0000-0000-000000000000}"/>
  <x:bookViews>
    <x:workbookView xWindow="375" yWindow="1125" windowWidth="28800" windowHeight="15345" firstSheet="0" activeTab="2" xr2:uid="{EC2481EA-B095-425D-BA4C-2500CCE307D2}"/>
  </x:bookViews>
  <x:sheets>
    <x:sheet name="Eingabefeld" sheetId="16" r:id="rId1"/>
    <x:sheet name="Customers" sheetId="1" r:id="rId2"/>
    <x:sheet name="Buildings" sheetId="3" r:id="rId3"/>
    <x:sheet name="Mobilität" sheetId="4" r:id="rId4"/>
    <x:sheet name="Energiegemeinschaft" sheetId="2" r:id="rId5"/>
    <x:sheet name="EEGTeilnehmer" sheetId="13" r:id="rId6"/>
    <x:sheet name="Anlage" sheetId="7" r:id="rId7"/>
    <x:sheet name="Lastprofildaten" sheetId="11" r:id="rId8"/>
    <x:sheet name="Nutzung" sheetId="9" r:id="rId9"/>
    <x:sheet name="Prozesse" sheetId="12" r:id="rId10"/>
  </x:sheets>
  <x:definedNames>
    <x:definedName name="_xleta.N" hidden="1">#NAME?</x:definedName>
    <x:definedName name="Buildings">Tabelle2[#All]</x:definedName>
    <x:definedName name="Customers">Customer[#All]</x:definedName>
    <x:definedName name="DropDownFilterKriterien">Eingabefeld!$A$24:$A$25</x:definedName>
    <x:definedName name="EEGTeilnehmer">Tabelle5[#All]</x:definedName>
    <x:definedName name="Energiegemeinschaft">Tabelle4[#All]</x:definedName>
    <x:definedName name="KundenFilterKriterien">Eingabefeld!$A$28:$A$32</x:definedName>
    <x:definedName name="Mobilitaet">Tabelle3[#All]</x:definedName>
    <x:definedName name="ObjektFilterKriterien">Eingabefeld!$A$35:$A$40</x:definedName>
    <x:definedName name="Reiter">Eingabefeld!$A$10:$A$18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K2" i="16" a="1"/>
  <x:c r="K2" i="16"/>
  <x:c r="F5" i="16"/>
  <x:c r="D6" i="16" a="1"/>
  <x:c r="D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C7" i="16"/>
  <x:c r="D7" i="16" a="1"/>
  <x:c r="D7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C8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C9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C10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C11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C12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C13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C14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C15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C16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C17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C18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C19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C20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C21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C22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C23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C24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C25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C26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C27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C28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C29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C30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C31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C32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C33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C34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C35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C36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C37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C38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C39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C40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C41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C42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C43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C44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C45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C46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C47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C48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C49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C50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C51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C52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C53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C54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C55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C56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C57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C58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C59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C60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C61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C62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C63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C64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C65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C66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C67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C68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C69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C70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C71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C72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C73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C74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C75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C76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C77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C78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C79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C80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C81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C82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C83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C84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C85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C86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C87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C88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C89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C90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C91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C92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C93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C94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C95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C96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C97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C98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C99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C100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C101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C102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C103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C104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C105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C106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C107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C108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C109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C110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C111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C112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C113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C114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C115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C116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C117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C118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C119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C120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C121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C122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C123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C124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C125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C126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C127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C128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C129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C130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C131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C132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C133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C134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C135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C136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C137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C138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C139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C140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C141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C142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C143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C144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C145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C146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C147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C148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C149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C150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C151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C152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C153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C154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C155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C156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C157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C158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C159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C160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C161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C162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C163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C164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C165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C166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C167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C168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C169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C170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C171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C172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C173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C174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C175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C176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C177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C178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C179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C180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C181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C182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C183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C184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C185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A2" i="1"/>
  <x:c r="N2" i="1"/>
  <x:c r="O2" i="1"/>
  <x:c r="P2" i="1"/>
  <x:c r="Q2" i="1"/>
  <x:c r="R2" i="1"/>
  <x:c r="S2" i="1"/>
  <x:c r="T2" i="1"/>
  <x:c r="W2" i="1"/>
  <x:c r="A3" i="1"/>
  <x:c r="N3" i="1"/>
  <x:c r="O3" i="1"/>
  <x:c r="P3" i="1"/>
  <x:c r="Q3" i="1"/>
  <x:c r="R3" i="1"/>
  <x:c r="S3" i="1"/>
  <x:c r="T3" i="1"/>
  <x:c r="W3" i="1"/>
  <x:c r="A4" i="1"/>
  <x:c r="N4" i="1"/>
  <x:c r="O4" i="1"/>
  <x:c r="P4" i="1"/>
  <x:c r="Q4" i="1"/>
  <x:c r="R4" i="1"/>
  <x:c r="S4" i="1"/>
  <x:c r="T4" i="1"/>
  <x:c r="W4" i="1"/>
  <x:c r="A5" i="1"/>
  <x:c r="N5" i="1"/>
  <x:c r="O5" i="1"/>
  <x:c r="P5" i="1"/>
  <x:c r="Q5" i="1"/>
  <x:c r="R5" i="1"/>
  <x:c r="S5" i="1"/>
  <x:c r="T5" i="1"/>
  <x:c r="W5" i="1"/>
  <x:c r="A6" i="1"/>
  <x:c r="N6" i="1"/>
  <x:c r="O6" i="1"/>
  <x:c r="P6" i="1"/>
  <x:c r="Q6" i="1"/>
  <x:c r="R6" i="1"/>
  <x:c r="S6" i="1"/>
  <x:c r="T6" i="1"/>
  <x:c r="W6" i="1"/>
  <x:c r="A7" i="1"/>
  <x:c r="N7" i="1"/>
  <x:c r="O7" i="1"/>
  <x:c r="P7" i="1"/>
  <x:c r="Q7" i="1"/>
  <x:c r="R7" i="1"/>
  <x:c r="S7" i="1"/>
  <x:c r="T7" i="1"/>
  <x:c r="W7" i="1"/>
  <x:c r="A8" i="1"/>
  <x:c r="N8" i="1"/>
  <x:c r="O8" i="1"/>
  <x:c r="P8" i="1"/>
  <x:c r="Q8" i="1"/>
  <x:c r="R8" i="1"/>
  <x:c r="S8" i="1"/>
  <x:c r="T8" i="1"/>
  <x:c r="W8" i="1"/>
  <x:c r="A9" i="1"/>
  <x:c r="N9" i="1"/>
  <x:c r="O9" i="1"/>
  <x:c r="P9" i="1"/>
  <x:c r="Q9" i="1"/>
  <x:c r="R9" i="1"/>
  <x:c r="S9" i="1"/>
  <x:c r="T9" i="1"/>
  <x:c r="W9" i="1"/>
  <x:c r="A10" i="1"/>
  <x:c r="N10" i="1"/>
  <x:c r="O10" i="1"/>
  <x:c r="P10" i="1"/>
  <x:c r="Q10" i="1"/>
  <x:c r="R10" i="1"/>
  <x:c r="S10" i="1"/>
  <x:c r="T10" i="1"/>
  <x:c r="W10" i="1"/>
  <x:c r="A11" i="1"/>
  <x:c r="N11" i="1"/>
  <x:c r="O11" i="1"/>
  <x:c r="P11" i="1"/>
  <x:c r="Q11" i="1"/>
  <x:c r="R11" i="1"/>
  <x:c r="S11" i="1"/>
  <x:c r="T11" i="1"/>
  <x:c r="W11" i="1"/>
  <x:c r="A12" i="1"/>
  <x:c r="N12" i="1"/>
  <x:c r="O12" i="1"/>
  <x:c r="P12" i="1"/>
  <x:c r="Q12" i="1"/>
  <x:c r="R12" i="1"/>
  <x:c r="S12" i="1"/>
  <x:c r="T12" i="1"/>
  <x:c r="W12" i="1"/>
  <x:c r="A13" i="1"/>
  <x:c r="N13" i="1"/>
  <x:c r="O13" i="1"/>
  <x:c r="P13" i="1"/>
  <x:c r="Q13" i="1"/>
  <x:c r="R13" i="1"/>
  <x:c r="S13" i="1"/>
  <x:c r="T13" i="1"/>
  <x:c r="W13" i="1"/>
  <x:c r="A14" i="1"/>
  <x:c r="N14" i="1"/>
  <x:c r="O14" i="1"/>
  <x:c r="P14" i="1"/>
  <x:c r="Q14" i="1"/>
  <x:c r="R14" i="1"/>
  <x:c r="S14" i="1"/>
  <x:c r="T14" i="1"/>
  <x:c r="W14" i="1"/>
  <x:c r="A15" i="1"/>
  <x:c r="N15" i="1"/>
  <x:c r="O15" i="1"/>
  <x:c r="P15" i="1"/>
  <x:c r="Q15" i="1"/>
  <x:c r="R15" i="1"/>
  <x:c r="S15" i="1"/>
  <x:c r="T15" i="1"/>
  <x:c r="W15" i="1"/>
  <x:c r="A16" i="1"/>
  <x:c r="N16" i="1"/>
  <x:c r="O16" i="1"/>
  <x:c r="P16" i="1"/>
  <x:c r="Q16" i="1"/>
  <x:c r="R16" i="1"/>
  <x:c r="S16" i="1"/>
  <x:c r="T16" i="1"/>
  <x:c r="W16" i="1"/>
  <x:c r="A17" i="1"/>
  <x:c r="N17" i="1"/>
  <x:c r="O17" i="1"/>
  <x:c r="P17" i="1"/>
  <x:c r="Q17" i="1"/>
  <x:c r="R17" i="1"/>
  <x:c r="S17" i="1"/>
  <x:c r="T17" i="1"/>
  <x:c r="W17" i="1"/>
  <x:c r="A18" i="1"/>
  <x:c r="N18" i="1"/>
  <x:c r="O18" i="1"/>
  <x:c r="P18" i="1"/>
  <x:c r="Q18" i="1"/>
  <x:c r="R18" i="1"/>
  <x:c r="S18" i="1"/>
  <x:c r="T18" i="1"/>
  <x:c r="W18" i="1"/>
  <x:c r="A19" i="1"/>
  <x:c r="N19" i="1"/>
  <x:c r="O19" i="1"/>
  <x:c r="P19" i="1"/>
  <x:c r="Q19" i="1"/>
  <x:c r="R19" i="1"/>
  <x:c r="S19" i="1"/>
  <x:c r="T19" i="1"/>
  <x:c r="W19" i="1"/>
  <x:c r="A20" i="1"/>
  <x:c r="N20" i="1"/>
  <x:c r="O20" i="1"/>
  <x:c r="P20" i="1"/>
  <x:c r="Q20" i="1"/>
  <x:c r="R20" i="1"/>
  <x:c r="S20" i="1"/>
  <x:c r="T20" i="1"/>
  <x:c r="W20" i="1"/>
  <x:c r="A21" i="1"/>
  <x:c r="N21" i="1"/>
  <x:c r="O21" i="1"/>
  <x:c r="P21" i="1"/>
  <x:c r="Q21" i="1"/>
  <x:c r="R21" i="1"/>
  <x:c r="S21" i="1"/>
  <x:c r="T21" i="1"/>
  <x:c r="W21" i="1"/>
  <x:c r="A22" i="1"/>
  <x:c r="N22" i="1"/>
  <x:c r="O22" i="1"/>
  <x:c r="P22" i="1"/>
  <x:c r="Q22" i="1"/>
  <x:c r="R22" i="1"/>
  <x:c r="S22" i="1"/>
  <x:c r="T22" i="1"/>
  <x:c r="W22" i="1"/>
  <x:c r="A23" i="1"/>
  <x:c r="N23" i="1"/>
  <x:c r="O23" i="1"/>
  <x:c r="P23" i="1"/>
  <x:c r="Q23" i="1"/>
  <x:c r="R23" i="1"/>
  <x:c r="S23" i="1"/>
  <x:c r="T23" i="1"/>
  <x:c r="W23" i="1"/>
  <x:c r="A24" i="1"/>
  <x:c r="N24" i="1"/>
  <x:c r="O24" i="1"/>
  <x:c r="P24" i="1"/>
  <x:c r="Q24" i="1"/>
  <x:c r="R24" i="1"/>
  <x:c r="S24" i="1"/>
  <x:c r="T24" i="1"/>
  <x:c r="W24" i="1"/>
  <x:c r="A25" i="1"/>
  <x:c r="N25" i="1"/>
  <x:c r="O25" i="1"/>
  <x:c r="P25" i="1"/>
  <x:c r="Q25" i="1"/>
  <x:c r="R25" i="1"/>
  <x:c r="S25" i="1"/>
  <x:c r="T25" i="1"/>
  <x:c r="W25" i="1"/>
  <x:c r="A26" i="1"/>
  <x:c r="N26" i="1"/>
  <x:c r="O26" i="1"/>
  <x:c r="P26" i="1"/>
  <x:c r="Q26" i="1"/>
  <x:c r="R26" i="1"/>
  <x:c r="S26" i="1"/>
  <x:c r="T26" i="1"/>
  <x:c r="W26" i="1"/>
  <x:c r="A27" i="1"/>
  <x:c r="N27" i="1"/>
  <x:c r="O27" i="1"/>
  <x:c r="P27" i="1"/>
  <x:c r="Q27" i="1"/>
  <x:c r="R27" i="1"/>
  <x:c r="S27" i="1"/>
  <x:c r="T27" i="1"/>
  <x:c r="W27" i="1"/>
  <x:c r="A28" i="1"/>
  <x:c r="N28" i="1"/>
  <x:c r="O28" i="1"/>
  <x:c r="P28" i="1"/>
  <x:c r="Q28" i="1"/>
  <x:c r="R28" i="1"/>
  <x:c r="S28" i="1"/>
  <x:c r="T28" i="1"/>
  <x:c r="W28" i="1"/>
  <x:c r="A29" i="1"/>
  <x:c r="N29" i="1"/>
  <x:c r="O29" i="1"/>
  <x:c r="P29" i="1"/>
  <x:c r="Q29" i="1"/>
  <x:c r="R29" i="1"/>
  <x:c r="S29" i="1"/>
  <x:c r="T29" i="1"/>
  <x:c r="W29" i="1"/>
  <x:c r="A30" i="1"/>
  <x:c r="N30" i="1"/>
  <x:c r="O30" i="1"/>
  <x:c r="P30" i="1"/>
  <x:c r="Q30" i="1"/>
  <x:c r="R30" i="1"/>
  <x:c r="S30" i="1"/>
  <x:c r="T30" i="1"/>
  <x:c r="W30" i="1"/>
  <x:c r="A31" i="1"/>
  <x:c r="N31" i="1"/>
  <x:c r="O31" i="1"/>
  <x:c r="P31" i="1"/>
  <x:c r="Q31" i="1"/>
  <x:c r="R31" i="1"/>
  <x:c r="S31" i="1"/>
  <x:c r="T31" i="1"/>
  <x:c r="W31" i="1"/>
  <x:c r="A32" i="1"/>
  <x:c r="N32" i="1"/>
  <x:c r="O32" i="1"/>
  <x:c r="P32" i="1"/>
  <x:c r="Q32" i="1"/>
  <x:c r="R32" i="1"/>
  <x:c r="S32" i="1"/>
  <x:c r="T32" i="1"/>
  <x:c r="W32" i="1"/>
  <x:c r="A33" i="1"/>
  <x:c r="N33" i="1"/>
  <x:c r="O33" i="1"/>
  <x:c r="P33" i="1"/>
  <x:c r="Q33" i="1"/>
  <x:c r="R33" i="1"/>
  <x:c r="S33" i="1"/>
  <x:c r="T33" i="1"/>
  <x:c r="W33" i="1"/>
  <x:c r="A34" i="1"/>
  <x:c r="N34" i="1"/>
  <x:c r="O34" i="1"/>
  <x:c r="P34" i="1"/>
  <x:c r="Q34" i="1"/>
  <x:c r="R34" i="1"/>
  <x:c r="S34" i="1"/>
  <x:c r="T34" i="1"/>
  <x:c r="W34" i="1"/>
  <x:c r="A35" i="1"/>
  <x:c r="N35" i="1"/>
  <x:c r="O35" i="1"/>
  <x:c r="P35" i="1"/>
  <x:c r="Q35" i="1"/>
  <x:c r="R35" i="1"/>
  <x:c r="S35" i="1"/>
  <x:c r="T35" i="1"/>
  <x:c r="W35" i="1"/>
  <x:c r="A36" i="1"/>
  <x:c r="N36" i="1"/>
  <x:c r="O36" i="1"/>
  <x:c r="P36" i="1"/>
  <x:c r="Q36" i="1"/>
  <x:c r="R36" i="1"/>
  <x:c r="S36" i="1"/>
  <x:c r="T36" i="1"/>
  <x:c r="W36" i="1"/>
  <x:c r="A37" i="1"/>
  <x:c r="N37" i="1"/>
  <x:c r="O37" i="1"/>
  <x:c r="P37" i="1"/>
  <x:c r="Q37" i="1"/>
  <x:c r="R37" i="1"/>
  <x:c r="S37" i="1"/>
  <x:c r="T37" i="1"/>
  <x:c r="W37" i="1"/>
  <x:c r="A38" i="1"/>
  <x:c r="N38" i="1"/>
  <x:c r="O38" i="1"/>
  <x:c r="P38" i="1"/>
  <x:c r="Q38" i="1"/>
  <x:c r="R38" i="1"/>
  <x:c r="S38" i="1"/>
  <x:c r="T38" i="1"/>
  <x:c r="W38" i="1"/>
  <x:c r="A39" i="1"/>
  <x:c r="N39" i="1"/>
  <x:c r="O39" i="1"/>
  <x:c r="P39" i="1"/>
  <x:c r="Q39" i="1"/>
  <x:c r="R39" i="1"/>
  <x:c r="S39" i="1"/>
  <x:c r="T39" i="1"/>
  <x:c r="W39" i="1"/>
  <x:c r="A40" i="1"/>
  <x:c r="N40" i="1"/>
  <x:c r="O40" i="1"/>
  <x:c r="P40" i="1"/>
  <x:c r="Q40" i="1"/>
  <x:c r="R40" i="1"/>
  <x:c r="S40" i="1"/>
  <x:c r="T40" i="1"/>
  <x:c r="W40" i="1"/>
  <x:c r="A41" i="1"/>
  <x:c r="N41" i="1"/>
  <x:c r="O41" i="1"/>
  <x:c r="P41" i="1"/>
  <x:c r="Q41" i="1"/>
  <x:c r="R41" i="1"/>
  <x:c r="S41" i="1"/>
  <x:c r="T41" i="1"/>
  <x:c r="W41" i="1"/>
  <x:c r="A42" i="1"/>
  <x:c r="N42" i="1"/>
  <x:c r="O42" i="1"/>
  <x:c r="P42" i="1"/>
  <x:c r="Q42" i="1"/>
  <x:c r="R42" i="1"/>
  <x:c r="S42" i="1"/>
  <x:c r="T42" i="1"/>
  <x:c r="W42" i="1"/>
  <x:c r="A43" i="1"/>
  <x:c r="N43" i="1"/>
  <x:c r="O43" i="1"/>
  <x:c r="P43" i="1"/>
  <x:c r="Q43" i="1"/>
  <x:c r="R43" i="1"/>
  <x:c r="S43" i="1"/>
  <x:c r="T43" i="1"/>
  <x:c r="W43" i="1"/>
  <x:c r="A44" i="1"/>
  <x:c r="N44" i="1"/>
  <x:c r="O44" i="1"/>
  <x:c r="P44" i="1"/>
  <x:c r="Q44" i="1"/>
  <x:c r="R44" i="1"/>
  <x:c r="S44" i="1"/>
  <x:c r="T44" i="1"/>
  <x:c r="W44" i="1"/>
  <x:c r="A45" i="1"/>
  <x:c r="N45" i="1"/>
  <x:c r="O45" i="1"/>
  <x:c r="P45" i="1"/>
  <x:c r="Q45" i="1"/>
  <x:c r="R45" i="1"/>
  <x:c r="S45" i="1"/>
  <x:c r="T45" i="1"/>
  <x:c r="W45" i="1"/>
  <x:c r="A46" i="1"/>
  <x:c r="N46" i="1"/>
  <x:c r="O46" i="1"/>
  <x:c r="P46" i="1"/>
  <x:c r="Q46" i="1"/>
  <x:c r="R46" i="1"/>
  <x:c r="S46" i="1"/>
  <x:c r="T46" i="1"/>
  <x:c r="W46" i="1"/>
  <x:c r="A47" i="1"/>
  <x:c r="N47" i="1"/>
  <x:c r="O47" i="1"/>
  <x:c r="P47" i="1"/>
  <x:c r="Q47" i="1"/>
  <x:c r="R47" i="1"/>
  <x:c r="S47" i="1"/>
  <x:c r="T47" i="1"/>
  <x:c r="W47" i="1"/>
  <x:c r="A48" i="1"/>
  <x:c r="N48" i="1"/>
  <x:c r="O48" i="1"/>
  <x:c r="P48" i="1"/>
  <x:c r="Q48" i="1"/>
  <x:c r="R48" i="1"/>
  <x:c r="S48" i="1"/>
  <x:c r="T48" i="1"/>
  <x:c r="W48" i="1"/>
  <x:c r="A49" i="1"/>
  <x:c r="N49" i="1"/>
  <x:c r="O49" i="1"/>
  <x:c r="P49" i="1"/>
  <x:c r="Q49" i="1"/>
  <x:c r="R49" i="1"/>
  <x:c r="S49" i="1"/>
  <x:c r="T49" i="1"/>
  <x:c r="W49" i="1"/>
  <x:c r="A50" i="1"/>
  <x:c r="N50" i="1"/>
  <x:c r="O50" i="1"/>
  <x:c r="P50" i="1"/>
  <x:c r="Q50" i="1"/>
  <x:c r="R50" i="1"/>
  <x:c r="S50" i="1"/>
  <x:c r="T50" i="1"/>
  <x:c r="W50" i="1"/>
  <x:c r="A51" i="1"/>
  <x:c r="N51" i="1"/>
  <x:c r="O51" i="1"/>
  <x:c r="P51" i="1"/>
  <x:c r="Q51" i="1"/>
  <x:c r="R51" i="1"/>
  <x:c r="S51" i="1"/>
  <x:c r="T51" i="1"/>
  <x:c r="W51" i="1"/>
  <x:c r="A52" i="1"/>
  <x:c r="N52" i="1"/>
  <x:c r="O52" i="1"/>
  <x:c r="P52" i="1"/>
  <x:c r="Q52" i="1"/>
  <x:c r="R52" i="1"/>
  <x:c r="S52" i="1"/>
  <x:c r="T52" i="1"/>
  <x:c r="W52" i="1"/>
  <x:c r="A53" i="1"/>
  <x:c r="N53" i="1"/>
  <x:c r="O53" i="1"/>
  <x:c r="P53" i="1"/>
  <x:c r="Q53" i="1"/>
  <x:c r="R53" i="1"/>
  <x:c r="S53" i="1"/>
  <x:c r="T53" i="1"/>
  <x:c r="W53" i="1"/>
  <x:c r="A54" i="1"/>
  <x:c r="N54" i="1"/>
  <x:c r="O54" i="1"/>
  <x:c r="P54" i="1"/>
  <x:c r="Q54" i="1"/>
  <x:c r="R54" i="1"/>
  <x:c r="S54" i="1"/>
  <x:c r="T54" i="1"/>
  <x:c r="W54" i="1"/>
  <x:c r="A55" i="1"/>
  <x:c r="N55" i="1"/>
  <x:c r="O55" i="1"/>
  <x:c r="P55" i="1"/>
  <x:c r="Q55" i="1"/>
  <x:c r="R55" i="1"/>
  <x:c r="S55" i="1"/>
  <x:c r="T55" i="1"/>
  <x:c r="W55" i="1"/>
  <x:c r="A56" i="1"/>
  <x:c r="N56" i="1"/>
  <x:c r="O56" i="1"/>
  <x:c r="P56" i="1"/>
  <x:c r="Q56" i="1"/>
  <x:c r="R56" i="1"/>
  <x:c r="S56" i="1"/>
  <x:c r="T56" i="1"/>
  <x:c r="W56" i="1"/>
  <x:c r="A57" i="1"/>
  <x:c r="N57" i="1"/>
  <x:c r="O57" i="1"/>
  <x:c r="P57" i="1"/>
  <x:c r="Q57" i="1"/>
  <x:c r="R57" i="1"/>
  <x:c r="S57" i="1"/>
  <x:c r="T57" i="1"/>
  <x:c r="W57" i="1"/>
  <x:c r="A58" i="1"/>
  <x:c r="N58" i="1"/>
  <x:c r="O58" i="1"/>
  <x:c r="P58" i="1"/>
  <x:c r="Q58" i="1"/>
  <x:c r="R58" i="1"/>
  <x:c r="S58" i="1"/>
  <x:c r="T58" i="1"/>
  <x:c r="W58" i="1"/>
  <x:c r="A59" i="1"/>
  <x:c r="N59" i="1"/>
  <x:c r="O59" i="1"/>
  <x:c r="P59" i="1"/>
  <x:c r="Q59" i="1"/>
  <x:c r="R59" i="1"/>
  <x:c r="S59" i="1"/>
  <x:c r="T59" i="1"/>
  <x:c r="W59" i="1"/>
  <x:c r="A60" i="1"/>
  <x:c r="N60" i="1"/>
  <x:c r="O60" i="1"/>
  <x:c r="P60" i="1"/>
  <x:c r="Q60" i="1"/>
  <x:c r="R60" i="1"/>
  <x:c r="S60" i="1"/>
  <x:c r="T60" i="1"/>
  <x:c r="W60" i="1"/>
  <x:c r="A61" i="1"/>
  <x:c r="N61" i="1"/>
  <x:c r="O61" i="1"/>
  <x:c r="P61" i="1"/>
  <x:c r="Q61" i="1"/>
  <x:c r="R61" i="1"/>
  <x:c r="S61" i="1"/>
  <x:c r="T61" i="1"/>
  <x:c r="W61" i="1"/>
  <x:c r="A62" i="1"/>
  <x:c r="N62" i="1"/>
  <x:c r="O62" i="1"/>
  <x:c r="P62" i="1"/>
  <x:c r="Q62" i="1"/>
  <x:c r="R62" i="1"/>
  <x:c r="S62" i="1"/>
  <x:c r="T62" i="1"/>
  <x:c r="W62" i="1"/>
  <x:c r="A63" i="1"/>
  <x:c r="N63" i="1"/>
  <x:c r="O63" i="1"/>
  <x:c r="P63" i="1"/>
  <x:c r="Q63" i="1"/>
  <x:c r="R63" i="1"/>
  <x:c r="S63" i="1"/>
  <x:c r="T63" i="1"/>
  <x:c r="W63" i="1"/>
  <x:c r="A64" i="1"/>
  <x:c r="N64" i="1"/>
  <x:c r="O64" i="1"/>
  <x:c r="P64" i="1"/>
  <x:c r="Q64" i="1"/>
  <x:c r="R64" i="1"/>
  <x:c r="S64" i="1"/>
  <x:c r="T64" i="1"/>
  <x:c r="W64" i="1"/>
  <x:c r="A65" i="1"/>
  <x:c r="N65" i="1"/>
  <x:c r="O65" i="1"/>
  <x:c r="P65" i="1"/>
  <x:c r="Q65" i="1"/>
  <x:c r="R65" i="1"/>
  <x:c r="S65" i="1"/>
  <x:c r="T65" i="1"/>
  <x:c r="W65" i="1"/>
  <x:c r="A66" i="1"/>
  <x:c r="N66" i="1"/>
  <x:c r="O66" i="1"/>
  <x:c r="P66" i="1"/>
  <x:c r="Q66" i="1"/>
  <x:c r="R66" i="1"/>
  <x:c r="S66" i="1"/>
  <x:c r="T66" i="1"/>
  <x:c r="W66" i="1"/>
  <x:c r="A67" i="1"/>
  <x:c r="N67" i="1"/>
  <x:c r="O67" i="1"/>
  <x:c r="P67" i="1"/>
  <x:c r="Q67" i="1"/>
  <x:c r="R67" i="1"/>
  <x:c r="S67" i="1"/>
  <x:c r="T67" i="1"/>
  <x:c r="W67" i="1"/>
  <x:c r="A68" i="1"/>
  <x:c r="N68" i="1"/>
  <x:c r="O68" i="1"/>
  <x:c r="P68" i="1"/>
  <x:c r="Q68" i="1"/>
  <x:c r="R68" i="1"/>
  <x:c r="S68" i="1"/>
  <x:c r="T68" i="1"/>
  <x:c r="W68" i="1"/>
  <x:c r="A69" i="1"/>
  <x:c r="N69" i="1"/>
  <x:c r="O69" i="1"/>
  <x:c r="P69" i="1"/>
  <x:c r="Q69" i="1"/>
  <x:c r="R69" i="1"/>
  <x:c r="S69" i="1"/>
  <x:c r="T69" i="1"/>
  <x:c r="W69" i="1"/>
  <x:c r="A70" i="1"/>
  <x:c r="N70" i="1"/>
  <x:c r="O70" i="1"/>
  <x:c r="P70" i="1"/>
  <x:c r="Q70" i="1"/>
  <x:c r="R70" i="1"/>
  <x:c r="S70" i="1"/>
  <x:c r="T70" i="1"/>
  <x:c r="W70" i="1"/>
  <x:c r="A71" i="1"/>
  <x:c r="N71" i="1"/>
  <x:c r="O71" i="1"/>
  <x:c r="P71" i="1"/>
  <x:c r="Q71" i="1"/>
  <x:c r="R71" i="1"/>
  <x:c r="S71" i="1"/>
  <x:c r="T71" i="1"/>
  <x:c r="W71" i="1"/>
  <x:c r="A72" i="1"/>
  <x:c r="N72" i="1"/>
  <x:c r="O72" i="1"/>
  <x:c r="P72" i="1"/>
  <x:c r="Q72" i="1"/>
  <x:c r="R72" i="1"/>
  <x:c r="S72" i="1"/>
  <x:c r="T72" i="1"/>
  <x:c r="W72" i="1"/>
  <x:c r="A73" i="1"/>
  <x:c r="N73" i="1"/>
  <x:c r="O73" i="1"/>
  <x:c r="P73" i="1"/>
  <x:c r="Q73" i="1"/>
  <x:c r="R73" i="1"/>
  <x:c r="S73" i="1"/>
  <x:c r="T73" i="1"/>
  <x:c r="W73" i="1"/>
  <x:c r="A74" i="1"/>
  <x:c r="N74" i="1"/>
  <x:c r="O74" i="1"/>
  <x:c r="P74" i="1"/>
  <x:c r="Q74" i="1"/>
  <x:c r="R74" i="1"/>
  <x:c r="S74" i="1"/>
  <x:c r="T74" i="1"/>
  <x:c r="W74" i="1"/>
  <x:c r="A75" i="1"/>
  <x:c r="N75" i="1"/>
  <x:c r="O75" i="1"/>
  <x:c r="P75" i="1"/>
  <x:c r="Q75" i="1"/>
  <x:c r="R75" i="1"/>
  <x:c r="S75" i="1"/>
  <x:c r="T75" i="1"/>
  <x:c r="W75" i="1"/>
  <x:c r="A76" i="1"/>
  <x:c r="N76" i="1"/>
  <x:c r="O76" i="1"/>
  <x:c r="P76" i="1"/>
  <x:c r="Q76" i="1"/>
  <x:c r="R76" i="1"/>
  <x:c r="S76" i="1"/>
  <x:c r="T76" i="1"/>
  <x:c r="W76" i="1"/>
  <x:c r="A77" i="1"/>
  <x:c r="N77" i="1"/>
  <x:c r="O77" i="1"/>
  <x:c r="P77" i="1"/>
  <x:c r="Q77" i="1"/>
  <x:c r="R77" i="1"/>
  <x:c r="S77" i="1"/>
  <x:c r="T77" i="1"/>
  <x:c r="W77" i="1"/>
  <x:c r="A78" i="1"/>
  <x:c r="N78" i="1"/>
  <x:c r="O78" i="1"/>
  <x:c r="P78" i="1"/>
  <x:c r="Q78" i="1"/>
  <x:c r="R78" i="1"/>
  <x:c r="S78" i="1"/>
  <x:c r="T78" i="1"/>
  <x:c r="W78" i="1"/>
  <x:c r="A79" i="1"/>
  <x:c r="N79" i="1"/>
  <x:c r="O79" i="1"/>
  <x:c r="P79" i="1"/>
  <x:c r="Q79" i="1"/>
  <x:c r="R79" i="1"/>
  <x:c r="S79" i="1"/>
  <x:c r="T79" i="1"/>
  <x:c r="W79" i="1"/>
  <x:c r="A80" i="1"/>
  <x:c r="N80" i="1"/>
  <x:c r="O80" i="1"/>
  <x:c r="P80" i="1"/>
  <x:c r="Q80" i="1"/>
  <x:c r="R80" i="1"/>
  <x:c r="S80" i="1"/>
  <x:c r="T80" i="1"/>
  <x:c r="W80" i="1"/>
  <x:c r="A81" i="1"/>
  <x:c r="N81" i="1"/>
  <x:c r="O81" i="1"/>
  <x:c r="P81" i="1"/>
  <x:c r="Q81" i="1"/>
  <x:c r="R81" i="1"/>
  <x:c r="S81" i="1"/>
  <x:c r="T81" i="1"/>
  <x:c r="W81" i="1"/>
  <x:c r="A82" i="1"/>
  <x:c r="N82" i="1"/>
  <x:c r="O82" i="1"/>
  <x:c r="P82" i="1"/>
  <x:c r="Q82" i="1"/>
  <x:c r="R82" i="1"/>
  <x:c r="S82" i="1"/>
  <x:c r="T82" i="1"/>
  <x:c r="W82" i="1"/>
  <x:c r="A83" i="1"/>
  <x:c r="N83" i="1"/>
  <x:c r="O83" i="1"/>
  <x:c r="P83" i="1"/>
  <x:c r="Q83" i="1"/>
  <x:c r="R83" i="1"/>
  <x:c r="S83" i="1"/>
  <x:c r="T83" i="1"/>
  <x:c r="W83" i="1"/>
  <x:c r="A84" i="1"/>
  <x:c r="N84" i="1"/>
  <x:c r="O84" i="1"/>
  <x:c r="P84" i="1"/>
  <x:c r="Q84" i="1"/>
  <x:c r="R84" i="1"/>
  <x:c r="S84" i="1"/>
  <x:c r="T84" i="1"/>
  <x:c r="W84" i="1"/>
  <x:c r="A85" i="1"/>
  <x:c r="N85" i="1"/>
  <x:c r="O85" i="1"/>
  <x:c r="P85" i="1"/>
  <x:c r="Q85" i="1"/>
  <x:c r="R85" i="1"/>
  <x:c r="S85" i="1"/>
  <x:c r="T85" i="1"/>
  <x:c r="W85" i="1"/>
  <x:c r="A86" i="1"/>
  <x:c r="N86" i="1"/>
  <x:c r="O86" i="1"/>
  <x:c r="P86" i="1"/>
  <x:c r="Q86" i="1"/>
  <x:c r="R86" i="1"/>
  <x:c r="S86" i="1"/>
  <x:c r="T86" i="1"/>
  <x:c r="W86" i="1"/>
  <x:c r="A87" i="1"/>
  <x:c r="N87" i="1"/>
  <x:c r="O87" i="1"/>
  <x:c r="P87" i="1"/>
  <x:c r="Q87" i="1"/>
  <x:c r="R87" i="1"/>
  <x:c r="S87" i="1"/>
  <x:c r="T87" i="1"/>
  <x:c r="W87" i="1"/>
  <x:c r="A88" i="1"/>
  <x:c r="N88" i="1"/>
  <x:c r="O88" i="1"/>
  <x:c r="P88" i="1"/>
  <x:c r="Q88" i="1"/>
  <x:c r="R88" i="1"/>
  <x:c r="S88" i="1"/>
  <x:c r="T88" i="1"/>
  <x:c r="W88" i="1"/>
  <x:c r="A89" i="1"/>
  <x:c r="N89" i="1"/>
  <x:c r="O89" i="1"/>
  <x:c r="P89" i="1"/>
  <x:c r="Q89" i="1"/>
  <x:c r="R89" i="1"/>
  <x:c r="S89" i="1"/>
  <x:c r="T89" i="1"/>
  <x:c r="W89" i="1"/>
  <x:c r="A90" i="1"/>
  <x:c r="N90" i="1"/>
  <x:c r="O90" i="1"/>
  <x:c r="P90" i="1"/>
  <x:c r="Q90" i="1"/>
  <x:c r="R90" i="1"/>
  <x:c r="S90" i="1"/>
  <x:c r="T90" i="1"/>
  <x:c r="W90" i="1"/>
  <x:c r="A91" i="1"/>
  <x:c r="N91" i="1"/>
  <x:c r="O91" i="1"/>
  <x:c r="P91" i="1"/>
  <x:c r="Q91" i="1"/>
  <x:c r="R91" i="1"/>
  <x:c r="S91" i="1"/>
  <x:c r="T91" i="1"/>
  <x:c r="W91" i="1"/>
  <x:c r="A92" i="1"/>
  <x:c r="N92" i="1"/>
  <x:c r="O92" i="1"/>
  <x:c r="P92" i="1"/>
  <x:c r="Q92" i="1"/>
  <x:c r="R92" i="1"/>
  <x:c r="S92" i="1"/>
  <x:c r="T92" i="1"/>
  <x:c r="W92" i="1"/>
  <x:c r="A93" i="1"/>
  <x:c r="N93" i="1"/>
  <x:c r="O93" i="1"/>
  <x:c r="P93" i="1"/>
  <x:c r="Q93" i="1"/>
  <x:c r="R93" i="1"/>
  <x:c r="S93" i="1"/>
  <x:c r="T93" i="1"/>
  <x:c r="W93" i="1"/>
  <x:c r="A94" i="1"/>
  <x:c r="N94" i="1"/>
  <x:c r="O94" i="1"/>
  <x:c r="P94" i="1"/>
  <x:c r="Q94" i="1"/>
  <x:c r="R94" i="1"/>
  <x:c r="S94" i="1"/>
  <x:c r="T94" i="1"/>
  <x:c r="W94" i="1"/>
  <x:c r="A95" i="1"/>
  <x:c r="N95" i="1"/>
  <x:c r="O95" i="1"/>
  <x:c r="P95" i="1"/>
  <x:c r="Q95" i="1"/>
  <x:c r="R95" i="1"/>
  <x:c r="S95" i="1"/>
  <x:c r="T95" i="1"/>
  <x:c r="W95" i="1"/>
  <x:c r="A96" i="1"/>
  <x:c r="N96" i="1"/>
  <x:c r="O96" i="1"/>
  <x:c r="P96" i="1"/>
  <x:c r="Q96" i="1"/>
  <x:c r="R96" i="1"/>
  <x:c r="S96" i="1"/>
  <x:c r="T96" i="1"/>
  <x:c r="W96" i="1"/>
  <x:c r="A97" i="1"/>
  <x:c r="N97" i="1"/>
  <x:c r="O97" i="1"/>
  <x:c r="P97" i="1"/>
  <x:c r="Q97" i="1"/>
  <x:c r="R97" i="1"/>
  <x:c r="S97" i="1"/>
  <x:c r="T97" i="1"/>
  <x:c r="W97" i="1"/>
  <x:c r="A98" i="1"/>
  <x:c r="N98" i="1"/>
  <x:c r="O98" i="1"/>
  <x:c r="P98" i="1"/>
  <x:c r="Q98" i="1"/>
  <x:c r="R98" i="1"/>
  <x:c r="S98" i="1"/>
  <x:c r="T98" i="1"/>
  <x:c r="W98" i="1"/>
  <x:c r="A99" i="1"/>
  <x:c r="N99" i="1"/>
  <x:c r="O99" i="1"/>
  <x:c r="P99" i="1"/>
  <x:c r="Q99" i="1"/>
  <x:c r="R99" i="1"/>
  <x:c r="S99" i="1"/>
  <x:c r="T99" i="1"/>
  <x:c r="W99" i="1"/>
  <x:c r="A100" i="1"/>
  <x:c r="N100" i="1"/>
  <x:c r="O100" i="1"/>
  <x:c r="P100" i="1"/>
  <x:c r="Q100" i="1"/>
  <x:c r="R100" i="1"/>
  <x:c r="S100" i="1"/>
  <x:c r="T100" i="1"/>
  <x:c r="W100" i="1"/>
  <x:c r="A101" i="1"/>
  <x:c r="N101" i="1"/>
  <x:c r="O101" i="1"/>
  <x:c r="P101" i="1"/>
  <x:c r="Q101" i="1"/>
  <x:c r="R101" i="1"/>
  <x:c r="S101" i="1"/>
  <x:c r="T101" i="1"/>
  <x:c r="W101" i="1"/>
  <x:c r="A102" i="1"/>
  <x:c r="N102" i="1"/>
  <x:c r="O102" i="1"/>
  <x:c r="P102" i="1"/>
  <x:c r="Q102" i="1"/>
  <x:c r="R102" i="1"/>
  <x:c r="S102" i="1"/>
  <x:c r="T102" i="1"/>
  <x:c r="W102" i="1"/>
  <x:c r="A103" i="1"/>
  <x:c r="N103" i="1"/>
  <x:c r="O103" i="1"/>
  <x:c r="P103" i="1"/>
  <x:c r="Q103" i="1"/>
  <x:c r="R103" i="1"/>
  <x:c r="S103" i="1"/>
  <x:c r="T103" i="1"/>
  <x:c r="W103" i="1"/>
  <x:c r="A104" i="1"/>
  <x:c r="N104" i="1"/>
  <x:c r="O104" i="1"/>
  <x:c r="P104" i="1"/>
  <x:c r="Q104" i="1"/>
  <x:c r="R104" i="1"/>
  <x:c r="S104" i="1"/>
  <x:c r="T104" i="1"/>
  <x:c r="W104" i="1"/>
  <x:c r="A105" i="1"/>
  <x:c r="N105" i="1"/>
  <x:c r="O105" i="1"/>
  <x:c r="P105" i="1"/>
  <x:c r="Q105" i="1"/>
  <x:c r="R105" i="1"/>
  <x:c r="S105" i="1"/>
  <x:c r="T105" i="1"/>
  <x:c r="W105" i="1"/>
  <x:c r="A106" i="1"/>
  <x:c r="N106" i="1"/>
  <x:c r="O106" i="1"/>
  <x:c r="P106" i="1"/>
  <x:c r="Q106" i="1"/>
  <x:c r="R106" i="1"/>
  <x:c r="S106" i="1"/>
  <x:c r="T106" i="1"/>
  <x:c r="W106" i="1"/>
  <x:c r="A107" i="1"/>
  <x:c r="N107" i="1"/>
  <x:c r="O107" i="1"/>
  <x:c r="P107" i="1"/>
  <x:c r="Q107" i="1"/>
  <x:c r="R107" i="1"/>
  <x:c r="S107" i="1"/>
  <x:c r="T107" i="1"/>
  <x:c r="W107" i="1"/>
  <x:c r="A108" i="1"/>
  <x:c r="N108" i="1"/>
  <x:c r="O108" i="1"/>
  <x:c r="P108" i="1"/>
  <x:c r="Q108" i="1"/>
  <x:c r="R108" i="1"/>
  <x:c r="S108" i="1"/>
  <x:c r="T108" i="1"/>
  <x:c r="W108" i="1"/>
  <x:c r="A109" i="1"/>
  <x:c r="N109" i="1"/>
  <x:c r="O109" i="1"/>
  <x:c r="P109" i="1"/>
  <x:c r="Q109" i="1"/>
  <x:c r="R109" i="1"/>
  <x:c r="S109" i="1"/>
  <x:c r="T109" i="1"/>
  <x:c r="W109" i="1"/>
  <x:c r="A110" i="1"/>
  <x:c r="N110" i="1"/>
  <x:c r="O110" i="1"/>
  <x:c r="P110" i="1"/>
  <x:c r="Q110" i="1"/>
  <x:c r="R110" i="1"/>
  <x:c r="S110" i="1"/>
  <x:c r="T110" i="1"/>
  <x:c r="W110" i="1"/>
  <x:c r="A111" i="1"/>
  <x:c r="N111" i="1"/>
  <x:c r="O111" i="1"/>
  <x:c r="P111" i="1"/>
  <x:c r="Q111" i="1"/>
  <x:c r="R111" i="1"/>
  <x:c r="S111" i="1"/>
  <x:c r="T111" i="1"/>
  <x:c r="W111" i="1"/>
  <x:c r="A112" i="1"/>
  <x:c r="N112" i="1"/>
  <x:c r="O112" i="1"/>
  <x:c r="P112" i="1"/>
  <x:c r="Q112" i="1"/>
  <x:c r="R112" i="1"/>
  <x:c r="S112" i="1"/>
  <x:c r="T112" i="1"/>
  <x:c r="W112" i="1"/>
  <x:c r="A113" i="1"/>
  <x:c r="N113" i="1"/>
  <x:c r="O113" i="1"/>
  <x:c r="P113" i="1"/>
  <x:c r="Q113" i="1"/>
  <x:c r="R113" i="1"/>
  <x:c r="S113" i="1"/>
  <x:c r="T113" i="1"/>
  <x:c r="W113" i="1"/>
  <x:c r="A114" i="1"/>
  <x:c r="N114" i="1"/>
  <x:c r="O114" i="1"/>
  <x:c r="P114" i="1"/>
  <x:c r="Q114" i="1"/>
  <x:c r="R114" i="1"/>
  <x:c r="S114" i="1"/>
  <x:c r="T114" i="1"/>
  <x:c r="W114" i="1"/>
  <x:c r="A115" i="1"/>
  <x:c r="N115" i="1"/>
  <x:c r="O115" i="1"/>
  <x:c r="P115" i="1"/>
  <x:c r="Q115" i="1"/>
  <x:c r="R115" i="1"/>
  <x:c r="S115" i="1"/>
  <x:c r="T115" i="1"/>
  <x:c r="W115" i="1"/>
  <x:c r="A116" i="1"/>
  <x:c r="N116" i="1"/>
  <x:c r="O116" i="1"/>
  <x:c r="P116" i="1"/>
  <x:c r="Q116" i="1"/>
  <x:c r="R116" i="1"/>
  <x:c r="S116" i="1"/>
  <x:c r="T116" i="1"/>
  <x:c r="W116" i="1"/>
  <x:c r="A117" i="1"/>
  <x:c r="N117" i="1"/>
  <x:c r="O117" i="1"/>
  <x:c r="P117" i="1"/>
  <x:c r="Q117" i="1"/>
  <x:c r="R117" i="1"/>
  <x:c r="S117" i="1"/>
  <x:c r="T117" i="1"/>
  <x:c r="W117" i="1"/>
  <x:c r="A118" i="1"/>
  <x:c r="N118" i="1"/>
  <x:c r="O118" i="1"/>
  <x:c r="P118" i="1"/>
  <x:c r="Q118" i="1"/>
  <x:c r="R118" i="1"/>
  <x:c r="S118" i="1"/>
  <x:c r="T118" i="1"/>
  <x:c r="W118" i="1"/>
  <x:c r="A119" i="1"/>
  <x:c r="N119" i="1"/>
  <x:c r="O119" i="1"/>
  <x:c r="P119" i="1"/>
  <x:c r="Q119" i="1"/>
  <x:c r="R119" i="1"/>
  <x:c r="S119" i="1"/>
  <x:c r="T119" i="1"/>
  <x:c r="W119" i="1"/>
  <x:c r="A120" i="1"/>
  <x:c r="N120" i="1"/>
  <x:c r="O120" i="1"/>
  <x:c r="P120" i="1"/>
  <x:c r="Q120" i="1"/>
  <x:c r="R120" i="1"/>
  <x:c r="S120" i="1"/>
  <x:c r="T120" i="1"/>
  <x:c r="W120" i="1"/>
  <x:c r="A121" i="1"/>
  <x:c r="N121" i="1"/>
  <x:c r="O121" i="1"/>
  <x:c r="P121" i="1"/>
  <x:c r="Q121" i="1"/>
  <x:c r="R121" i="1"/>
  <x:c r="S121" i="1"/>
  <x:c r="T121" i="1"/>
  <x:c r="W121" i="1"/>
  <x:c r="A122" i="1"/>
  <x:c r="N122" i="1"/>
  <x:c r="O122" i="1"/>
  <x:c r="P122" i="1"/>
  <x:c r="Q122" i="1"/>
  <x:c r="R122" i="1"/>
  <x:c r="S122" i="1"/>
  <x:c r="T122" i="1"/>
  <x:c r="W122" i="1"/>
  <x:c r="A123" i="1"/>
  <x:c r="N123" i="1"/>
  <x:c r="O123" i="1"/>
  <x:c r="P123" i="1"/>
  <x:c r="Q123" i="1"/>
  <x:c r="R123" i="1"/>
  <x:c r="S123" i="1"/>
  <x:c r="T123" i="1"/>
  <x:c r="W123" i="1"/>
  <x:c r="A124" i="1"/>
  <x:c r="N124" i="1"/>
  <x:c r="O124" i="1"/>
  <x:c r="P124" i="1"/>
  <x:c r="Q124" i="1"/>
  <x:c r="R124" i="1"/>
  <x:c r="S124" i="1"/>
  <x:c r="T124" i="1"/>
  <x:c r="W124" i="1"/>
  <x:c r="A125" i="1"/>
  <x:c r="N125" i="1"/>
  <x:c r="O125" i="1"/>
  <x:c r="P125" i="1"/>
  <x:c r="Q125" i="1"/>
  <x:c r="R125" i="1"/>
  <x:c r="S125" i="1"/>
  <x:c r="T125" i="1"/>
  <x:c r="W125" i="1"/>
  <x:c r="A126" i="1"/>
  <x:c r="N126" i="1"/>
  <x:c r="O126" i="1"/>
  <x:c r="P126" i="1"/>
  <x:c r="Q126" i="1"/>
  <x:c r="R126" i="1"/>
  <x:c r="S126" i="1"/>
  <x:c r="T126" i="1"/>
  <x:c r="W126" i="1"/>
  <x:c r="A127" i="1"/>
  <x:c r="N127" i="1"/>
  <x:c r="O127" i="1"/>
  <x:c r="P127" i="1"/>
  <x:c r="Q127" i="1"/>
  <x:c r="R127" i="1"/>
  <x:c r="S127" i="1"/>
  <x:c r="T127" i="1"/>
  <x:c r="W127" i="1"/>
  <x:c r="A128" i="1"/>
  <x:c r="N128" i="1"/>
  <x:c r="O128" i="1"/>
  <x:c r="P128" i="1"/>
  <x:c r="Q128" i="1"/>
  <x:c r="R128" i="1"/>
  <x:c r="S128" i="1"/>
  <x:c r="T128" i="1"/>
  <x:c r="W128" i="1"/>
  <x:c r="A129" i="1"/>
  <x:c r="N129" i="1"/>
  <x:c r="O129" i="1"/>
  <x:c r="P129" i="1"/>
  <x:c r="Q129" i="1"/>
  <x:c r="R129" i="1"/>
  <x:c r="S129" i="1"/>
  <x:c r="T129" i="1"/>
  <x:c r="W129" i="1"/>
  <x:c r="A130" i="1"/>
  <x:c r="N130" i="1"/>
  <x:c r="O130" i="1"/>
  <x:c r="P130" i="1"/>
  <x:c r="Q130" i="1"/>
  <x:c r="R130" i="1"/>
  <x:c r="S130" i="1"/>
  <x:c r="T130" i="1"/>
  <x:c r="W130" i="1"/>
  <x:c r="A131" i="1"/>
  <x:c r="N131" i="1"/>
  <x:c r="O131" i="1"/>
  <x:c r="P131" i="1"/>
  <x:c r="Q131" i="1"/>
  <x:c r="R131" i="1"/>
  <x:c r="S131" i="1"/>
  <x:c r="T131" i="1"/>
  <x:c r="W131" i="1"/>
  <x:c r="A132" i="1"/>
  <x:c r="N132" i="1"/>
  <x:c r="O132" i="1"/>
  <x:c r="P132" i="1"/>
  <x:c r="Q132" i="1"/>
  <x:c r="R132" i="1"/>
  <x:c r="S132" i="1"/>
  <x:c r="T132" i="1"/>
  <x:c r="W132" i="1"/>
  <x:c r="A133" i="1"/>
  <x:c r="N133" i="1"/>
  <x:c r="O133" i="1"/>
  <x:c r="P133" i="1"/>
  <x:c r="Q133" i="1"/>
  <x:c r="R133" i="1"/>
  <x:c r="S133" i="1"/>
  <x:c r="T133" i="1"/>
  <x:c r="W133" i="1"/>
  <x:c r="A134" i="1"/>
  <x:c r="N134" i="1"/>
  <x:c r="O134" i="1"/>
  <x:c r="P134" i="1"/>
  <x:c r="Q134" i="1"/>
  <x:c r="R134" i="1"/>
  <x:c r="S134" i="1"/>
  <x:c r="T134" i="1"/>
  <x:c r="W134" i="1"/>
  <x:c r="A135" i="1"/>
  <x:c r="N135" i="1"/>
  <x:c r="O135" i="1"/>
  <x:c r="P135" i="1"/>
  <x:c r="Q135" i="1"/>
  <x:c r="R135" i="1"/>
  <x:c r="S135" i="1"/>
  <x:c r="T135" i="1"/>
  <x:c r="W135" i="1"/>
  <x:c r="A136" i="1"/>
  <x:c r="N136" i="1"/>
  <x:c r="O136" i="1"/>
  <x:c r="P136" i="1"/>
  <x:c r="Q136" i="1"/>
  <x:c r="R136" i="1"/>
  <x:c r="S136" i="1"/>
  <x:c r="T136" i="1"/>
  <x:c r="W136" i="1"/>
  <x:c r="A137" i="1"/>
  <x:c r="N137" i="1"/>
  <x:c r="O137" i="1"/>
  <x:c r="P137" i="1"/>
  <x:c r="Q137" i="1"/>
  <x:c r="R137" i="1"/>
  <x:c r="S137" i="1"/>
  <x:c r="T137" i="1"/>
  <x:c r="W137" i="1"/>
  <x:c r="A138" i="1"/>
  <x:c r="N138" i="1"/>
  <x:c r="O138" i="1"/>
  <x:c r="P138" i="1"/>
  <x:c r="Q138" i="1"/>
  <x:c r="R138" i="1"/>
  <x:c r="S138" i="1"/>
  <x:c r="T138" i="1"/>
  <x:c r="W138" i="1"/>
  <x:c r="A139" i="1"/>
  <x:c r="N139" i="1"/>
  <x:c r="O139" i="1"/>
  <x:c r="P139" i="1"/>
  <x:c r="Q139" i="1"/>
  <x:c r="R139" i="1"/>
  <x:c r="S139" i="1"/>
  <x:c r="T139" i="1"/>
  <x:c r="W139" i="1"/>
  <x:c r="A140" i="1"/>
  <x:c r="N140" i="1"/>
  <x:c r="O140" i="1"/>
  <x:c r="P140" i="1"/>
  <x:c r="Q140" i="1"/>
  <x:c r="R140" i="1"/>
  <x:c r="S140" i="1"/>
  <x:c r="T140" i="1"/>
  <x:c r="W140" i="1"/>
  <x:c r="A141" i="1"/>
  <x:c r="N141" i="1"/>
  <x:c r="O141" i="1"/>
  <x:c r="P141" i="1"/>
  <x:c r="Q141" i="1"/>
  <x:c r="R141" i="1"/>
  <x:c r="S141" i="1"/>
  <x:c r="T141" i="1"/>
  <x:c r="W141" i="1"/>
  <x:c r="A142" i="1"/>
  <x:c r="N142" i="1"/>
  <x:c r="O142" i="1"/>
  <x:c r="P142" i="1"/>
  <x:c r="Q142" i="1"/>
  <x:c r="R142" i="1"/>
  <x:c r="S142" i="1"/>
  <x:c r="T142" i="1"/>
  <x:c r="W142" i="1"/>
  <x:c r="A143" i="1"/>
  <x:c r="N143" i="1"/>
  <x:c r="O143" i="1"/>
  <x:c r="P143" i="1"/>
  <x:c r="Q143" i="1"/>
  <x:c r="R143" i="1"/>
  <x:c r="S143" i="1"/>
  <x:c r="T143" i="1"/>
  <x:c r="W143" i="1"/>
  <x:c r="A144" i="1"/>
  <x:c r="N144" i="1"/>
  <x:c r="O144" i="1"/>
  <x:c r="P144" i="1"/>
  <x:c r="Q144" i="1"/>
  <x:c r="R144" i="1"/>
  <x:c r="S144" i="1"/>
  <x:c r="T144" i="1"/>
  <x:c r="W144" i="1"/>
  <x:c r="A145" i="1"/>
  <x:c r="N145" i="1"/>
  <x:c r="O145" i="1"/>
  <x:c r="P145" i="1"/>
  <x:c r="Q145" i="1"/>
  <x:c r="R145" i="1"/>
  <x:c r="S145" i="1"/>
  <x:c r="T145" i="1"/>
  <x:c r="W145" i="1"/>
  <x:c r="A146" i="1"/>
  <x:c r="N146" i="1"/>
  <x:c r="O146" i="1"/>
  <x:c r="P146" i="1"/>
  <x:c r="Q146" i="1"/>
  <x:c r="R146" i="1"/>
  <x:c r="S146" i="1"/>
  <x:c r="T146" i="1"/>
  <x:c r="W146" i="1"/>
  <x:c r="A147" i="1"/>
  <x:c r="N147" i="1"/>
  <x:c r="O147" i="1"/>
  <x:c r="P147" i="1"/>
  <x:c r="Q147" i="1"/>
  <x:c r="R147" i="1"/>
  <x:c r="S147" i="1"/>
  <x:c r="T147" i="1"/>
  <x:c r="W147" i="1"/>
  <x:c r="A148" i="1"/>
  <x:c r="N148" i="1"/>
  <x:c r="O148" i="1"/>
  <x:c r="P148" i="1"/>
  <x:c r="Q148" i="1"/>
  <x:c r="R148" i="1"/>
  <x:c r="S148" i="1"/>
  <x:c r="T148" i="1"/>
  <x:c r="W148" i="1"/>
  <x:c r="A149" i="1"/>
  <x:c r="N149" i="1"/>
  <x:c r="O149" i="1"/>
  <x:c r="P149" i="1"/>
  <x:c r="Q149" i="1"/>
  <x:c r="R149" i="1"/>
  <x:c r="S149" i="1"/>
  <x:c r="T149" i="1"/>
  <x:c r="W149" i="1"/>
  <x:c r="A150" i="1"/>
  <x:c r="N150" i="1"/>
  <x:c r="O150" i="1"/>
  <x:c r="P150" i="1"/>
  <x:c r="Q150" i="1"/>
  <x:c r="R150" i="1"/>
  <x:c r="S150" i="1"/>
  <x:c r="T150" i="1"/>
  <x:c r="W150" i="1"/>
  <x:c r="A151" i="1"/>
  <x:c r="N151" i="1"/>
  <x:c r="O151" i="1"/>
  <x:c r="P151" i="1"/>
  <x:c r="Q151" i="1"/>
  <x:c r="R151" i="1"/>
  <x:c r="S151" i="1"/>
  <x:c r="T151" i="1"/>
  <x:c r="W151" i="1"/>
  <x:c r="A152" i="1"/>
  <x:c r="N152" i="1"/>
  <x:c r="O152" i="1"/>
  <x:c r="P152" i="1"/>
  <x:c r="Q152" i="1"/>
  <x:c r="R152" i="1"/>
  <x:c r="S152" i="1"/>
  <x:c r="T152" i="1"/>
  <x:c r="W152" i="1"/>
  <x:c r="A153" i="1"/>
  <x:c r="N153" i="1"/>
  <x:c r="O153" i="1"/>
  <x:c r="P153" i="1"/>
  <x:c r="Q153" i="1"/>
  <x:c r="R153" i="1"/>
  <x:c r="S153" i="1"/>
  <x:c r="T153" i="1"/>
  <x:c r="W153" i="1"/>
  <x:c r="A154" i="1"/>
  <x:c r="N154" i="1"/>
  <x:c r="O154" i="1"/>
  <x:c r="P154" i="1"/>
  <x:c r="Q154" i="1"/>
  <x:c r="R154" i="1"/>
  <x:c r="S154" i="1"/>
  <x:c r="T154" i="1"/>
  <x:c r="W154" i="1"/>
  <x:c r="A155" i="1"/>
  <x:c r="N155" i="1"/>
  <x:c r="O155" i="1"/>
  <x:c r="P155" i="1"/>
  <x:c r="Q155" i="1"/>
  <x:c r="R155" i="1"/>
  <x:c r="S155" i="1"/>
  <x:c r="T155" i="1"/>
  <x:c r="W155" i="1"/>
  <x:c r="A156" i="1"/>
  <x:c r="N156" i="1"/>
  <x:c r="O156" i="1"/>
  <x:c r="P156" i="1"/>
  <x:c r="Q156" i="1"/>
  <x:c r="R156" i="1"/>
  <x:c r="S156" i="1"/>
  <x:c r="T156" i="1"/>
  <x:c r="W156" i="1"/>
  <x:c r="A157" i="1"/>
  <x:c r="N157" i="1"/>
  <x:c r="O157" i="1"/>
  <x:c r="P157" i="1"/>
  <x:c r="Q157" i="1"/>
  <x:c r="R157" i="1"/>
  <x:c r="S157" i="1"/>
  <x:c r="T157" i="1"/>
  <x:c r="W157" i="1"/>
  <x:c r="A158" i="1"/>
  <x:c r="N158" i="1"/>
  <x:c r="O158" i="1"/>
  <x:c r="P158" i="1"/>
  <x:c r="Q158" i="1"/>
  <x:c r="R158" i="1"/>
  <x:c r="S158" i="1"/>
  <x:c r="T158" i="1"/>
  <x:c r="W158" i="1"/>
  <x:c r="A159" i="1"/>
  <x:c r="N159" i="1"/>
  <x:c r="O159" i="1"/>
  <x:c r="P159" i="1"/>
  <x:c r="Q159" i="1"/>
  <x:c r="R159" i="1"/>
  <x:c r="S159" i="1"/>
  <x:c r="T159" i="1"/>
  <x:c r="W159" i="1"/>
  <x:c r="A160" i="1"/>
  <x:c r="N160" i="1"/>
  <x:c r="O160" i="1"/>
  <x:c r="P160" i="1"/>
  <x:c r="Q160" i="1"/>
  <x:c r="R160" i="1"/>
  <x:c r="S160" i="1"/>
  <x:c r="T160" i="1"/>
  <x:c r="W160" i="1"/>
  <x:c r="A161" i="1"/>
  <x:c r="N161" i="1"/>
  <x:c r="O161" i="1"/>
  <x:c r="P161" i="1"/>
  <x:c r="Q161" i="1"/>
  <x:c r="R161" i="1"/>
  <x:c r="S161" i="1"/>
  <x:c r="T161" i="1"/>
  <x:c r="W161" i="1"/>
  <x:c r="A162" i="1"/>
  <x:c r="N162" i="1"/>
  <x:c r="O162" i="1"/>
  <x:c r="P162" i="1"/>
  <x:c r="Q162" i="1"/>
  <x:c r="R162" i="1"/>
  <x:c r="S162" i="1"/>
  <x:c r="T162" i="1"/>
  <x:c r="W162" i="1"/>
  <x:c r="A163" i="1"/>
  <x:c r="N163" i="1"/>
  <x:c r="O163" i="1"/>
  <x:c r="P163" i="1"/>
  <x:c r="Q163" i="1"/>
  <x:c r="R163" i="1"/>
  <x:c r="S163" i="1"/>
  <x:c r="T163" i="1"/>
  <x:c r="W163" i="1"/>
  <x:c r="A164" i="1"/>
  <x:c r="N164" i="1"/>
  <x:c r="O164" i="1"/>
  <x:c r="P164" i="1"/>
  <x:c r="Q164" i="1"/>
  <x:c r="R164" i="1"/>
  <x:c r="S164" i="1"/>
  <x:c r="T164" i="1"/>
  <x:c r="W164" i="1"/>
  <x:c r="A165" i="1"/>
  <x:c r="N165" i="1"/>
  <x:c r="O165" i="1"/>
  <x:c r="P165" i="1"/>
  <x:c r="Q165" i="1"/>
  <x:c r="R165" i="1"/>
  <x:c r="S165" i="1"/>
  <x:c r="T165" i="1"/>
  <x:c r="W165" i="1"/>
  <x:c r="A166" i="1"/>
  <x:c r="N166" i="1"/>
  <x:c r="O166" i="1"/>
  <x:c r="P166" i="1"/>
  <x:c r="Q166" i="1"/>
  <x:c r="R166" i="1"/>
  <x:c r="S166" i="1"/>
  <x:c r="T166" i="1"/>
  <x:c r="W166" i="1"/>
  <x:c r="A167" i="1"/>
  <x:c r="N167" i="1"/>
  <x:c r="O167" i="1"/>
  <x:c r="P167" i="1"/>
  <x:c r="Q167" i="1"/>
  <x:c r="R167" i="1"/>
  <x:c r="S167" i="1"/>
  <x:c r="T167" i="1"/>
  <x:c r="W167" i="1"/>
  <x:c r="A168" i="1"/>
  <x:c r="N168" i="1"/>
  <x:c r="O168" i="1"/>
  <x:c r="P168" i="1"/>
  <x:c r="Q168" i="1"/>
  <x:c r="R168" i="1"/>
  <x:c r="S168" i="1"/>
  <x:c r="T168" i="1"/>
  <x:c r="W168" i="1"/>
  <x:c r="A169" i="1"/>
  <x:c r="N169" i="1"/>
  <x:c r="O169" i="1"/>
  <x:c r="P169" i="1"/>
  <x:c r="Q169" i="1"/>
  <x:c r="R169" i="1"/>
  <x:c r="S169" i="1"/>
  <x:c r="T169" i="1"/>
  <x:c r="W169" i="1"/>
  <x:c r="A170" i="1"/>
  <x:c r="N170" i="1"/>
  <x:c r="O170" i="1"/>
  <x:c r="P170" i="1"/>
  <x:c r="Q170" i="1"/>
  <x:c r="R170" i="1"/>
  <x:c r="S170" i="1"/>
  <x:c r="T170" i="1"/>
  <x:c r="W170" i="1"/>
  <x:c r="A171" i="1"/>
  <x:c r="N171" i="1"/>
  <x:c r="O171" i="1"/>
  <x:c r="P171" i="1"/>
  <x:c r="Q171" i="1"/>
  <x:c r="R171" i="1"/>
  <x:c r="S171" i="1"/>
  <x:c r="T171" i="1"/>
  <x:c r="W171" i="1"/>
  <x:c r="A172" i="1"/>
  <x:c r="N172" i="1"/>
  <x:c r="O172" i="1"/>
  <x:c r="P172" i="1"/>
  <x:c r="Q172" i="1"/>
  <x:c r="R172" i="1"/>
  <x:c r="S172" i="1"/>
  <x:c r="T172" i="1"/>
  <x:c r="W172" i="1"/>
  <x:c r="A173" i="1"/>
  <x:c r="N173" i="1"/>
  <x:c r="O173" i="1"/>
  <x:c r="P173" i="1"/>
  <x:c r="Q173" i="1"/>
  <x:c r="R173" i="1"/>
  <x:c r="S173" i="1"/>
  <x:c r="T173" i="1"/>
  <x:c r="W173" i="1"/>
  <x:c r="A174" i="1"/>
  <x:c r="N174" i="1"/>
  <x:c r="O174" i="1"/>
  <x:c r="P174" i="1"/>
  <x:c r="Q174" i="1"/>
  <x:c r="R174" i="1"/>
  <x:c r="S174" i="1"/>
  <x:c r="T174" i="1"/>
  <x:c r="W174" i="1"/>
  <x:c r="A175" i="1"/>
  <x:c r="N175" i="1"/>
  <x:c r="O175" i="1"/>
  <x:c r="P175" i="1"/>
  <x:c r="Q175" i="1"/>
  <x:c r="R175" i="1"/>
  <x:c r="S175" i="1"/>
  <x:c r="T175" i="1"/>
  <x:c r="W175" i="1"/>
  <x:c r="A176" i="1"/>
  <x:c r="N176" i="1"/>
  <x:c r="O176" i="1"/>
  <x:c r="P176" i="1"/>
  <x:c r="Q176" i="1"/>
  <x:c r="R176" i="1"/>
  <x:c r="S176" i="1"/>
  <x:c r="T176" i="1"/>
  <x:c r="W176" i="1"/>
  <x:c r="A177" i="1"/>
  <x:c r="N177" i="1"/>
  <x:c r="O177" i="1"/>
  <x:c r="P177" i="1"/>
  <x:c r="Q177" i="1"/>
  <x:c r="R177" i="1"/>
  <x:c r="S177" i="1"/>
  <x:c r="T177" i="1"/>
  <x:c r="W177" i="1"/>
  <x:c r="A178" i="1"/>
  <x:c r="N178" i="1"/>
  <x:c r="O178" i="1"/>
  <x:c r="P178" i="1"/>
  <x:c r="Q178" i="1"/>
  <x:c r="R178" i="1"/>
  <x:c r="S178" i="1"/>
  <x:c r="T178" i="1"/>
  <x:c r="W178" i="1"/>
  <x:c r="A179" i="1"/>
  <x:c r="N179" i="1"/>
  <x:c r="O179" i="1"/>
  <x:c r="P179" i="1"/>
  <x:c r="Q179" i="1"/>
  <x:c r="R179" i="1"/>
  <x:c r="S179" i="1"/>
  <x:c r="T179" i="1"/>
  <x:c r="W179" i="1"/>
  <x:c r="A180" i="1"/>
  <x:c r="N180" i="1"/>
  <x:c r="O180" i="1"/>
  <x:c r="P180" i="1"/>
  <x:c r="Q180" i="1"/>
  <x:c r="R180" i="1"/>
  <x:c r="S180" i="1"/>
  <x:c r="T180" i="1"/>
  <x:c r="W180" i="1"/>
  <x:c r="A181" i="1"/>
  <x:c r="N181" i="1"/>
  <x:c r="O181" i="1"/>
  <x:c r="P181" i="1"/>
  <x:c r="Q181" i="1"/>
  <x:c r="R181" i="1"/>
  <x:c r="S181" i="1"/>
  <x:c r="T181" i="1"/>
  <x:c r="W181" i="1"/>
  <x:c r="A182" i="1"/>
  <x:c r="N182" i="1"/>
  <x:c r="O182" i="1"/>
  <x:c r="P182" i="1"/>
  <x:c r="Q182" i="1"/>
  <x:c r="R182" i="1"/>
  <x:c r="S182" i="1"/>
  <x:c r="T182" i="1"/>
  <x:c r="W182" i="1"/>
  <x:c r="A183" i="1"/>
  <x:c r="N183" i="1"/>
  <x:c r="O183" i="1"/>
  <x:c r="P183" i="1"/>
  <x:c r="Q183" i="1"/>
  <x:c r="R183" i="1"/>
  <x:c r="S183" i="1"/>
  <x:c r="T183" i="1"/>
  <x:c r="W183" i="1"/>
  <x:c r="A184" i="1"/>
  <x:c r="N184" i="1"/>
  <x:c r="O184" i="1"/>
  <x:c r="P184" i="1"/>
  <x:c r="Q184" i="1"/>
  <x:c r="R184" i="1"/>
  <x:c r="S184" i="1"/>
  <x:c r="T184" i="1"/>
  <x:c r="W184" i="1"/>
  <x:c r="A185" i="1"/>
  <x:c r="N185" i="1"/>
  <x:c r="O185" i="1"/>
  <x:c r="P185" i="1"/>
  <x:c r="Q185" i="1"/>
  <x:c r="R185" i="1"/>
  <x:c r="S185" i="1"/>
  <x:c r="T185" i="1"/>
  <x:c r="W185" i="1"/>
  <x:c r="A186" i="1"/>
  <x:c r="N186" i="1"/>
  <x:c r="O186" i="1"/>
  <x:c r="P186" i="1"/>
  <x:c r="Q186" i="1"/>
  <x:c r="R186" i="1"/>
  <x:c r="S186" i="1"/>
  <x:c r="T186" i="1"/>
  <x:c r="W186" i="1"/>
  <x:c r="A187" i="1"/>
  <x:c r="N187" i="1"/>
  <x:c r="O187" i="1"/>
  <x:c r="P187" i="1"/>
  <x:c r="Q187" i="1"/>
  <x:c r="R187" i="1"/>
  <x:c r="S187" i="1"/>
  <x:c r="T187" i="1"/>
  <x:c r="W187" i="1"/>
  <x:c r="A188" i="1"/>
  <x:c r="N188" i="1"/>
  <x:c r="O188" i="1"/>
  <x:c r="P188" i="1"/>
  <x:c r="Q188" i="1"/>
  <x:c r="R188" i="1"/>
  <x:c r="S188" i="1"/>
  <x:c r="T188" i="1"/>
  <x:c r="W188" i="1"/>
  <x:c r="A189" i="1"/>
  <x:c r="N189" i="1"/>
  <x:c r="O189" i="1"/>
  <x:c r="P189" i="1"/>
  <x:c r="Q189" i="1"/>
  <x:c r="R189" i="1"/>
  <x:c r="S189" i="1"/>
  <x:c r="T189" i="1"/>
  <x:c r="W189" i="1"/>
  <x:c r="A190" i="1"/>
  <x:c r="N190" i="1"/>
  <x:c r="O190" i="1"/>
  <x:c r="P190" i="1"/>
  <x:c r="Q190" i="1"/>
  <x:c r="R190" i="1"/>
  <x:c r="S190" i="1"/>
  <x:c r="T190" i="1"/>
  <x:c r="W190" i="1"/>
  <x:c r="A191" i="1"/>
  <x:c r="N191" i="1"/>
  <x:c r="O191" i="1"/>
  <x:c r="P191" i="1"/>
  <x:c r="Q191" i="1"/>
  <x:c r="R191" i="1"/>
  <x:c r="S191" i="1"/>
  <x:c r="T191" i="1"/>
  <x:c r="W191" i="1"/>
  <x:c r="A192" i="1"/>
  <x:c r="N192" i="1"/>
  <x:c r="O192" i="1"/>
  <x:c r="P192" i="1"/>
  <x:c r="Q192" i="1"/>
  <x:c r="R192" i="1"/>
  <x:c r="S192" i="1"/>
  <x:c r="T192" i="1"/>
  <x:c r="W192" i="1"/>
  <x:c r="A193" i="1"/>
  <x:c r="N193" i="1"/>
  <x:c r="O193" i="1"/>
  <x:c r="P193" i="1"/>
  <x:c r="Q193" i="1"/>
  <x:c r="R193" i="1"/>
  <x:c r="S193" i="1"/>
  <x:c r="T193" i="1"/>
  <x:c r="W193" i="1"/>
  <x:c r="A194" i="1"/>
  <x:c r="N194" i="1"/>
  <x:c r="O194" i="1"/>
  <x:c r="P194" i="1"/>
  <x:c r="Q194" i="1"/>
  <x:c r="R194" i="1"/>
  <x:c r="S194" i="1"/>
  <x:c r="T194" i="1"/>
  <x:c r="W194" i="1"/>
  <x:c r="A195" i="1"/>
  <x:c r="N195" i="1"/>
  <x:c r="O195" i="1"/>
  <x:c r="P195" i="1"/>
  <x:c r="Q195" i="1"/>
  <x:c r="R195" i="1"/>
  <x:c r="S195" i="1"/>
  <x:c r="T195" i="1"/>
  <x:c r="W195" i="1"/>
  <x:c r="A196" i="1"/>
  <x:c r="N196" i="1"/>
  <x:c r="O196" i="1"/>
  <x:c r="P196" i="1"/>
  <x:c r="Q196" i="1"/>
  <x:c r="R196" i="1"/>
  <x:c r="S196" i="1"/>
  <x:c r="T196" i="1"/>
  <x:c r="W196" i="1"/>
  <x:c r="A197" i="1"/>
  <x:c r="N197" i="1"/>
  <x:c r="O197" i="1"/>
  <x:c r="P197" i="1"/>
  <x:c r="Q197" i="1"/>
  <x:c r="R197" i="1"/>
  <x:c r="S197" i="1"/>
  <x:c r="T197" i="1"/>
  <x:c r="W197" i="1"/>
  <x:c r="A198" i="1"/>
  <x:c r="N198" i="1"/>
  <x:c r="O198" i="1"/>
  <x:c r="P198" i="1"/>
  <x:c r="Q198" i="1"/>
  <x:c r="R198" i="1"/>
  <x:c r="S198" i="1"/>
  <x:c r="T198" i="1"/>
  <x:c r="W198" i="1"/>
  <x:c r="A199" i="1"/>
  <x:c r="N199" i="1"/>
  <x:c r="O199" i="1"/>
  <x:c r="P199" i="1"/>
  <x:c r="Q199" i="1"/>
  <x:c r="R199" i="1"/>
  <x:c r="S199" i="1"/>
  <x:c r="T199" i="1"/>
  <x:c r="W199" i="1"/>
  <x:c r="A200" i="1"/>
  <x:c r="N200" i="1"/>
  <x:c r="O200" i="1"/>
  <x:c r="P200" i="1"/>
  <x:c r="Q200" i="1"/>
  <x:c r="R200" i="1"/>
  <x:c r="S200" i="1"/>
  <x:c r="T200" i="1"/>
  <x:c r="W200" i="1"/>
  <x:c r="A201" i="1"/>
  <x:c r="N201" i="1"/>
  <x:c r="O201" i="1"/>
  <x:c r="P201" i="1"/>
  <x:c r="Q201" i="1"/>
  <x:c r="R201" i="1"/>
  <x:c r="S201" i="1"/>
  <x:c r="T201" i="1"/>
  <x:c r="W201" i="1"/>
  <x:c r="A202" i="1"/>
  <x:c r="N202" i="1"/>
  <x:c r="O202" i="1"/>
  <x:c r="P202" i="1"/>
  <x:c r="Q202" i="1"/>
  <x:c r="R202" i="1"/>
  <x:c r="S202" i="1"/>
  <x:c r="T202" i="1"/>
  <x:c r="W202" i="1"/>
  <x:c r="A203" i="1"/>
  <x:c r="N203" i="1"/>
  <x:c r="O203" i="1"/>
  <x:c r="P203" i="1"/>
  <x:c r="Q203" i="1"/>
  <x:c r="R203" i="1"/>
  <x:c r="S203" i="1"/>
  <x:c r="T203" i="1"/>
  <x:c r="W203" i="1"/>
  <x:c r="A204" i="1"/>
  <x:c r="N204" i="1"/>
  <x:c r="O204" i="1"/>
  <x:c r="P204" i="1"/>
  <x:c r="Q204" i="1"/>
  <x:c r="R204" i="1"/>
  <x:c r="S204" i="1"/>
  <x:c r="T204" i="1"/>
  <x:c r="W204" i="1"/>
  <x:c r="A205" i="1"/>
  <x:c r="N205" i="1"/>
  <x:c r="O205" i="1"/>
  <x:c r="P205" i="1"/>
  <x:c r="Q205" i="1"/>
  <x:c r="R205" i="1"/>
  <x:c r="S205" i="1"/>
  <x:c r="T205" i="1"/>
  <x:c r="W205" i="1"/>
  <x:c r="A206" i="1"/>
  <x:c r="N206" i="1"/>
  <x:c r="O206" i="1"/>
  <x:c r="P206" i="1"/>
  <x:c r="Q206" i="1"/>
  <x:c r="R206" i="1"/>
  <x:c r="S206" i="1"/>
  <x:c r="T206" i="1"/>
  <x:c r="A207" i="1"/>
  <x:c r="N207" i="1"/>
  <x:c r="O207" i="1"/>
  <x:c r="P207" i="1"/>
  <x:c r="Q207" i="1"/>
  <x:c r="R207" i="1"/>
  <x:c r="S207" i="1"/>
  <x:c r="T207" i="1"/>
  <x:c r="A208" i="1"/>
  <x:c r="N208" i="1"/>
  <x:c r="O208" i="1"/>
  <x:c r="P208" i="1"/>
  <x:c r="Q208" i="1"/>
  <x:c r="R208" i="1"/>
  <x:c r="S208" i="1"/>
  <x:c r="T208" i="1"/>
  <x:c r="A209" i="1"/>
  <x:c r="N209" i="1"/>
  <x:c r="O209" i="1"/>
  <x:c r="P209" i="1"/>
  <x:c r="Q209" i="1"/>
  <x:c r="R209" i="1"/>
  <x:c r="S209" i="1"/>
  <x:c r="T209" i="1"/>
  <x:c r="W209" i="1"/>
  <x:c r="A210" i="1"/>
  <x:c r="N210" i="1"/>
  <x:c r="O210" i="1"/>
  <x:c r="P210" i="1"/>
  <x:c r="Q210" i="1"/>
  <x:c r="R210" i="1"/>
  <x:c r="S210" i="1"/>
  <x:c r="T210" i="1"/>
  <x:c r="A211" i="1"/>
  <x:c r="N211" i="1"/>
  <x:c r="O211" i="1"/>
  <x:c r="P211" i="1"/>
  <x:c r="Q211" i="1"/>
  <x:c r="R211" i="1"/>
  <x:c r="S211" i="1"/>
  <x:c r="T211" i="1"/>
  <x:c r="W211" i="1"/>
  <x:c r="A212" i="1"/>
  <x:c r="N212" i="1"/>
  <x:c r="O212" i="1"/>
  <x:c r="P212" i="1"/>
  <x:c r="Q212" i="1"/>
  <x:c r="R212" i="1"/>
  <x:c r="S212" i="1"/>
  <x:c r="T212" i="1"/>
  <x:c r="W212" i="1"/>
  <x:c r="A213" i="1"/>
  <x:c r="N213" i="1"/>
  <x:c r="O213" i="1"/>
  <x:c r="P213" i="1"/>
  <x:c r="Q213" i="1"/>
  <x:c r="R213" i="1"/>
  <x:c r="S213" i="1"/>
  <x:c r="T213" i="1"/>
  <x:c r="W213" i="1"/>
  <x:c r="A214" i="1"/>
  <x:c r="N214" i="1"/>
  <x:c r="O214" i="1"/>
  <x:c r="P214" i="1"/>
  <x:c r="Q214" i="1"/>
  <x:c r="R214" i="1"/>
  <x:c r="S214" i="1"/>
  <x:c r="T214" i="1"/>
  <x:c r="W214" i="1"/>
  <x:c r="A215" i="1"/>
  <x:c r="N215" i="1"/>
  <x:c r="O215" i="1"/>
  <x:c r="P215" i="1"/>
  <x:c r="Q215" i="1"/>
  <x:c r="R215" i="1"/>
  <x:c r="S215" i="1"/>
  <x:c r="T215" i="1"/>
  <x:c r="W215" i="1"/>
  <x:c r="A216" i="1"/>
  <x:c r="N216" i="1"/>
  <x:c r="O216" i="1"/>
  <x:c r="P216" i="1"/>
  <x:c r="Q216" i="1"/>
  <x:c r="R216" i="1"/>
  <x:c r="S216" i="1"/>
  <x:c r="T216" i="1"/>
  <x:c r="W216" i="1"/>
  <x:c r="A217" i="1"/>
  <x:c r="N217" i="1"/>
  <x:c r="O217" i="1"/>
  <x:c r="P217" i="1"/>
  <x:c r="Q217" i="1"/>
  <x:c r="R217" i="1"/>
  <x:c r="S217" i="1"/>
  <x:c r="T217" i="1"/>
  <x:c r="W217" i="1"/>
  <x:c r="A218" i="1"/>
  <x:c r="N218" i="1"/>
  <x:c r="O218" i="1"/>
  <x:c r="P218" i="1"/>
  <x:c r="Q218" i="1"/>
  <x:c r="R218" i="1"/>
  <x:c r="S218" i="1"/>
  <x:c r="T218" i="1"/>
  <x:c r="W218" i="1"/>
  <x:c r="A219" i="1"/>
  <x:c r="N219" i="1"/>
  <x:c r="O219" i="1"/>
  <x:c r="P219" i="1"/>
  <x:c r="Q219" i="1"/>
  <x:c r="R219" i="1"/>
  <x:c r="S219" i="1"/>
  <x:c r="T219" i="1"/>
  <x:c r="W219" i="1"/>
  <x:c r="A220" i="1"/>
  <x:c r="N220" i="1"/>
  <x:c r="O220" i="1"/>
  <x:c r="P220" i="1"/>
  <x:c r="Q220" i="1"/>
  <x:c r="R220" i="1"/>
  <x:c r="S220" i="1"/>
  <x:c r="T220" i="1"/>
  <x:c r="W220" i="1"/>
  <x:c r="A221" i="1"/>
  <x:c r="N221" i="1"/>
  <x:c r="O221" i="1"/>
  <x:c r="P221" i="1"/>
  <x:c r="Q221" i="1"/>
  <x:c r="R221" i="1"/>
  <x:c r="S221" i="1"/>
  <x:c r="T221" i="1"/>
  <x:c r="W221" i="1"/>
  <x:c r="A222" i="1"/>
  <x:c r="N222" i="1"/>
  <x:c r="O222" i="1"/>
  <x:c r="P222" i="1"/>
  <x:c r="Q222" i="1"/>
  <x:c r="R222" i="1"/>
  <x:c r="S222" i="1"/>
  <x:c r="T222" i="1"/>
  <x:c r="W222" i="1"/>
  <x:c r="A223" i="1"/>
  <x:c r="N223" i="1"/>
  <x:c r="O223" i="1"/>
  <x:c r="P223" i="1"/>
  <x:c r="Q223" i="1"/>
  <x:c r="R223" i="1"/>
  <x:c r="S223" i="1"/>
  <x:c r="T223" i="1"/>
  <x:c r="W223" i="1"/>
  <x:c r="A224" i="1"/>
  <x:c r="N224" i="1"/>
  <x:c r="O224" i="1"/>
  <x:c r="P224" i="1"/>
  <x:c r="Q224" i="1"/>
  <x:c r="R224" i="1"/>
  <x:c r="S224" i="1"/>
  <x:c r="T224" i="1"/>
  <x:c r="W224" i="1"/>
  <x:c r="A225" i="1"/>
  <x:c r="N225" i="1"/>
  <x:c r="O225" i="1"/>
  <x:c r="P225" i="1"/>
  <x:c r="Q225" i="1"/>
  <x:c r="R225" i="1"/>
  <x:c r="S225" i="1"/>
  <x:c r="T225" i="1"/>
  <x:c r="W225" i="1"/>
  <x:c r="A226" i="1"/>
  <x:c r="N226" i="1"/>
  <x:c r="O226" i="1"/>
  <x:c r="P226" i="1"/>
  <x:c r="Q226" i="1"/>
  <x:c r="R226" i="1"/>
  <x:c r="S226" i="1"/>
  <x:c r="T226" i="1"/>
  <x:c r="W226" i="1"/>
  <x:c r="A227" i="1"/>
  <x:c r="N227" i="1"/>
  <x:c r="O227" i="1"/>
  <x:c r="P227" i="1"/>
  <x:c r="Q227" i="1"/>
  <x:c r="R227" i="1"/>
  <x:c r="S227" i="1"/>
  <x:c r="T227" i="1"/>
  <x:c r="W227" i="1"/>
  <x:c r="A228" i="1"/>
  <x:c r="N228" i="1"/>
  <x:c r="O228" i="1"/>
  <x:c r="P228" i="1"/>
  <x:c r="Q228" i="1"/>
  <x:c r="R228" i="1"/>
  <x:c r="S228" i="1"/>
  <x:c r="T228" i="1"/>
  <x:c r="W228" i="1"/>
  <x:c r="A229" i="1"/>
  <x:c r="N229" i="1"/>
  <x:c r="O229" i="1"/>
  <x:c r="P229" i="1"/>
  <x:c r="Q229" i="1"/>
  <x:c r="R229" i="1"/>
  <x:c r="S229" i="1"/>
  <x:c r="T229" i="1"/>
  <x:c r="W229" i="1"/>
  <x:c r="A230" i="1"/>
  <x:c r="N230" i="1"/>
  <x:c r="O230" i="1"/>
  <x:c r="P230" i="1"/>
  <x:c r="Q230" i="1"/>
  <x:c r="R230" i="1"/>
  <x:c r="S230" i="1"/>
  <x:c r="T230" i="1"/>
  <x:c r="W230" i="1"/>
  <x:c r="A231" i="1"/>
  <x:c r="N231" i="1"/>
  <x:c r="O231" i="1"/>
  <x:c r="P231" i="1"/>
  <x:c r="Q231" i="1"/>
  <x:c r="R231" i="1"/>
  <x:c r="S231" i="1"/>
  <x:c r="T231" i="1"/>
  <x:c r="W231" i="1"/>
  <x:c r="A232" i="1"/>
  <x:c r="N232" i="1"/>
  <x:c r="O232" i="1"/>
  <x:c r="P232" i="1"/>
  <x:c r="Q232" i="1"/>
  <x:c r="R232" i="1"/>
  <x:c r="S232" i="1"/>
  <x:c r="T232" i="1"/>
  <x:c r="W232" i="1"/>
  <x:c r="A233" i="1"/>
  <x:c r="N233" i="1"/>
  <x:c r="O233" i="1"/>
  <x:c r="P233" i="1"/>
  <x:c r="Q233" i="1"/>
  <x:c r="R233" i="1"/>
  <x:c r="S233" i="1"/>
  <x:c r="T233" i="1"/>
  <x:c r="W233" i="1"/>
  <x:c r="A234" i="1"/>
  <x:c r="N234" i="1"/>
  <x:c r="O234" i="1"/>
  <x:c r="P234" i="1"/>
  <x:c r="Q234" i="1"/>
  <x:c r="R234" i="1"/>
  <x:c r="S234" i="1"/>
  <x:c r="T234" i="1"/>
  <x:c r="W234" i="1"/>
  <x:c r="A235" i="1"/>
  <x:c r="N235" i="1"/>
  <x:c r="O235" i="1"/>
  <x:c r="P235" i="1"/>
  <x:c r="Q235" i="1"/>
  <x:c r="R235" i="1"/>
  <x:c r="S235" i="1"/>
  <x:c r="T235" i="1"/>
  <x:c r="W235" i="1"/>
  <x:c r="A236" i="1"/>
  <x:c r="N236" i="1"/>
  <x:c r="O236" i="1"/>
  <x:c r="P236" i="1"/>
  <x:c r="Q236" i="1"/>
  <x:c r="R236" i="1"/>
  <x:c r="S236" i="1"/>
  <x:c r="T236" i="1"/>
  <x:c r="A237" i="1"/>
  <x:c r="N237" i="1"/>
  <x:c r="O237" i="1"/>
  <x:c r="P237" i="1"/>
  <x:c r="Q237" i="1"/>
  <x:c r="R237" i="1"/>
  <x:c r="S237" i="1"/>
  <x:c r="T237" i="1"/>
  <x:c r="W237" i="1"/>
  <x:c r="A238" i="1"/>
  <x:c r="N238" i="1"/>
  <x:c r="O238" i="1"/>
  <x:c r="P238" i="1"/>
  <x:c r="Q238" i="1"/>
  <x:c r="R238" i="1"/>
  <x:c r="S238" i="1"/>
  <x:c r="T238" i="1"/>
  <x:c r="W238" i="1"/>
  <x:c r="A239" i="1"/>
  <x:c r="N239" i="1"/>
  <x:c r="O239" i="1"/>
  <x:c r="P239" i="1"/>
  <x:c r="Q239" i="1"/>
  <x:c r="R239" i="1"/>
  <x:c r="S239" i="1"/>
  <x:c r="T239" i="1"/>
  <x:c r="W239" i="1"/>
  <x:c r="A240" i="1"/>
  <x:c r="N240" i="1"/>
  <x:c r="O240" i="1"/>
  <x:c r="P240" i="1"/>
  <x:c r="Q240" i="1"/>
  <x:c r="R240" i="1"/>
  <x:c r="S240" i="1"/>
  <x:c r="T240" i="1"/>
  <x:c r="W240" i="1"/>
  <x:c r="A241" i="1"/>
  <x:c r="N241" i="1"/>
  <x:c r="O241" i="1"/>
  <x:c r="P241" i="1"/>
  <x:c r="Q241" i="1"/>
  <x:c r="R241" i="1"/>
  <x:c r="S241" i="1"/>
  <x:c r="T241" i="1"/>
  <x:c r="W241" i="1"/>
  <x:c r="A242" i="1"/>
  <x:c r="N242" i="1"/>
  <x:c r="O242" i="1"/>
  <x:c r="P242" i="1"/>
  <x:c r="Q242" i="1"/>
  <x:c r="R242" i="1"/>
  <x:c r="S242" i="1"/>
  <x:c r="T242" i="1"/>
  <x:c r="W242" i="1"/>
  <x:c r="A243" i="1"/>
  <x:c r="N243" i="1"/>
  <x:c r="O243" i="1"/>
  <x:c r="P243" i="1"/>
  <x:c r="Q243" i="1"/>
  <x:c r="R243" i="1"/>
  <x:c r="S243" i="1"/>
  <x:c r="T243" i="1"/>
  <x:c r="W243" i="1"/>
  <x:c r="A244" i="1"/>
  <x:c r="N244" i="1"/>
  <x:c r="O244" i="1"/>
  <x:c r="P244" i="1"/>
  <x:c r="Q244" i="1"/>
  <x:c r="R244" i="1"/>
  <x:c r="S244" i="1"/>
  <x:c r="T244" i="1"/>
  <x:c r="W244" i="1"/>
  <x:c r="A245" i="1"/>
  <x:c r="N245" i="1"/>
  <x:c r="O245" i="1"/>
  <x:c r="P245" i="1"/>
  <x:c r="Q245" i="1"/>
  <x:c r="R245" i="1"/>
  <x:c r="S245" i="1"/>
  <x:c r="T245" i="1"/>
  <x:c r="W245" i="1"/>
  <x:c r="A246" i="1"/>
  <x:c r="N246" i="1"/>
  <x:c r="O246" i="1"/>
  <x:c r="P246" i="1"/>
  <x:c r="Q246" i="1"/>
  <x:c r="R246" i="1"/>
  <x:c r="S246" i="1"/>
  <x:c r="T246" i="1"/>
  <x:c r="W246" i="1"/>
  <x:c r="A247" i="1"/>
  <x:c r="N247" i="1"/>
  <x:c r="O247" i="1"/>
  <x:c r="P247" i="1"/>
  <x:c r="Q247" i="1"/>
  <x:c r="R247" i="1"/>
  <x:c r="S247" i="1"/>
  <x:c r="T247" i="1"/>
  <x:c r="A248" i="1"/>
  <x:c r="N248" i="1"/>
  <x:c r="O248" i="1"/>
  <x:c r="P248" i="1"/>
  <x:c r="Q248" i="1"/>
  <x:c r="R248" i="1"/>
  <x:c r="S248" i="1"/>
  <x:c r="T248" i="1"/>
  <x:c r="A249" i="1"/>
  <x:c r="N249" i="1"/>
  <x:c r="O249" i="1"/>
  <x:c r="P249" i="1"/>
  <x:c r="Q249" i="1"/>
  <x:c r="R249" i="1"/>
  <x:c r="S249" i="1"/>
  <x:c r="T249" i="1"/>
  <x:c r="A250" i="1"/>
  <x:c r="N250" i="1"/>
  <x:c r="O250" i="1"/>
  <x:c r="P250" i="1"/>
  <x:c r="Q250" i="1"/>
  <x:c r="R250" i="1"/>
  <x:c r="S250" i="1"/>
  <x:c r="T250" i="1"/>
  <x:c r="W250" i="1"/>
  <x:c r="A251" i="1"/>
  <x:c r="N251" i="1"/>
  <x:c r="O251" i="1"/>
  <x:c r="P251" i="1"/>
  <x:c r="Q251" i="1"/>
  <x:c r="R251" i="1"/>
  <x:c r="S251" i="1"/>
  <x:c r="T251" i="1"/>
  <x:c r="W251" i="1"/>
  <x:c r="A252" i="1"/>
  <x:c r="N252" i="1"/>
  <x:c r="O252" i="1"/>
  <x:c r="P252" i="1"/>
  <x:c r="Q252" i="1"/>
  <x:c r="R252" i="1"/>
  <x:c r="S252" i="1"/>
  <x:c r="T252" i="1"/>
  <x:c r="W252" i="1"/>
  <x:c r="A253" i="1"/>
  <x:c r="N253" i="1"/>
  <x:c r="O253" i="1"/>
  <x:c r="P253" i="1"/>
  <x:c r="Q253" i="1"/>
  <x:c r="R253" i="1"/>
  <x:c r="S253" i="1"/>
  <x:c r="T253" i="1"/>
  <x:c r="W253" i="1"/>
  <x:c r="A254" i="1"/>
  <x:c r="N254" i="1"/>
  <x:c r="O254" i="1"/>
  <x:c r="P254" i="1"/>
  <x:c r="Q254" i="1"/>
  <x:c r="R254" i="1"/>
  <x:c r="S254" i="1"/>
  <x:c r="T254" i="1"/>
  <x:c r="W254" i="1"/>
  <x:c r="A255" i="1"/>
  <x:c r="N255" i="1"/>
  <x:c r="O255" i="1"/>
  <x:c r="P255" i="1"/>
  <x:c r="Q255" i="1"/>
  <x:c r="R255" i="1"/>
  <x:c r="S255" i="1"/>
  <x:c r="T255" i="1"/>
  <x:c r="W255" i="1"/>
  <x:c r="A256" i="1"/>
  <x:c r="N256" i="1"/>
  <x:c r="O256" i="1"/>
  <x:c r="P256" i="1"/>
  <x:c r="Q256" i="1"/>
  <x:c r="R256" i="1"/>
  <x:c r="S256" i="1"/>
  <x:c r="T256" i="1"/>
  <x:c r="W256" i="1"/>
  <x:c r="A257" i="1"/>
  <x:c r="N257" i="1"/>
  <x:c r="O257" i="1"/>
  <x:c r="P257" i="1"/>
  <x:c r="Q257" i="1"/>
  <x:c r="R257" i="1"/>
  <x:c r="S257" i="1"/>
  <x:c r="T257" i="1"/>
  <x:c r="W257" i="1"/>
  <x:c r="A258" i="1"/>
  <x:c r="N258" i="1"/>
  <x:c r="O258" i="1"/>
  <x:c r="P258" i="1"/>
  <x:c r="Q258" i="1"/>
  <x:c r="R258" i="1"/>
  <x:c r="S258" i="1"/>
  <x:c r="T258" i="1"/>
  <x:c r="W258" i="1"/>
  <x:c r="A259" i="1"/>
  <x:c r="N259" i="1"/>
  <x:c r="O259" i="1"/>
  <x:c r="P259" i="1"/>
  <x:c r="Q259" i="1"/>
  <x:c r="R259" i="1"/>
  <x:c r="S259" i="1"/>
  <x:c r="T259" i="1"/>
  <x:c r="W259" i="1"/>
  <x:c r="A260" i="1"/>
  <x:c r="N260" i="1"/>
  <x:c r="O260" i="1"/>
  <x:c r="P260" i="1"/>
  <x:c r="Q260" i="1"/>
  <x:c r="R260" i="1"/>
  <x:c r="S260" i="1"/>
  <x:c r="T260" i="1"/>
  <x:c r="W260" i="1"/>
  <x:c r="A261" i="1"/>
  <x:c r="N261" i="1"/>
  <x:c r="O261" i="1"/>
  <x:c r="P261" i="1"/>
  <x:c r="Q261" i="1"/>
  <x:c r="R261" i="1"/>
  <x:c r="S261" i="1"/>
  <x:c r="T261" i="1"/>
  <x:c r="W261" i="1"/>
  <x:c r="A262" i="1"/>
  <x:c r="N262" i="1"/>
  <x:c r="O262" i="1"/>
  <x:c r="P262" i="1"/>
  <x:c r="Q262" i="1"/>
  <x:c r="R262" i="1"/>
  <x:c r="S262" i="1"/>
  <x:c r="T262" i="1"/>
  <x:c r="W262" i="1"/>
  <x:c r="A263" i="1"/>
  <x:c r="N263" i="1"/>
  <x:c r="O263" i="1"/>
  <x:c r="P263" i="1"/>
  <x:c r="Q263" i="1"/>
  <x:c r="R263" i="1"/>
  <x:c r="S263" i="1"/>
  <x:c r="T263" i="1"/>
  <x:c r="W263" i="1"/>
  <x:c r="A264" i="1"/>
  <x:c r="N264" i="1"/>
  <x:c r="O264" i="1"/>
  <x:c r="P264" i="1"/>
  <x:c r="Q264" i="1"/>
  <x:c r="R264" i="1"/>
  <x:c r="S264" i="1"/>
  <x:c r="T264" i="1"/>
  <x:c r="W264" i="1"/>
  <x:c r="A265" i="1"/>
  <x:c r="N265" i="1"/>
  <x:c r="O265" i="1"/>
  <x:c r="P265" i="1"/>
  <x:c r="Q265" i="1"/>
  <x:c r="R265" i="1"/>
  <x:c r="S265" i="1"/>
  <x:c r="T265" i="1"/>
  <x:c r="W265" i="1"/>
  <x:c r="A266" i="1"/>
  <x:c r="N266" i="1"/>
  <x:c r="O266" i="1"/>
  <x:c r="P266" i="1"/>
  <x:c r="Q266" i="1"/>
  <x:c r="R266" i="1"/>
  <x:c r="S266" i="1"/>
  <x:c r="T266" i="1"/>
  <x:c r="W266" i="1"/>
  <x:c r="A267" i="1"/>
  <x:c r="N267" i="1"/>
  <x:c r="O267" i="1"/>
  <x:c r="P267" i="1"/>
  <x:c r="Q267" i="1"/>
  <x:c r="R267" i="1"/>
  <x:c r="S267" i="1"/>
  <x:c r="T267" i="1"/>
  <x:c r="W267" i="1"/>
  <x:c r="A268" i="1"/>
  <x:c r="N268" i="1"/>
  <x:c r="O268" i="1"/>
  <x:c r="P268" i="1"/>
  <x:c r="Q268" i="1"/>
  <x:c r="R268" i="1"/>
  <x:c r="S268" i="1"/>
  <x:c r="T268" i="1"/>
  <x:c r="W268" i="1"/>
  <x:c r="A269" i="1"/>
  <x:c r="N269" i="1"/>
  <x:c r="O269" i="1"/>
  <x:c r="P269" i="1"/>
  <x:c r="Q269" i="1"/>
  <x:c r="R269" i="1"/>
  <x:c r="S269" i="1"/>
  <x:c r="T269" i="1"/>
  <x:c r="W269" i="1"/>
  <x:c r="A270" i="1"/>
  <x:c r="N270" i="1"/>
  <x:c r="O270" i="1"/>
  <x:c r="P270" i="1"/>
  <x:c r="Q270" i="1"/>
  <x:c r="R270" i="1"/>
  <x:c r="S270" i="1"/>
  <x:c r="T270" i="1"/>
  <x:c r="W270" i="1"/>
  <x:c r="A271" i="1"/>
  <x:c r="N271" i="1"/>
  <x:c r="O271" i="1"/>
  <x:c r="P271" i="1"/>
  <x:c r="Q271" i="1"/>
  <x:c r="R271" i="1"/>
  <x:c r="S271" i="1"/>
  <x:c r="T271" i="1"/>
  <x:c r="W271" i="1"/>
  <x:c r="A272" i="1"/>
  <x:c r="N272" i="1"/>
  <x:c r="O272" i="1"/>
  <x:c r="P272" i="1"/>
  <x:c r="Q272" i="1"/>
  <x:c r="R272" i="1"/>
  <x:c r="S272" i="1"/>
  <x:c r="T272" i="1"/>
  <x:c r="W272" i="1"/>
  <x:c r="A273" i="1"/>
  <x:c r="N273" i="1"/>
  <x:c r="O273" i="1"/>
  <x:c r="P273" i="1"/>
  <x:c r="Q273" i="1"/>
  <x:c r="R273" i="1"/>
  <x:c r="S273" i="1"/>
  <x:c r="T273" i="1"/>
  <x:c r="W273" i="1"/>
  <x:c r="A274" i="1"/>
  <x:c r="N274" i="1"/>
  <x:c r="O274" i="1"/>
  <x:c r="P274" i="1"/>
  <x:c r="Q274" i="1"/>
  <x:c r="R274" i="1"/>
  <x:c r="S274" i="1"/>
  <x:c r="T274" i="1"/>
  <x:c r="W274" i="1"/>
  <x:c r="A275" i="1"/>
  <x:c r="N275" i="1"/>
  <x:c r="O275" i="1"/>
  <x:c r="P275" i="1"/>
  <x:c r="Q275" i="1"/>
  <x:c r="R275" i="1"/>
  <x:c r="S275" i="1"/>
  <x:c r="T275" i="1"/>
  <x:c r="W275" i="1"/>
  <x:c r="A276" i="1"/>
  <x:c r="N276" i="1"/>
  <x:c r="O276" i="1"/>
  <x:c r="P276" i="1"/>
  <x:c r="Q276" i="1"/>
  <x:c r="R276" i="1"/>
  <x:c r="S276" i="1"/>
  <x:c r="T276" i="1"/>
  <x:c r="W276" i="1"/>
  <x:c r="A277" i="1"/>
  <x:c r="N277" i="1"/>
  <x:c r="O277" i="1"/>
  <x:c r="P277" i="1"/>
  <x:c r="Q277" i="1"/>
  <x:c r="R277" i="1"/>
  <x:c r="S277" i="1"/>
  <x:c r="T277" i="1"/>
  <x:c r="W277" i="1"/>
  <x:c r="A278" i="1"/>
  <x:c r="N278" i="1"/>
  <x:c r="O278" i="1"/>
  <x:c r="P278" i="1"/>
  <x:c r="Q278" i="1"/>
  <x:c r="R278" i="1"/>
  <x:c r="S278" i="1"/>
  <x:c r="T278" i="1"/>
  <x:c r="A279" i="1"/>
  <x:c r="N279" i="1"/>
  <x:c r="O279" i="1"/>
  <x:c r="P279" i="1"/>
  <x:c r="Q279" i="1"/>
  <x:c r="R279" i="1"/>
  <x:c r="S279" i="1"/>
  <x:c r="T279" i="1"/>
  <x:c r="W279" i="1"/>
  <x:c r="A280" i="1"/>
  <x:c r="N280" i="1"/>
  <x:c r="O280" i="1"/>
  <x:c r="P280" i="1"/>
  <x:c r="Q280" i="1"/>
  <x:c r="R280" i="1"/>
  <x:c r="S280" i="1"/>
  <x:c r="T280" i="1"/>
  <x:c r="W280" i="1"/>
  <x:c r="A281" i="1"/>
  <x:c r="N281" i="1"/>
  <x:c r="O281" i="1"/>
  <x:c r="P281" i="1"/>
  <x:c r="Q281" i="1"/>
  <x:c r="R281" i="1"/>
  <x:c r="S281" i="1"/>
  <x:c r="T281" i="1"/>
  <x:c r="W281" i="1"/>
  <x:c r="A282" i="1"/>
  <x:c r="N282" i="1"/>
  <x:c r="O282" i="1"/>
  <x:c r="P282" i="1"/>
  <x:c r="Q282" i="1"/>
  <x:c r="R282" i="1"/>
  <x:c r="S282" i="1"/>
  <x:c r="T282" i="1"/>
  <x:c r="W282" i="1"/>
  <x:c r="A283" i="1"/>
  <x:c r="N283" i="1"/>
  <x:c r="O283" i="1"/>
  <x:c r="P283" i="1"/>
  <x:c r="Q283" i="1"/>
  <x:c r="R283" i="1"/>
  <x:c r="S283" i="1"/>
  <x:c r="T283" i="1"/>
  <x:c r="W283" i="1"/>
  <x:c r="A284" i="1"/>
  <x:c r="N284" i="1"/>
  <x:c r="O284" i="1"/>
  <x:c r="P284" i="1"/>
  <x:c r="Q284" i="1"/>
  <x:c r="R284" i="1"/>
  <x:c r="S284" i="1"/>
  <x:c r="T284" i="1"/>
  <x:c r="W284" i="1"/>
  <x:c r="A285" i="1"/>
  <x:c r="N285" i="1"/>
  <x:c r="O285" i="1"/>
  <x:c r="P285" i="1"/>
  <x:c r="Q285" i="1"/>
  <x:c r="R285" i="1"/>
  <x:c r="S285" i="1"/>
  <x:c r="T285" i="1"/>
  <x:c r="W285" i="1"/>
  <x:c r="A286" i="1"/>
  <x:c r="N286" i="1"/>
  <x:c r="O286" i="1"/>
  <x:c r="P286" i="1"/>
  <x:c r="Q286" i="1"/>
  <x:c r="R286" i="1"/>
  <x:c r="S286" i="1"/>
  <x:c r="T286" i="1"/>
  <x:c r="W286" i="1"/>
  <x:c r="A287" i="1"/>
  <x:c r="N287" i="1"/>
  <x:c r="O287" i="1"/>
  <x:c r="P287" i="1"/>
  <x:c r="Q287" i="1"/>
  <x:c r="R287" i="1"/>
  <x:c r="S287" i="1"/>
  <x:c r="T287" i="1"/>
  <x:c r="A288" i="1"/>
  <x:c r="N288" i="1"/>
  <x:c r="O288" i="1"/>
  <x:c r="P288" i="1"/>
  <x:c r="Q288" i="1"/>
  <x:c r="R288" i="1"/>
  <x:c r="S288" i="1"/>
  <x:c r="T288" i="1"/>
  <x:c r="W288" i="1"/>
  <x:c r="A289" i="1"/>
  <x:c r="N289" i="1"/>
  <x:c r="O289" i="1"/>
  <x:c r="P289" i="1"/>
  <x:c r="Q289" i="1"/>
  <x:c r="R289" i="1"/>
  <x:c r="S289" i="1"/>
  <x:c r="T289" i="1"/>
  <x:c r="W289" i="1"/>
  <x:c r="A290" i="1"/>
  <x:c r="N290" i="1"/>
  <x:c r="O290" i="1"/>
  <x:c r="P290" i="1"/>
  <x:c r="Q290" i="1"/>
  <x:c r="R290" i="1"/>
  <x:c r="S290" i="1"/>
  <x:c r="T290" i="1"/>
  <x:c r="W290" i="1"/>
  <x:c r="A291" i="1"/>
  <x:c r="N291" i="1"/>
  <x:c r="O291" i="1"/>
  <x:c r="P291" i="1"/>
  <x:c r="Q291" i="1"/>
  <x:c r="R291" i="1"/>
  <x:c r="S291" i="1"/>
  <x:c r="T291" i="1"/>
  <x:c r="W291" i="1"/>
  <x:c r="A292" i="1"/>
  <x:c r="N292" i="1"/>
  <x:c r="O292" i="1"/>
  <x:c r="P292" i="1"/>
  <x:c r="Q292" i="1"/>
  <x:c r="R292" i="1"/>
  <x:c r="S292" i="1"/>
  <x:c r="T292" i="1"/>
  <x:c r="A293" i="1"/>
  <x:c r="N293" i="1"/>
  <x:c r="O293" i="1"/>
  <x:c r="P293" i="1"/>
  <x:c r="Q293" i="1"/>
  <x:c r="R293" i="1"/>
  <x:c r="S293" i="1"/>
  <x:c r="T293" i="1"/>
  <x:c r="W293" i="1"/>
  <x:c r="A294" i="1"/>
  <x:c r="N294" i="1"/>
  <x:c r="O294" i="1"/>
  <x:c r="P294" i="1"/>
  <x:c r="Q294" i="1"/>
  <x:c r="R294" i="1"/>
  <x:c r="S294" i="1"/>
  <x:c r="T294" i="1"/>
  <x:c r="W294" i="1"/>
  <x:c r="A295" i="1"/>
  <x:c r="N295" i="1"/>
  <x:c r="O295" i="1"/>
  <x:c r="P295" i="1"/>
  <x:c r="Q295" i="1"/>
  <x:c r="R295" i="1"/>
  <x:c r="S295" i="1"/>
  <x:c r="T295" i="1"/>
  <x:c r="W295" i="1"/>
  <x:c r="A296" i="1"/>
  <x:c r="N296" i="1"/>
  <x:c r="O296" i="1"/>
  <x:c r="P296" i="1"/>
  <x:c r="Q296" i="1"/>
  <x:c r="R296" i="1"/>
  <x:c r="S296" i="1"/>
  <x:c r="T296" i="1"/>
  <x:c r="W296" i="1"/>
  <x:c r="A297" i="1"/>
  <x:c r="N297" i="1"/>
  <x:c r="O297" i="1"/>
  <x:c r="P297" i="1"/>
  <x:c r="Q297" i="1"/>
  <x:c r="R297" i="1"/>
  <x:c r="S297" i="1"/>
  <x:c r="T297" i="1"/>
  <x:c r="W297" i="1"/>
  <x:c r="A298" i="1"/>
  <x:c r="N298" i="1"/>
  <x:c r="O298" i="1"/>
  <x:c r="P298" i="1"/>
  <x:c r="Q298" i="1"/>
  <x:c r="R298" i="1"/>
  <x:c r="S298" i="1"/>
  <x:c r="T298" i="1"/>
  <x:c r="W298" i="1"/>
  <x:c r="A299" i="1"/>
  <x:c r="N299" i="1"/>
  <x:c r="O299" i="1"/>
  <x:c r="P299" i="1"/>
  <x:c r="Q299" i="1"/>
  <x:c r="R299" i="1"/>
  <x:c r="S299" i="1"/>
  <x:c r="T299" i="1"/>
  <x:c r="W299" i="1"/>
  <x:c r="A300" i="1"/>
  <x:c r="N300" i="1"/>
  <x:c r="O300" i="1"/>
  <x:c r="P300" i="1"/>
  <x:c r="Q300" i="1"/>
  <x:c r="R300" i="1"/>
  <x:c r="S300" i="1"/>
  <x:c r="T300" i="1"/>
  <x:c r="W300" i="1"/>
  <x:c r="A301" i="1"/>
  <x:c r="N301" i="1"/>
  <x:c r="O301" i="1"/>
  <x:c r="P301" i="1"/>
  <x:c r="Q301" i="1"/>
  <x:c r="R301" i="1"/>
  <x:c r="S301" i="1"/>
  <x:c r="T301" i="1"/>
  <x:c r="W301" i="1"/>
  <x:c r="A302" i="1"/>
  <x:c r="N302" i="1"/>
  <x:c r="O302" i="1"/>
  <x:c r="P302" i="1"/>
  <x:c r="Q302" i="1"/>
  <x:c r="R302" i="1"/>
  <x:c r="S302" i="1"/>
  <x:c r="T302" i="1"/>
  <x:c r="W302" i="1"/>
  <x:c r="A303" i="1"/>
  <x:c r="N303" i="1"/>
  <x:c r="O303" i="1"/>
  <x:c r="P303" i="1"/>
  <x:c r="Q303" i="1"/>
  <x:c r="R303" i="1"/>
  <x:c r="S303" i="1"/>
  <x:c r="T303" i="1"/>
  <x:c r="W303" i="1"/>
  <x:c r="A304" i="1"/>
  <x:c r="N304" i="1"/>
  <x:c r="O304" i="1"/>
  <x:c r="P304" i="1"/>
  <x:c r="Q304" i="1"/>
  <x:c r="R304" i="1"/>
  <x:c r="S304" i="1"/>
  <x:c r="T304" i="1"/>
  <x:c r="W304" i="1"/>
  <x:c r="A305" i="1"/>
  <x:c r="N305" i="1"/>
  <x:c r="O305" i="1"/>
  <x:c r="P305" i="1"/>
  <x:c r="Q305" i="1"/>
  <x:c r="R305" i="1"/>
  <x:c r="S305" i="1"/>
  <x:c r="T305" i="1"/>
  <x:c r="W305" i="1"/>
  <x:c r="A306" i="1"/>
  <x:c r="N306" i="1"/>
  <x:c r="O306" i="1"/>
  <x:c r="P306" i="1"/>
  <x:c r="Q306" i="1"/>
  <x:c r="R306" i="1"/>
  <x:c r="S306" i="1"/>
  <x:c r="T306" i="1"/>
  <x:c r="W306" i="1"/>
  <x:c r="A307" i="1"/>
  <x:c r="N307" i="1"/>
  <x:c r="O307" i="1"/>
  <x:c r="P307" i="1"/>
  <x:c r="Q307" i="1"/>
  <x:c r="R307" i="1"/>
  <x:c r="S307" i="1"/>
  <x:c r="T307" i="1"/>
  <x:c r="W307" i="1"/>
  <x:c r="A308" i="1"/>
  <x:c r="N308" i="1"/>
  <x:c r="O308" i="1"/>
  <x:c r="P308" i="1"/>
  <x:c r="Q308" i="1"/>
  <x:c r="R308" i="1"/>
  <x:c r="S308" i="1"/>
  <x:c r="T308" i="1"/>
  <x:c r="W308" i="1"/>
  <x:c r="A309" i="1"/>
  <x:c r="N309" i="1"/>
  <x:c r="O309" i="1"/>
  <x:c r="P309" i="1"/>
  <x:c r="Q309" i="1"/>
  <x:c r="R309" i="1"/>
  <x:c r="S309" i="1"/>
  <x:c r="T309" i="1"/>
  <x:c r="W309" i="1"/>
  <x:c r="A310" i="1"/>
  <x:c r="N310" i="1"/>
  <x:c r="O310" i="1"/>
  <x:c r="P310" i="1"/>
  <x:c r="Q310" i="1"/>
  <x:c r="R310" i="1"/>
  <x:c r="S310" i="1"/>
  <x:c r="T310" i="1"/>
  <x:c r="W310" i="1"/>
  <x:c r="A311" i="1"/>
  <x:c r="N311" i="1"/>
  <x:c r="O311" i="1"/>
  <x:c r="P311" i="1"/>
  <x:c r="Q311" i="1"/>
  <x:c r="R311" i="1"/>
  <x:c r="S311" i="1"/>
  <x:c r="T311" i="1"/>
  <x:c r="W311" i="1"/>
  <x:c r="A312" i="1"/>
  <x:c r="N312" i="1"/>
  <x:c r="O312" i="1"/>
  <x:c r="P312" i="1"/>
  <x:c r="Q312" i="1"/>
  <x:c r="R312" i="1"/>
  <x:c r="S312" i="1"/>
  <x:c r="T312" i="1"/>
  <x:c r="W312" i="1"/>
  <x:c r="A313" i="1"/>
  <x:c r="N313" i="1"/>
  <x:c r="O313" i="1"/>
  <x:c r="P313" i="1"/>
  <x:c r="Q313" i="1"/>
  <x:c r="R313" i="1"/>
  <x:c r="S313" i="1"/>
  <x:c r="T313" i="1"/>
  <x:c r="W313" i="1"/>
  <x:c r="A314" i="1"/>
  <x:c r="N314" i="1"/>
  <x:c r="O314" i="1"/>
  <x:c r="P314" i="1"/>
  <x:c r="Q314" i="1"/>
  <x:c r="R314" i="1"/>
  <x:c r="S314" i="1"/>
  <x:c r="T314" i="1"/>
  <x:c r="W314" i="1"/>
  <x:c r="A315" i="1"/>
  <x:c r="N315" i="1"/>
  <x:c r="O315" i="1"/>
  <x:c r="P315" i="1"/>
  <x:c r="Q315" i="1"/>
  <x:c r="R315" i="1"/>
  <x:c r="S315" i="1"/>
  <x:c r="T315" i="1"/>
  <x:c r="A316" i="1"/>
  <x:c r="N316" i="1"/>
  <x:c r="O316" i="1"/>
  <x:c r="P316" i="1"/>
  <x:c r="Q316" i="1"/>
  <x:c r="R316" i="1"/>
  <x:c r="S316" i="1"/>
  <x:c r="T316" i="1"/>
  <x:c r="W316" i="1"/>
  <x:c r="A317" i="1"/>
  <x:c r="N317" i="1"/>
  <x:c r="O317" i="1"/>
  <x:c r="P317" i="1"/>
  <x:c r="Q317" i="1"/>
  <x:c r="R317" i="1"/>
  <x:c r="S317" i="1"/>
  <x:c r="T317" i="1"/>
  <x:c r="W317" i="1"/>
  <x:c r="A318" i="1"/>
  <x:c r="N318" i="1"/>
  <x:c r="O318" i="1"/>
  <x:c r="P318" i="1"/>
  <x:c r="Q318" i="1"/>
  <x:c r="R318" i="1"/>
  <x:c r="S318" i="1"/>
  <x:c r="T318" i="1"/>
  <x:c r="W318" i="1"/>
  <x:c r="A319" i="1"/>
  <x:c r="N319" i="1"/>
  <x:c r="O319" i="1"/>
  <x:c r="P319" i="1"/>
  <x:c r="Q319" i="1"/>
  <x:c r="R319" i="1"/>
  <x:c r="S319" i="1"/>
  <x:c r="T319" i="1"/>
  <x:c r="W319" i="1"/>
  <x:c r="A320" i="1"/>
  <x:c r="N320" i="1"/>
  <x:c r="O320" i="1"/>
  <x:c r="P320" i="1"/>
  <x:c r="Q320" i="1"/>
  <x:c r="R320" i="1"/>
  <x:c r="S320" i="1"/>
  <x:c r="T320" i="1"/>
  <x:c r="W320" i="1"/>
  <x:c r="A321" i="1"/>
  <x:c r="N321" i="1"/>
  <x:c r="O321" i="1"/>
  <x:c r="P321" i="1"/>
  <x:c r="Q321" i="1"/>
  <x:c r="R321" i="1"/>
  <x:c r="S321" i="1"/>
  <x:c r="T321" i="1"/>
  <x:c r="A322" i="1"/>
  <x:c r="N322" i="1"/>
  <x:c r="O322" i="1"/>
  <x:c r="P322" i="1"/>
  <x:c r="Q322" i="1"/>
  <x:c r="R322" i="1"/>
  <x:c r="S322" i="1"/>
  <x:c r="T322" i="1"/>
  <x:c r="W322" i="1"/>
  <x:c r="A323" i="1"/>
  <x:c r="N323" i="1"/>
  <x:c r="O323" i="1"/>
  <x:c r="P323" i="1"/>
  <x:c r="Q323" i="1"/>
  <x:c r="R323" i="1"/>
  <x:c r="S323" i="1"/>
  <x:c r="T323" i="1"/>
  <x:c r="W323" i="1"/>
  <x:c r="A324" i="1"/>
  <x:c r="N324" i="1"/>
  <x:c r="O324" i="1"/>
  <x:c r="P324" i="1"/>
  <x:c r="Q324" i="1"/>
  <x:c r="R324" i="1"/>
  <x:c r="S324" i="1"/>
  <x:c r="T324" i="1"/>
  <x:c r="W324" i="1"/>
  <x:c r="A325" i="1"/>
  <x:c r="N325" i="1"/>
  <x:c r="O325" i="1"/>
  <x:c r="P325" i="1"/>
  <x:c r="Q325" i="1"/>
  <x:c r="R325" i="1"/>
  <x:c r="S325" i="1"/>
  <x:c r="T325" i="1"/>
  <x:c r="W325" i="1"/>
  <x:c r="A326" i="1"/>
  <x:c r="N326" i="1"/>
  <x:c r="O326" i="1"/>
  <x:c r="P326" i="1"/>
  <x:c r="Q326" i="1"/>
  <x:c r="R326" i="1"/>
  <x:c r="S326" i="1"/>
  <x:c r="T326" i="1"/>
  <x:c r="W326" i="1"/>
  <x:c r="A327" i="1"/>
  <x:c r="N327" i="1"/>
  <x:c r="O327" i="1"/>
  <x:c r="P327" i="1"/>
  <x:c r="Q327" i="1"/>
  <x:c r="R327" i="1"/>
  <x:c r="S327" i="1"/>
  <x:c r="T327" i="1"/>
  <x:c r="W327" i="1"/>
  <x:c r="A328" i="1"/>
  <x:c r="N328" i="1"/>
  <x:c r="O328" i="1"/>
  <x:c r="P328" i="1"/>
  <x:c r="Q328" i="1"/>
  <x:c r="R328" i="1"/>
  <x:c r="S328" i="1"/>
  <x:c r="T328" i="1"/>
  <x:c r="W328" i="1"/>
  <x:c r="A329" i="1"/>
  <x:c r="N329" i="1"/>
  <x:c r="O329" i="1"/>
  <x:c r="P329" i="1"/>
  <x:c r="Q329" i="1"/>
  <x:c r="R329" i="1"/>
  <x:c r="S329" i="1"/>
  <x:c r="T329" i="1"/>
  <x:c r="W329" i="1"/>
  <x:c r="A330" i="1"/>
  <x:c r="N330" i="1"/>
  <x:c r="O330" i="1"/>
  <x:c r="P330" i="1"/>
  <x:c r="Q330" i="1"/>
  <x:c r="R330" i="1"/>
  <x:c r="S330" i="1"/>
  <x:c r="T330" i="1"/>
  <x:c r="W330" i="1"/>
  <x:c r="A331" i="1"/>
  <x:c r="N331" i="1"/>
  <x:c r="O331" i="1"/>
  <x:c r="P331" i="1"/>
  <x:c r="Q331" i="1"/>
  <x:c r="R331" i="1"/>
  <x:c r="S331" i="1"/>
  <x:c r="T331" i="1"/>
  <x:c r="W331" i="1"/>
  <x:c r="A332" i="1"/>
  <x:c r="N332" i="1"/>
  <x:c r="O332" i="1"/>
  <x:c r="P332" i="1"/>
  <x:c r="Q332" i="1"/>
  <x:c r="R332" i="1"/>
  <x:c r="S332" i="1"/>
  <x:c r="T332" i="1"/>
  <x:c r="W332" i="1"/>
  <x:c r="A333" i="1"/>
  <x:c r="N333" i="1"/>
  <x:c r="O333" i="1"/>
  <x:c r="P333" i="1"/>
  <x:c r="Q333" i="1"/>
  <x:c r="R333" i="1"/>
  <x:c r="S333" i="1"/>
  <x:c r="T333" i="1"/>
  <x:c r="W333" i="1"/>
  <x:c r="A334" i="1"/>
  <x:c r="N334" i="1"/>
  <x:c r="O334" i="1"/>
  <x:c r="P334" i="1"/>
  <x:c r="Q334" i="1"/>
  <x:c r="R334" i="1"/>
  <x:c r="S334" i="1"/>
  <x:c r="T334" i="1"/>
  <x:c r="W334" i="1"/>
  <x:c r="A335" i="1"/>
  <x:c r="N335" i="1"/>
  <x:c r="O335" i="1"/>
  <x:c r="P335" i="1"/>
  <x:c r="Q335" i="1"/>
  <x:c r="R335" i="1"/>
  <x:c r="S335" i="1"/>
  <x:c r="T335" i="1"/>
  <x:c r="W335" i="1"/>
  <x:c r="A336" i="1"/>
  <x:c r="N336" i="1"/>
  <x:c r="O336" i="1"/>
  <x:c r="P336" i="1"/>
  <x:c r="Q336" i="1"/>
  <x:c r="R336" i="1"/>
  <x:c r="S336" i="1"/>
  <x:c r="T336" i="1"/>
  <x:c r="W336" i="1"/>
  <x:c r="A337" i="1"/>
  <x:c r="N337" i="1"/>
  <x:c r="O337" i="1"/>
  <x:c r="P337" i="1"/>
  <x:c r="Q337" i="1"/>
  <x:c r="R337" i="1"/>
  <x:c r="S337" i="1"/>
  <x:c r="T337" i="1"/>
  <x:c r="W337" i="1"/>
  <x:c r="A338" i="1"/>
  <x:c r="N338" i="1"/>
  <x:c r="O338" i="1"/>
  <x:c r="P338" i="1"/>
  <x:c r="Q338" i="1"/>
  <x:c r="R338" i="1"/>
  <x:c r="S338" i="1"/>
  <x:c r="T338" i="1"/>
  <x:c r="W338" i="1"/>
  <x:c r="A339" i="1"/>
  <x:c r="N339" i="1"/>
  <x:c r="O339" i="1"/>
  <x:c r="P339" i="1"/>
  <x:c r="Q339" i="1"/>
  <x:c r="R339" i="1"/>
  <x:c r="S339" i="1"/>
  <x:c r="T339" i="1"/>
  <x:c r="W339" i="1"/>
  <x:c r="A340" i="1"/>
  <x:c r="N340" i="1"/>
  <x:c r="O340" i="1"/>
  <x:c r="P340" i="1"/>
  <x:c r="Q340" i="1"/>
  <x:c r="R340" i="1"/>
  <x:c r="S340" i="1"/>
  <x:c r="T340" i="1"/>
  <x:c r="W340" i="1"/>
  <x:c r="A341" i="1"/>
  <x:c r="N341" i="1"/>
  <x:c r="O341" i="1"/>
  <x:c r="P341" i="1"/>
  <x:c r="Q341" i="1"/>
  <x:c r="R341" i="1"/>
  <x:c r="S341" i="1"/>
  <x:c r="T341" i="1"/>
  <x:c r="W341" i="1"/>
  <x:c r="A342" i="1"/>
  <x:c r="N342" i="1"/>
  <x:c r="O342" i="1"/>
  <x:c r="P342" i="1"/>
  <x:c r="Q342" i="1"/>
  <x:c r="R342" i="1"/>
  <x:c r="S342" i="1"/>
  <x:c r="T342" i="1"/>
  <x:c r="W342" i="1"/>
  <x:c r="A343" i="1"/>
  <x:c r="N343" i="1"/>
  <x:c r="O343" i="1"/>
  <x:c r="P343" i="1"/>
  <x:c r="Q343" i="1"/>
  <x:c r="R343" i="1"/>
  <x:c r="S343" i="1"/>
  <x:c r="T343" i="1"/>
  <x:c r="W343" i="1"/>
  <x:c r="A344" i="1"/>
  <x:c r="N344" i="1"/>
  <x:c r="O344" i="1"/>
  <x:c r="P344" i="1"/>
  <x:c r="Q344" i="1"/>
  <x:c r="R344" i="1"/>
  <x:c r="S344" i="1"/>
  <x:c r="T344" i="1"/>
  <x:c r="W344" i="1"/>
  <x:c r="A345" i="1"/>
  <x:c r="N345" i="1"/>
  <x:c r="O345" i="1"/>
  <x:c r="P345" i="1"/>
  <x:c r="Q345" i="1"/>
  <x:c r="R345" i="1"/>
  <x:c r="S345" i="1"/>
  <x:c r="T345" i="1"/>
  <x:c r="W345" i="1"/>
  <x:c r="A346" i="1"/>
  <x:c r="N346" i="1"/>
  <x:c r="O346" i="1"/>
  <x:c r="P346" i="1"/>
  <x:c r="Q346" i="1"/>
  <x:c r="R346" i="1"/>
  <x:c r="S346" i="1"/>
  <x:c r="T346" i="1"/>
  <x:c r="W346" i="1"/>
  <x:c r="A347" i="1"/>
  <x:c r="N347" i="1"/>
  <x:c r="O347" i="1"/>
  <x:c r="P347" i="1"/>
  <x:c r="Q347" i="1"/>
  <x:c r="R347" i="1"/>
  <x:c r="S347" i="1"/>
  <x:c r="T347" i="1"/>
  <x:c r="W347" i="1"/>
  <x:c r="A348" i="1"/>
  <x:c r="N348" i="1"/>
  <x:c r="O348" i="1"/>
  <x:c r="P348" i="1"/>
  <x:c r="Q348" i="1"/>
  <x:c r="R348" i="1"/>
  <x:c r="S348" i="1"/>
  <x:c r="T348" i="1"/>
  <x:c r="W348" i="1"/>
  <x:c r="A349" i="1"/>
  <x:c r="N349" i="1"/>
  <x:c r="O349" i="1"/>
  <x:c r="P349" i="1"/>
  <x:c r="Q349" i="1"/>
  <x:c r="R349" i="1"/>
  <x:c r="S349" i="1"/>
  <x:c r="T349" i="1"/>
  <x:c r="W349" i="1"/>
  <x:c r="A350" i="1"/>
  <x:c r="N350" i="1"/>
  <x:c r="O350" i="1"/>
  <x:c r="P350" i="1"/>
  <x:c r="Q350" i="1"/>
  <x:c r="R350" i="1"/>
  <x:c r="S350" i="1"/>
  <x:c r="T350" i="1"/>
  <x:c r="W350" i="1"/>
  <x:c r="A351" i="1"/>
  <x:c r="N351" i="1"/>
  <x:c r="O351" i="1"/>
  <x:c r="P351" i="1"/>
  <x:c r="Q351" i="1"/>
  <x:c r="R351" i="1"/>
  <x:c r="S351" i="1"/>
  <x:c r="T351" i="1"/>
  <x:c r="W351" i="1"/>
  <x:c r="A352" i="1"/>
  <x:c r="N352" i="1"/>
  <x:c r="O352" i="1"/>
  <x:c r="P352" i="1"/>
  <x:c r="Q352" i="1"/>
  <x:c r="R352" i="1"/>
  <x:c r="S352" i="1"/>
  <x:c r="T352" i="1"/>
  <x:c r="W352" i="1"/>
  <x:c r="A353" i="1"/>
  <x:c r="N353" i="1"/>
  <x:c r="O353" i="1"/>
  <x:c r="P353" i="1"/>
  <x:c r="Q353" i="1"/>
  <x:c r="R353" i="1"/>
  <x:c r="S353" i="1"/>
  <x:c r="T353" i="1"/>
  <x:c r="W353" i="1"/>
  <x:c r="A354" i="1"/>
  <x:c r="N354" i="1"/>
  <x:c r="O354" i="1"/>
  <x:c r="P354" i="1"/>
  <x:c r="Q354" i="1"/>
  <x:c r="R354" i="1"/>
  <x:c r="S354" i="1"/>
  <x:c r="T354" i="1"/>
  <x:c r="W354" i="1"/>
  <x:c r="A355" i="1"/>
  <x:c r="N355" i="1"/>
  <x:c r="O355" i="1"/>
  <x:c r="P355" i="1"/>
  <x:c r="Q355" i="1"/>
  <x:c r="R355" i="1"/>
  <x:c r="S355" i="1"/>
  <x:c r="T355" i="1"/>
  <x:c r="W355" i="1"/>
  <x:c r="A356" i="1"/>
  <x:c r="N356" i="1"/>
  <x:c r="O356" i="1"/>
  <x:c r="P356" i="1"/>
  <x:c r="Q356" i="1"/>
  <x:c r="R356" i="1"/>
  <x:c r="S356" i="1"/>
  <x:c r="T356" i="1"/>
  <x:c r="W356" i="1"/>
  <x:c r="A357" i="1"/>
  <x:c r="N357" i="1"/>
  <x:c r="O357" i="1"/>
  <x:c r="P357" i="1"/>
  <x:c r="Q357" i="1"/>
  <x:c r="R357" i="1"/>
  <x:c r="S357" i="1"/>
  <x:c r="T357" i="1"/>
  <x:c r="W357" i="1"/>
  <x:c r="A358" i="1"/>
  <x:c r="N358" i="1"/>
  <x:c r="O358" i="1"/>
  <x:c r="P358" i="1"/>
  <x:c r="Q358" i="1"/>
  <x:c r="R358" i="1"/>
  <x:c r="S358" i="1"/>
  <x:c r="T358" i="1"/>
  <x:c r="W358" i="1"/>
  <x:c r="A359" i="1"/>
  <x:c r="N359" i="1"/>
  <x:c r="O359" i="1"/>
  <x:c r="P359" i="1"/>
  <x:c r="Q359" i="1"/>
  <x:c r="R359" i="1"/>
  <x:c r="S359" i="1"/>
  <x:c r="T359" i="1"/>
  <x:c r="W359" i="1"/>
  <x:c r="A360" i="1"/>
  <x:c r="N360" i="1"/>
  <x:c r="O360" i="1"/>
  <x:c r="P360" i="1"/>
  <x:c r="Q360" i="1"/>
  <x:c r="R360" i="1"/>
  <x:c r="S360" i="1"/>
  <x:c r="T360" i="1"/>
  <x:c r="W360" i="1"/>
  <x:c r="A361" i="1"/>
  <x:c r="N361" i="1"/>
  <x:c r="O361" i="1"/>
  <x:c r="P361" i="1"/>
  <x:c r="Q361" i="1"/>
  <x:c r="R361" i="1"/>
  <x:c r="S361" i="1"/>
  <x:c r="T361" i="1"/>
  <x:c r="W361" i="1"/>
  <x:c r="N362" i="1"/>
  <x:c r="O362" i="1"/>
  <x:c r="P362" i="1"/>
  <x:c r="Q362" i="1"/>
  <x:c r="R362" i="1"/>
  <x:c r="S362" i="1"/>
  <x:c r="T362" i="1"/>
  <x:c r="W362" i="1"/>
  <x:c r="A2" i="3"/>
  <x:c r="A3" i="3"/>
  <x:c r="A4" i="3"/>
  <x:c r="A5" i="3"/>
  <x:c r="A6" i="3"/>
  <x:c r="A7" i="3"/>
  <x:c r="A8" i="3"/>
  <x:c r="A9" i="3"/>
  <x:c r="A10" i="3"/>
  <x:c r="A11" i="3"/>
  <x:c r="A12" i="3"/>
  <x:c r="A13" i="3"/>
  <x:c r="A14" i="3"/>
  <x:c r="A15" i="3"/>
  <x:c r="A16" i="3"/>
  <x:c r="A17" i="3"/>
  <x:c r="A18" i="3"/>
  <x:c r="A19" i="3"/>
  <x:c r="A20" i="3"/>
  <x:c r="A21" i="3"/>
  <x:c r="A22" i="3"/>
  <x:c r="A23" i="3"/>
  <x:c r="A24" i="3"/>
  <x:c r="A25" i="3"/>
  <x:c r="A26" i="3"/>
  <x:c r="A27" i="3"/>
  <x:c r="A28" i="3"/>
  <x:c r="A29" i="3"/>
  <x:c r="A30" i="3"/>
  <x:c r="A31" i="3"/>
  <x:c r="A32" i="3"/>
  <x:c r="A33" i="3"/>
  <x:c r="A34" i="3"/>
  <x:c r="A35" i="3"/>
  <x:c r="A36" i="3"/>
  <x:c r="A37" i="3"/>
  <x:c r="A38" i="3"/>
  <x:c r="A39" i="3"/>
  <x:c r="A40" i="3"/>
  <x:c r="A41" i="3"/>
  <x:c r="A42" i="3"/>
  <x:c r="A43" i="3"/>
  <x:c r="A44" i="3"/>
  <x:c r="A45" i="3"/>
  <x:c r="A46" i="3"/>
  <x:c r="A47" i="3"/>
  <x:c r="A48" i="3"/>
  <x:c r="A49" i="3"/>
  <x:c r="A50" i="3"/>
  <x:c r="A51" i="3"/>
  <x:c r="A52" i="3"/>
  <x:c r="A53" i="3"/>
  <x:c r="A54" i="3"/>
  <x:c r="A55" i="3"/>
  <x:c r="A56" i="3"/>
  <x:c r="A57" i="3"/>
  <x:c r="A58" i="3"/>
  <x:c r="A59" i="3"/>
  <x:c r="A60" i="3"/>
  <x:c r="A61" i="3"/>
  <x:c r="A62" i="3"/>
  <x:c r="A63" i="3"/>
  <x:c r="A64" i="3"/>
  <x:c r="A65" i="3"/>
  <x:c r="A66" i="3"/>
  <x:c r="A67" i="3"/>
  <x:c r="A68" i="3"/>
  <x:c r="A69" i="3"/>
  <x:c r="A70" i="3"/>
  <x:c r="A71" i="3"/>
  <x:c r="A72" i="3"/>
  <x:c r="A73" i="3"/>
  <x:c r="A74" i="3"/>
  <x:c r="A75" i="3"/>
  <x:c r="A76" i="3"/>
  <x:c r="A77" i="3"/>
  <x:c r="A78" i="3"/>
  <x:c r="A79" i="3"/>
  <x:c r="A80" i="3"/>
  <x:c r="A81" i="3"/>
  <x:c r="A82" i="3"/>
  <x:c r="A83" i="3"/>
  <x:c r="A84" i="3"/>
  <x:c r="A85" i="3"/>
  <x:c r="A86" i="3"/>
  <x:c r="A87" i="3"/>
  <x:c r="A88" i="3"/>
  <x:c r="A89" i="3"/>
  <x:c r="A90" i="3"/>
  <x:c r="A91" i="3"/>
  <x:c r="A92" i="3"/>
  <x:c r="A93" i="3"/>
  <x:c r="A94" i="3"/>
  <x:c r="A95" i="3"/>
  <x:c r="A96" i="3"/>
  <x:c r="A97" i="3"/>
  <x:c r="A98" i="3"/>
  <x:c r="A99" i="3"/>
  <x:c r="A100" i="3"/>
  <x:c r="A101" i="3"/>
  <x:c r="A102" i="3"/>
  <x:c r="A103" i="3"/>
  <x:c r="A104" i="3"/>
  <x:c r="A105" i="3"/>
  <x:c r="A106" i="3"/>
  <x:c r="A107" i="3"/>
  <x:c r="A108" i="3"/>
  <x:c r="A109" i="3"/>
  <x:c r="A110" i="3"/>
  <x:c r="A111" i="3"/>
  <x:c r="A112" i="3"/>
  <x:c r="A113" i="3"/>
  <x:c r="A114" i="3"/>
  <x:c r="A115" i="3"/>
  <x:c r="A116" i="3"/>
  <x:c r="A117" i="3"/>
  <x:c r="A118" i="3"/>
  <x:c r="A119" i="3"/>
  <x:c r="A120" i="3"/>
  <x:c r="A121" i="3"/>
  <x:c r="A122" i="3"/>
  <x:c r="A123" i="3"/>
  <x:c r="A124" i="3"/>
  <x:c r="A125" i="3"/>
  <x:c r="A126" i="3"/>
  <x:c r="A127" i="3"/>
  <x:c r="A128" i="3"/>
  <x:c r="A129" i="3"/>
  <x:c r="A130" i="3"/>
  <x:c r="A131" i="3"/>
  <x:c r="A132" i="3"/>
  <x:c r="A133" i="3"/>
  <x:c r="A134" i="3"/>
  <x:c r="A135" i="3"/>
  <x:c r="A136" i="3"/>
  <x:c r="A137" i="3"/>
  <x:c r="A138" i="3"/>
  <x:c r="A139" i="3"/>
  <x:c r="A140" i="3"/>
  <x:c r="A141" i="3"/>
  <x:c r="A142" i="3"/>
  <x:c r="A143" i="3"/>
  <x:c r="A144" i="3"/>
  <x:c r="A145" i="3"/>
  <x:c r="A146" i="3"/>
  <x:c r="A147" i="3"/>
  <x:c r="A148" i="3"/>
  <x:c r="A149" i="3"/>
  <x:c r="A150" i="3"/>
  <x:c r="A151" i="3"/>
  <x:c r="A152" i="3"/>
  <x:c r="A153" i="3"/>
  <x:c r="A154" i="3"/>
  <x:c r="A155" i="3"/>
  <x:c r="A156" i="3"/>
  <x:c r="A157" i="3"/>
  <x:c r="A158" i="3"/>
  <x:c r="A159" i="3"/>
  <x:c r="A160" i="3"/>
  <x:c r="A161" i="3"/>
  <x:c r="A162" i="3"/>
  <x:c r="A163" i="3"/>
  <x:c r="A164" i="3"/>
  <x:c r="A165" i="3"/>
  <x:c r="A166" i="3"/>
  <x:c r="A167" i="3"/>
  <x:c r="A168" i="3"/>
  <x:c r="A169" i="3"/>
  <x:c r="A170" i="3"/>
  <x:c r="A171" i="3"/>
  <x:c r="A172" i="3"/>
  <x:c r="A173" i="3"/>
  <x:c r="A174" i="3"/>
  <x:c r="A175" i="3"/>
  <x:c r="A176" i="3"/>
  <x:c r="A177" i="3"/>
  <x:c r="A178" i="3"/>
  <x:c r="A179" i="3"/>
  <x:c r="A180" i="3"/>
  <x:c r="A181" i="3"/>
  <x:c r="A182" i="3"/>
  <x:c r="A183" i="3"/>
  <x:c r="A184" i="3"/>
  <x:c r="A185" i="3"/>
  <x:c r="A186" i="3"/>
  <x:c r="A187" i="3"/>
  <x:c r="A188" i="3"/>
  <x:c r="A189" i="3"/>
  <x:c r="A190" i="3"/>
  <x:c r="A191" i="3"/>
  <x:c r="A192" i="3"/>
  <x:c r="A193" i="3"/>
  <x:c r="A194" i="3"/>
  <x:c r="A195" i="3"/>
  <x:c r="A196" i="3"/>
  <x:c r="A197" i="3"/>
  <x:c r="A198" i="3"/>
  <x:c r="A199" i="3"/>
  <x:c r="A200" i="3"/>
  <x:c r="A201" i="3"/>
  <x:c r="A202" i="3"/>
  <x:c r="A203" i="3"/>
  <x:c r="A204" i="3"/>
  <x:c r="A205" i="3"/>
  <x:c r="A206" i="3"/>
  <x:c r="A207" i="3"/>
  <x:c r="A208" i="3"/>
  <x:c r="A209" i="3"/>
  <x:c r="A210" i="3"/>
  <x:c r="A211" i="3"/>
  <x:c r="A212" i="3"/>
  <x:c r="A213" i="3"/>
  <x:c r="A214" i="3"/>
  <x:c r="A215" i="3"/>
  <x:c r="A216" i="3"/>
  <x:c r="A217" i="3"/>
  <x:c r="A218" i="3"/>
  <x:c r="A219" i="3"/>
  <x:c r="A220" i="3"/>
  <x:c r="A221" i="3"/>
  <x:c r="A222" i="3"/>
  <x:c r="A223" i="3"/>
  <x:c r="A224" i="3"/>
  <x:c r="A225" i="3"/>
  <x:c r="A226" i="3"/>
  <x:c r="A227" i="3"/>
  <x:c r="A228" i="3"/>
  <x:c r="A229" i="3"/>
  <x:c r="A230" i="3"/>
  <x:c r="A231" i="3"/>
  <x:c r="A232" i="3"/>
  <x:c r="A233" i="3"/>
  <x:c r="A234" i="3"/>
  <x:c r="A235" i="3"/>
  <x:c r="A236" i="3"/>
  <x:c r="A237" i="3"/>
  <x:c r="A238" i="3"/>
  <x:c r="A239" i="3"/>
  <x:c r="A240" i="3"/>
  <x:c r="A241" i="3"/>
  <x:c r="A242" i="3"/>
  <x:c r="A243" i="3"/>
  <x:c r="A244" i="3"/>
  <x:c r="A245" i="3"/>
  <x:c r="A246" i="3"/>
  <x:c r="A247" i="3"/>
  <x:c r="A248" i="3"/>
  <x:c r="A249" i="3"/>
  <x:c r="A250" i="3"/>
  <x:c r="A251" i="3"/>
  <x:c r="A252" i="3"/>
  <x:c r="A253" i="3"/>
  <x:c r="A254" i="3"/>
  <x:c r="A255" i="3"/>
  <x:c r="A256" i="3"/>
  <x:c r="A257" i="3"/>
  <x:c r="A258" i="3"/>
  <x:c r="A259" i="3"/>
  <x:c r="A260" i="3"/>
  <x:c r="A261" i="3"/>
  <x:c r="A262" i="3"/>
  <x:c r="A263" i="3"/>
  <x:c r="A264" i="3"/>
  <x:c r="A265" i="3"/>
  <x:c r="A266" i="3"/>
  <x:c r="A267" i="3"/>
  <x:c r="A268" i="3"/>
  <x:c r="A269" i="3"/>
  <x:c r="A270" i="3"/>
  <x:c r="A271" i="3"/>
  <x:c r="A272" i="3"/>
  <x:c r="A273" i="3"/>
  <x:c r="A274" i="3"/>
  <x:c r="A275" i="3"/>
  <x:c r="A276" i="3"/>
  <x:c r="A277" i="3"/>
  <x:c r="A278" i="3"/>
  <x:c r="A279" i="3"/>
  <x:c r="A280" i="3"/>
  <x:c r="A281" i="3"/>
  <x:c r="A282" i="3"/>
  <x:c r="A283" i="3"/>
  <x:c r="A284" i="3"/>
  <x:c r="A285" i="3"/>
  <x:c r="A286" i="3"/>
  <x:c r="A287" i="3"/>
  <x:c r="A288" i="3"/>
  <x:c r="A289" i="3"/>
  <x:c r="A290" i="3"/>
  <x:c r="A291" i="3"/>
  <x:c r="A292" i="3"/>
  <x:c r="A293" i="3"/>
  <x:c r="A294" i="3"/>
  <x:c r="A295" i="3"/>
  <x:c r="A296" i="3"/>
  <x:c r="A297" i="3"/>
  <x:c r="A298" i="3"/>
  <x:c r="A299" i="3"/>
  <x:c r="A300" i="3"/>
  <x:c r="A301" i="3"/>
  <x:c r="A302" i="3"/>
  <x:c r="A303" i="3"/>
  <x:c r="A304" i="3"/>
  <x:c r="A305" i="3"/>
  <x:c r="A306" i="3"/>
  <x:c r="A307" i="3"/>
  <x:c r="A308" i="3"/>
  <x:c r="A309" i="3"/>
  <x:c r="A310" i="3"/>
  <x:c r="A311" i="3"/>
  <x:c r="A312" i="3"/>
  <x:c r="A313" i="3"/>
  <x:c r="A314" i="3"/>
  <x:c r="A315" i="3"/>
  <x:c r="A316" i="3"/>
  <x:c r="A317" i="3"/>
  <x:c r="A318" i="3"/>
  <x:c r="A319" i="3"/>
  <x:c r="A320" i="3"/>
  <x:c r="A321" i="3"/>
  <x:c r="A322" i="3"/>
  <x:c r="A323" i="3"/>
  <x:c r="A324" i="3"/>
  <x:c r="A325" i="3"/>
  <x:c r="A326" i="3"/>
  <x:c r="A327" i="3"/>
  <x:c r="A328" i="3"/>
  <x:c r="A329" i="3"/>
  <x:c r="A330" i="3"/>
  <x:c r="A331" i="3"/>
  <x:c r="A332" i="3"/>
  <x:c r="A333" i="3"/>
  <x:c r="A334" i="3"/>
  <x:c r="A335" i="3"/>
  <x:c r="A336" i="3"/>
  <x:c r="A337" i="3"/>
  <x:c r="A338" i="3"/>
  <x:c r="A339" i="3"/>
  <x:c r="A340" i="3"/>
  <x:c r="A341" i="3"/>
  <x:c r="A342" i="3"/>
  <x:c r="A343" i="3"/>
  <x:c r="A344" i="3"/>
  <x:c r="A345" i="3"/>
  <x:c r="A346" i="3"/>
  <x:c r="A347" i="3"/>
  <x:c r="A348" i="3"/>
  <x:c r="A349" i="3"/>
  <x:c r="A350" i="3"/>
  <x:c r="A351" i="3"/>
  <x:c r="A352" i="3"/>
  <x:c r="A353" i="3"/>
  <x:c r="A354" i="3"/>
  <x:c r="A355" i="3"/>
  <x:c r="A356" i="3"/>
  <x:c r="A357" i="3"/>
  <x:c r="A358" i="3"/>
  <x:c r="A359" i="3"/>
  <x:c r="A360" i="3"/>
  <x:c r="A361" i="3"/>
  <x:c r="A362" i="3"/>
  <x:c r="A363" i="3"/>
  <x:c r="A364" i="3"/>
  <x:c r="A365" i="3"/>
  <x:c r="A366" i="3"/>
  <x:c r="A367" i="3"/>
  <x:c r="A368" i="3"/>
  <x:c r="A369" i="3"/>
  <x:c r="A370" i="3"/>
  <x:c r="A371" i="3"/>
  <x:c r="A372" i="3"/>
  <x:c r="A373" i="3"/>
  <x:c r="A374" i="3"/>
  <x:c r="A375" i="3"/>
  <x:c r="A376" i="3"/>
  <x:c r="A377" i="3"/>
  <x:c r="A378" i="3"/>
  <x:c r="A379" i="3"/>
  <x:c r="A380" i="3"/>
  <x:c r="A381" i="3"/>
  <x:c r="A382" i="3"/>
  <x:c r="A383" i="3"/>
  <x:c r="A384" i="3"/>
  <x:c r="A385" i="3"/>
  <x:c r="A386" i="3"/>
  <x:c r="A387" i="3"/>
  <x:c r="A388" i="3"/>
  <x:c r="A389" i="3"/>
  <x:c r="A390" i="3"/>
  <x:c r="A391" i="3"/>
  <x:c r="A392" i="3"/>
  <x:c r="A393" i="3"/>
  <x:c r="A394" i="3"/>
  <x:c r="A395" i="3"/>
  <x:c r="A396" i="3"/>
  <x:c r="A397" i="3"/>
  <x:c r="A398" i="3"/>
  <x:c r="A399" i="3"/>
  <x:c r="A400" i="3"/>
  <x:c r="A401" i="3"/>
  <x:c r="A402" i="3"/>
  <x:c r="A403" i="3"/>
  <x:c r="A404" i="3"/>
  <x:c r="A405" i="3"/>
  <x:c r="A406" i="3"/>
  <x:c r="A407" i="3"/>
  <x:c r="A408" i="3"/>
  <x:c r="A409" i="3"/>
  <x:c r="A410" i="3"/>
  <x:c r="A411" i="3"/>
  <x:c r="A412" i="3"/>
  <x:c r="A413" i="3"/>
  <x:c r="A414" i="3"/>
  <x:c r="A415" i="3"/>
  <x:c r="A416" i="3"/>
  <x:c r="A417" i="3"/>
  <x:c r="A418" i="3"/>
  <x:c r="A419" i="3"/>
  <x:c r="A420" i="3"/>
  <x:c r="A421" i="3"/>
  <x:c r="A422" i="3"/>
  <x:c r="A423" i="3"/>
  <x:c r="A424" i="3"/>
  <x:c r="A425" i="3"/>
  <x:c r="A426" i="3"/>
  <x:c r="A427" i="3"/>
  <x:c r="A428" i="3"/>
  <x:c r="A429" i="3"/>
  <x:c r="A430" i="3"/>
  <x:c r="A431" i="3"/>
  <x:c r="A432" i="3"/>
  <x:c r="A433" i="3"/>
  <x:c r="A434" i="3"/>
  <x:c r="A435" i="3"/>
  <x:c r="A436" i="3"/>
  <x:c r="A437" i="3"/>
  <x:c r="A438" i="3"/>
  <x:c r="A439" i="3"/>
  <x:c r="A440" i="3"/>
  <x:c r="A441" i="3"/>
  <x:c r="A442" i="3"/>
  <x:c r="A443" i="3"/>
  <x:c r="A444" i="3"/>
  <x:c r="A445" i="3"/>
  <x:c r="A446" i="3"/>
  <x:c r="A447" i="3"/>
  <x:c r="A448" i="3"/>
  <x:c r="A449" i="3"/>
  <x:c r="A450" i="3"/>
  <x:c r="A451" i="3"/>
  <x:c r="A452" i="3"/>
  <x:c r="A453" i="3"/>
  <x:c r="A454" i="3"/>
  <x:c r="A455" i="3"/>
  <x:c r="A456" i="3"/>
  <x:c r="A457" i="3"/>
  <x:c r="A458" i="3"/>
  <x:c r="A459" i="3"/>
  <x:c r="A460" i="3"/>
  <x:c r="A461" i="3"/>
  <x:c r="A462" i="3"/>
  <x:c r="A463" i="3"/>
  <x:c r="A464" i="3"/>
  <x:c r="A465" i="3"/>
  <x:c r="A466" i="3"/>
  <x:c r="A467" i="3"/>
  <x:c r="A468" i="3"/>
  <x:c r="A469" i="3"/>
  <x:c r="A470" i="3"/>
  <x:c r="A471" i="3"/>
  <x:c r="A472" i="3"/>
  <x:c r="A473" i="3"/>
  <x:c r="A474" i="3"/>
  <x:c r="A475" i="3"/>
  <x:c r="A476" i="3"/>
  <x:c r="A477" i="3"/>
  <x:c r="A478" i="3"/>
  <x:c r="A479" i="3"/>
  <x:c r="A480" i="3"/>
  <x:c r="A481" i="3"/>
  <x:c r="A482" i="3"/>
  <x:c r="A483" i="3"/>
  <x:c r="A484" i="3"/>
  <x:c r="A485" i="3"/>
  <x:c r="A486" i="3"/>
  <x:c r="A487" i="3"/>
  <x:c r="A488" i="3"/>
  <x:c r="A489" i="3"/>
  <x:c r="A490" i="3"/>
  <x:c r="A491" i="3"/>
  <x:c r="A492" i="3"/>
  <x:c r="A493" i="3"/>
  <x:c r="A494" i="3"/>
  <x:c r="A495" i="3"/>
  <x:c r="A496" i="3"/>
  <x:c r="A497" i="3"/>
  <x:c r="A498" i="3"/>
  <x:c r="A499" i="3"/>
  <x:c r="A500" i="3"/>
  <x:c r="A501" i="3"/>
  <x:c r="A502" i="3"/>
  <x:c r="A503" i="3"/>
  <x:c r="A504" i="3"/>
  <x:c r="A505" i="3"/>
  <x:c r="A506" i="3"/>
  <x:c r="A507" i="3"/>
  <x:c r="A508" i="3"/>
  <x:c r="A509" i="3"/>
  <x:c r="A510" i="3"/>
  <x:c r="A511" i="3"/>
  <x:c r="A512" i="3"/>
  <x:c r="A513" i="3"/>
  <x:c r="A514" i="3"/>
  <x:c r="A515" i="3"/>
  <x:c r="A516" i="3"/>
  <x:c r="A517" i="3"/>
  <x:c r="A518" i="3"/>
  <x:c r="A519" i="3"/>
  <x:c r="A520" i="3"/>
  <x:c r="A521" i="3"/>
  <x:c r="A522" i="3"/>
  <x:c r="A523" i="3"/>
  <x:c r="A524" i="3"/>
  <x:c r="A525" i="3"/>
  <x:c r="A526" i="3"/>
  <x:c r="A527" i="3"/>
  <x:c r="A528" i="3"/>
  <x:c r="A529" i="3"/>
  <x:c r="A530" i="3"/>
  <x:c r="A531" i="3"/>
  <x:c r="A532" i="3"/>
  <x:c r="A533" i="3"/>
  <x:c r="A534" i="3"/>
  <x:c r="A535" i="3"/>
  <x:c r="A536" i="3"/>
  <x:c r="A537" i="3"/>
  <x:c r="A538" i="3"/>
  <x:c r="A539" i="3"/>
  <x:c r="A540" i="3"/>
  <x:c r="A541" i="3"/>
  <x:c r="A542" i="3"/>
  <x:c r="A543" i="3"/>
  <x:c r="A544" i="3"/>
  <x:c r="A545" i="3"/>
  <x:c r="A546" i="3"/>
  <x:c r="A547" i="3"/>
  <x:c r="A548" i="3"/>
  <x:c r="A549" i="3"/>
  <x:c r="A550" i="3"/>
  <x:c r="A551" i="3"/>
  <x:c r="A552" i="3"/>
  <x:c r="A553" i="3"/>
  <x:c r="A554" i="3"/>
  <x:c r="A555" i="3"/>
  <x:c r="A556" i="3"/>
  <x:c r="A557" i="3"/>
  <x:c r="A558" i="3"/>
  <x:c r="A559" i="3"/>
  <x:c r="A560" i="3"/>
  <x:c r="A561" i="3"/>
  <x:c r="A562" i="3"/>
  <x:c r="A563" i="3"/>
  <x:c r="A564" i="3"/>
  <x:c r="A565" i="3"/>
  <x:c r="A566" i="3"/>
  <x:c r="A567" i="3"/>
  <x:c r="A568" i="3"/>
  <x:c r="A569" i="3"/>
  <x:c r="A570" i="3"/>
  <x:c r="A571" i="3"/>
  <x:c r="A572" i="3"/>
  <x:c r="A573" i="3"/>
  <x:c r="A574" i="3"/>
  <x:c r="A575" i="3"/>
  <x:c r="A576" i="3"/>
  <x:c r="A577" i="3"/>
  <x:c r="A578" i="3"/>
  <x:c r="A579" i="3"/>
  <x:c r="A580" i="3"/>
  <x:c r="A581" i="3"/>
  <x:c r="A582" i="3"/>
  <x:c r="A583" i="3"/>
  <x:c r="A584" i="3"/>
  <x:c r="A585" i="3"/>
  <x:c r="A586" i="3"/>
  <x:c r="A587" i="3"/>
  <x:c r="A588" i="3"/>
  <x:c r="A589" i="3"/>
  <x:c r="A590" i="3"/>
  <x:c r="A591" i="3"/>
  <x:c r="A592" i="3"/>
  <x:c r="A593" i="3"/>
  <x:c r="A594" i="3"/>
  <x:c r="A595" i="3"/>
  <x:c r="A596" i="3"/>
  <x:c r="A597" i="3"/>
  <x:c r="A598" i="3"/>
  <x:c r="A599" i="3"/>
  <x:c r="A600" i="3"/>
  <x:c r="A601" i="3"/>
  <x:c r="A602" i="3"/>
  <x:c r="A603" i="3"/>
  <x:c r="A604" i="3"/>
  <x:c r="A605" i="3"/>
  <x:c r="A606" i="3"/>
  <x:c r="A607" i="3"/>
  <x:c r="A608" i="3"/>
  <x:c r="A609" i="3"/>
  <x:c r="A610" i="3"/>
  <x:c r="A611" i="3"/>
  <x:c r="A612" i="3"/>
  <x:c r="A613" i="3"/>
  <x:c r="A614" i="3"/>
  <x:c r="A615" i="3"/>
  <x:c r="A616" i="3"/>
  <x:c r="A617" i="3"/>
  <x:c r="A618" i="3"/>
  <x:c r="A619" i="3"/>
  <x:c r="A620" i="3"/>
  <x:c r="A621" i="3"/>
  <x:c r="A622" i="3"/>
  <x:c r="A623" i="3"/>
  <x:c r="A624" i="3"/>
  <x:c r="A625" i="3"/>
  <x:c r="A626" i="3"/>
  <x:c r="A627" i="3"/>
  <x:c r="A628" i="3"/>
  <x:c r="A629" i="3"/>
  <x:c r="A630" i="3"/>
  <x:c r="A631" i="3"/>
  <x:c r="A632" i="3"/>
  <x:c r="A633" i="3"/>
  <x:c r="A634" i="3"/>
  <x:c r="A635" i="3"/>
  <x:c r="A636" i="3"/>
  <x:c r="A637" i="3"/>
  <x:c r="A638" i="3"/>
  <x:c r="A639" i="3"/>
  <x:c r="A640" i="3"/>
  <x:c r="A641" i="3"/>
  <x:c r="A642" i="3"/>
  <x:c r="A643" i="3"/>
  <x:c r="A644" i="3"/>
  <x:c r="A645" i="3"/>
  <x:c r="A646" i="3"/>
  <x:c r="A647" i="3"/>
  <x:c r="A648" i="3"/>
  <x:c r="A649" i="3"/>
  <x:c r="A650" i="3"/>
  <x:c r="A651" i="3"/>
  <x:c r="A652" i="3"/>
  <x:c r="A653" i="3"/>
  <x:c r="A654" i="3"/>
  <x:c r="A655" i="3"/>
  <x:c r="A656" i="3"/>
  <x:c r="A657" i="3"/>
  <x:c r="A658" i="3"/>
  <x:c r="A659" i="3"/>
  <x:c r="A660" i="3"/>
  <x:c r="A661" i="3"/>
  <x:c r="A662" i="3"/>
  <x:c r="A663" i="3"/>
  <x:c r="A664" i="3"/>
  <x:c r="A665" i="3"/>
  <x:c r="A666" i="3"/>
  <x:c r="A667" i="3"/>
  <x:c r="A668" i="3"/>
  <x:c r="A669" i="3"/>
  <x:c r="A670" i="3"/>
  <x:c r="A671" i="3"/>
  <x:c r="A672" i="3"/>
  <x:c r="A673" i="3"/>
  <x:c r="A674" i="3"/>
  <x:c r="A675" i="3"/>
  <x:c r="A676" i="3"/>
  <x:c r="A677" i="3"/>
  <x:c r="A678" i="3"/>
  <x:c r="A679" i="3"/>
  <x:c r="A680" i="3"/>
  <x:c r="A681" i="3"/>
  <x:c r="A682" i="3"/>
  <x:c r="A683" i="3"/>
  <x:c r="A684" i="3"/>
  <x:c r="A685" i="3"/>
  <x:c r="A686" i="3"/>
  <x:c r="A687" i="3"/>
  <x:c r="A688" i="3"/>
  <x:c r="A689" i="3"/>
  <x:c r="A690" i="3"/>
  <x:c r="A691" i="3"/>
  <x:c r="A692" i="3"/>
  <x:c r="A693" i="3"/>
  <x:c r="A694" i="3"/>
  <x:c r="A695" i="3"/>
  <x:c r="A696" i="3"/>
  <x:c r="A697" i="3"/>
  <x:c r="A698" i="3"/>
  <x:c r="A699" i="3"/>
  <x:c r="A700" i="3"/>
  <x:c r="A701" i="3"/>
  <x:c r="A702" i="3"/>
  <x:c r="A703" i="3"/>
  <x:c r="A704" i="3"/>
  <x:c r="A705" i="3"/>
  <x:c r="A706" i="3"/>
  <x:c r="A707" i="3"/>
  <x:c r="A708" i="3"/>
  <x:c r="A709" i="3"/>
  <x:c r="A710" i="3"/>
  <x:c r="A711" i="3"/>
  <x:c r="A712" i="3"/>
  <x:c r="A713" i="3"/>
  <x:c r="A714" i="3"/>
  <x:c r="A715" i="3"/>
  <x:c r="A716" i="3"/>
  <x:c r="A717" i="3"/>
  <x:c r="A718" i="3"/>
  <x:c r="A719" i="3"/>
  <x:c r="A720" i="3"/>
  <x:c r="A721" i="3"/>
  <x:c r="A722" i="3"/>
  <x:c r="A723" i="3"/>
  <x:c r="A724" i="3"/>
  <x:c r="A725" i="3"/>
  <x:c r="A726" i="3"/>
  <x:c r="A727" i="3"/>
  <x:c r="A728" i="3"/>
  <x:c r="A729" i="3"/>
  <x:c r="A730" i="3"/>
  <x:c r="A731" i="3"/>
  <x:c r="A732" i="3"/>
  <x:c r="A733" i="3"/>
  <x:c r="A734" i="3"/>
  <x:c r="A735" i="3"/>
  <x:c r="A736" i="3"/>
  <x:c r="A737" i="3"/>
  <x:c r="A738" i="3"/>
  <x:c r="A739" i="3"/>
  <x:c r="A740" i="3"/>
  <x:c r="A741" i="3"/>
  <x:c r="A742" i="3"/>
  <x:c r="A743" i="3"/>
  <x:c r="A744" i="3"/>
  <x:c r="A745" i="3"/>
  <x:c r="A746" i="3"/>
  <x:c r="A747" i="3"/>
  <x:c r="A748" i="3"/>
  <x:c r="A749" i="3"/>
  <x:c r="A750" i="3"/>
  <x:c r="A751" i="3"/>
  <x:c r="A752" i="3"/>
  <x:c r="A753" i="3"/>
  <x:c r="A754" i="3"/>
  <x:c r="A755" i="3"/>
  <x:c r="A756" i="3"/>
  <x:c r="A757" i="3"/>
  <x:c r="A758" i="3"/>
  <x:c r="A759" i="3"/>
  <x:c r="A760" i="3"/>
  <x:c r="A761" i="3"/>
  <x:c r="A762" i="3"/>
  <x:c r="A763" i="3"/>
  <x:c r="A764" i="3"/>
  <x:c r="A765" i="3"/>
  <x:c r="A766" i="3"/>
  <x:c r="A767" i="3"/>
  <x:c r="A768" i="3"/>
  <x:c r="A769" i="3"/>
  <x:c r="A770" i="3"/>
  <x:c r="A771" i="3"/>
  <x:c r="A772" i="3"/>
  <x:c r="A773" i="3"/>
  <x:c r="A774" i="3"/>
  <x:c r="A775" i="3"/>
  <x:c r="A776" i="3"/>
  <x:c r="A777" i="3"/>
  <x:c r="A778" i="3"/>
  <x:c r="A779" i="3"/>
  <x:c r="A780" i="3"/>
  <x:c r="A781" i="3"/>
  <x:c r="A782" i="3"/>
  <x:c r="A783" i="3"/>
  <x:c r="A784" i="3"/>
  <x:c r="A785" i="3"/>
  <x:c r="A786" i="3"/>
  <x:c r="A787" i="3"/>
  <x:c r="A788" i="3"/>
  <x:c r="A789" i="3"/>
  <x:c r="A790" i="3"/>
  <x:c r="A791" i="3"/>
  <x:c r="A792" i="3"/>
  <x:c r="A793" i="3"/>
  <x:c r="A794" i="3"/>
  <x:c r="A795" i="3"/>
  <x:c r="A796" i="3"/>
  <x:c r="A797" i="3"/>
  <x:c r="A798" i="3"/>
  <x:c r="A799" i="3"/>
  <x:c r="A800" i="3"/>
  <x:c r="A801" i="3"/>
  <x:c r="A802" i="3"/>
  <x:c r="A803" i="3"/>
  <x:c r="A804" i="3"/>
  <x:c r="A805" i="3"/>
  <x:c r="A806" i="3"/>
  <x:c r="A807" i="3"/>
  <x:c r="A808" i="3"/>
  <x:c r="A809" i="3"/>
  <x:c r="A810" i="3"/>
  <x:c r="A811" i="3"/>
  <x:c r="A812" i="3"/>
  <x:c r="A813" i="3"/>
  <x:c r="A814" i="3"/>
  <x:c r="A815" i="3"/>
  <x:c r="A816" i="3"/>
  <x:c r="A817" i="3"/>
  <x:c r="A818" i="3"/>
  <x:c r="A819" i="3"/>
  <x:c r="A820" i="3"/>
  <x:c r="A821" i="3"/>
  <x:c r="A822" i="3"/>
  <x:c r="A823" i="3"/>
  <x:c r="A824" i="3"/>
  <x:c r="A825" i="3"/>
  <x:c r="A826" i="3"/>
  <x:c r="A827" i="3"/>
  <x:c r="A828" i="3"/>
  <x:c r="A829" i="3"/>
  <x:c r="A830" i="3"/>
  <x:c r="A831" i="3"/>
  <x:c r="A832" i="3"/>
  <x:c r="A833" i="3"/>
  <x:c r="A834" i="3"/>
  <x:c r="A835" i="3"/>
  <x:c r="A836" i="3"/>
  <x:c r="A837" i="3"/>
  <x:c r="A838" i="3"/>
  <x:c r="A839" i="3"/>
  <x:c r="A840" i="3"/>
  <x:c r="A841" i="3"/>
  <x:c r="A842" i="3"/>
  <x:c r="A843" i="3"/>
  <x:c r="A844" i="3"/>
  <x:c r="A845" i="3"/>
  <x:c r="A846" i="3"/>
  <x:c r="A847" i="3"/>
  <x:c r="A848" i="3"/>
  <x:c r="A849" i="3"/>
  <x:c r="A850" i="3"/>
  <x:c r="A851" i="3"/>
  <x:c r="A852" i="3"/>
  <x:c r="A853" i="3"/>
  <x:c r="A854" i="3"/>
  <x:c r="A855" i="3"/>
  <x:c r="A856" i="3"/>
  <x:c r="A857" i="3"/>
  <x:c r="A858" i="3"/>
  <x:c r="A859" i="3"/>
  <x:c r="A860" i="3"/>
  <x:c r="A861" i="3"/>
  <x:c r="A862" i="3"/>
  <x:c r="A863" i="3"/>
  <x:c r="A864" i="3"/>
  <x:c r="A865" i="3"/>
  <x:c r="A866" i="3"/>
  <x:c r="A867" i="3"/>
  <x:c r="A2" i="4"/>
  <x:c r="A3" i="4"/>
  <x:c r="A2" i="2"/>
  <x:c r="A3" i="2"/>
  <x:c r="A4" i="2"/>
  <x:c r="A2" i="13"/>
</x: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<x:sst xmlns:x="http://schemas.openxmlformats.org/spreadsheetml/2006/main">
  <x:si>
    <x:t>OrganizationName</x:t>
  </x:si>
  <x:si>
    <x:t>Auswahl:</x:t>
  </x:si>
  <x:si>
    <x:t>Customers</x:t>
  </x:si>
  <x:si>
    <x:t>PFAD</x:t>
  </x:si>
  <x:si>
    <x:t>Reiter</x:t>
  </x:si>
  <x:si>
    <x:t>Buildings</x:t>
  </x:si>
  <x:si>
    <x:t>Mobility</x:t>
  </x:si>
  <x:si>
    <x:t>Energiegemeinschaft</x:t>
  </x:si>
  <x:si>
    <x:t>EEGTeilnehmer</x:t>
  </x:si>
  <x:si>
    <x:t>Anlage</x:t>
  </x:si>
  <x:si>
    <x:t>Lastprofildaten</x:t>
  </x:si>
  <x:si>
    <x:t>Nutzung</x:t>
  </x:si>
  <x:si>
    <x:t>Prozesse</x:t>
  </x:si>
  <x:si>
    <x:t>Filterformel</x:t>
  </x:si>
  <x:si>
    <x:t>=FILTER(INDIREKT($D$5);ISTZAHL(SUCHEN($D$2;INDEX(INDIREKT($D$5);0;VERGLEICH($G$2;#BEZUG!;0))));"Kein Ergebnis gefunden.")</x:t>
  </x:si>
  <x:si>
    <x:t>DropDownFilterKriterien</x:t>
  </x:si>
  <x:si>
    <x:t>KundenFilterKriterien</x:t>
  </x:si>
  <x:si>
    <x:t>ObjektFilterKriterien</x:t>
  </x:si>
  <x:si>
    <x:t>InternalCustomerId</x:t>
  </x:si>
  <x:si>
    <x:t>FirstName</x:t>
  </x:si>
  <x:si>
    <x:t>LastName</x:t>
  </x:si>
  <x:si>
    <x:t>Street</x:t>
  </x:si>
  <x:si>
    <x:t>InternalBuildingId</x:t>
  </x:si>
  <x:si>
    <x:t>BuildingType</x:t>
  </x:si>
  <x:si>
    <x:t>PostalCode</x:t>
  </x:si>
  <x:si>
    <x:t>ConstructionYear</x:t>
  </x:si>
  <x:si>
    <x:t>FolderNumber</x:t>
  </x:si>
  <x:si>
    <x:t>eKUTCustomer</x:t>
  </x:si>
  <x:si>
    <x:t>ProjectName</x:t>
  </x:si>
  <x:si>
    <x:t>PhoneNumber</x:t>
  </x:si>
  <x:si>
    <x:t>Email</x:t>
  </x:si>
  <x:si>
    <x:t>City</x:t>
  </x:si>
  <x:si>
    <x:t>HouseNumber</x:t>
  </x:si>
  <x:si>
    <x:t>AddressAddtion</x:t>
  </x:si>
  <x:si>
    <x:t>Prosumer</x:t>
  </x:si>
  <x:si>
    <x:t>HasLoadProfile</x:t>
  </x:si>
  <x:si>
    <x:t>BuildingRenovationInterest</x:t>
  </x:si>
  <x:si>
    <x:t>EnergyCommunityInterest</x:t>
  </x:si>
  <x:si>
    <x:t>MobilityInterest</x:t>
  </x:si>
  <x:si>
    <x:t>PlusEnergyInterest</x:t>
  </x:si>
  <x:si>
    <x:t>Subsidies</x:t>
  </x:si>
  <x:si>
    <x:t>LastContact</x:t>
  </x:si>
  <x:si>
    <x:t>Notes</x:t>
  </x:si>
  <x:si>
    <x:t>x</x:t>
  </x:si>
  <x:si>
    <x:t>Mustersanierung, PV-Anlage</x:t>
  </x:si>
  <x:si>
    <x:t>Auto Berger</x:t>
  </x:si>
  <x:si>
    <x:t>Ulrike</x:t>
  </x:si>
  <x:si>
    <x:t>Berger</x:t>
  </x:si>
  <x:si>
    <x:t>02822 / 52281 -201</x:t>
  </x:si>
  <x:si>
    <x:t>ulrike.berger-braun@autohaus-berger.at</x:t>
  </x:si>
  <x:si>
    <x:t>Zwettl</x:t>
  </x:si>
  <x:si>
    <x:t>Kremser Straße</x:t>
  </x:si>
  <x:si>
    <x:t>Mustersanierung Workingspace, Carport Parkplatz PV-Anlagen</x:t>
  </x:si>
  <x:si>
    <x:t>Garser Immobilien GmbH</x:t>
  </x:si>
  <x:si>
    <x:t>Werner</x:t>
  </x:si>
  <x:si>
    <x:t>Groiß</x:t>
  </x:si>
  <x:si>
    <x:t>02985 / 2656</x:t>
  </x:si>
  <x:si>
    <x:t>werner.groiss@bzg.at</x:t>
  </x:si>
  <x:si>
    <x:t>Gars am Kamp</x:t>
  </x:si>
  <x:si>
    <x:t>Schiller Straße</x:t>
  </x:si>
  <x:si>
    <x:t>Mustersanierung, Beratung</x:t>
  </x:si>
  <x:si>
    <x:t>Gem Maissau</x:t>
  </x:si>
  <x:si>
    <x:t>Hubert</x:t>
  </x:si>
  <x:si>
    <x:t>Wimmer</x:t>
  </x:si>
  <x:si>
    <x:t>0676 / 3477930</x:t>
  </x:si>
  <x:si>
    <x:t>hubert.wimmer@stadtmusik-maissau.at</x:t>
  </x:si>
  <x:si>
    <x:t>Maissau</x:t>
  </x:si>
  <x:si>
    <x:t>Franz-Gilly-Gasse</x:t>
  </x:si>
  <x:si>
    <x:t>Kurzberatung, PV, Energie, Mobilität</x:t>
  </x:si>
  <x:si>
    <x:t>Blumen Szing</x:t>
  </x:si>
  <x:si>
    <x:t>Andreas</x:t>
  </x:si>
  <x:si>
    <x:t>Szing</x:t>
  </x:si>
  <x:si>
    <x:t>02735 / 2541</x:t>
  </x:si>
  <x:si>
    <x:t>office@szing.at</x:t>
  </x:si>
  <x:si>
    <x:t>Walkersdorf</x:t>
  </x:si>
  <x:si>
    <x:t>Hauptstraße</x:t>
  </x:si>
  <x:si>
    <x:t>Kurzberatung PV Büro + Lagerhalle</x:t>
  </x:si>
  <x:si>
    <x:t>Agrofresh</x:t>
  </x:si>
  <x:si>
    <x:t>Christoph</x:t>
  </x:si>
  <x:si>
    <x:t>Mauthner</x:t>
  </x:si>
  <x:si>
    <x:t>02829 / 20010 -34</x:t>
  </x:si>
  <x:si>
    <x:t>christoph.mautner@agrofresh.co.at</x:t>
  </x:si>
  <x:si>
    <x:t>Jagenbach</x:t>
  </x:si>
  <x:si>
    <x:t>Thermische Sanierung, Erneuerung Heizanlage</x:t>
  </x:si>
  <x:si>
    <x:t>Gem Sallingberg</x:t>
  </x:si>
  <x:si>
    <x:t>Cornelia</x:t>
  </x:si>
  <x:si>
    <x:t>Juster</x:t>
  </x:si>
  <x:si>
    <x:t>02877 / 8344</x:t>
  </x:si>
  <x:si>
    <x:t>gemeinde@sallingberg.at</x:t>
  </x:si>
  <x:si>
    <x:t>Sallingberg</x:t>
  </x:si>
  <x:si>
    <x:t>Sanierung Schule (nicht umgesetzt)</x:t>
  </x:si>
  <x:si>
    <x:t>Gem Petronell</x:t>
  </x:si>
  <x:si>
    <x:t>Philipp</x:t>
  </x:si>
  <x:si>
    <x:t>Loitsch</x:t>
  </x:si>
  <x:si>
    <x:t>0676 / 5739485</x:t>
  </x:si>
  <x:si>
    <x:t>p.loitsch@energiepark.at</x:t>
  </x:si>
  <x:si>
    <x:t>Petronell-Carnuntum</x:t>
  </x:si>
  <x:si>
    <x:t>Kirchenplatz</x:t>
  </x:si>
  <x:si>
    <x:t>Awareness Beratung</x:t>
  </x:si>
  <x:si>
    <x:t>Farbe und Wohnen Müllner GmbH</x:t>
  </x:si>
  <x:si>
    <x:t>Lukas</x:t>
  </x:si>
  <x:si>
    <x:t>Müllner</x:t>
  </x:si>
  <x:si>
    <x:t>0664 / 2444688</x:t>
  </x:si>
  <x:si>
    <x:t>lukas@muellner.at</x:t>
  </x:si>
  <x:si>
    <x:t>Waidhofen/Thaya</x:t>
  </x:si>
  <x:si>
    <x:t>Heidenreichsteiner Straße</x:t>
  </x:si>
  <x:si>
    <x:t>Awareness Kurzberatung Energieeffizienz, EE, Mobilität und Kreislaufwirtschaft, Umsetzungs - Schwerpunktberatung Heizung</x:t>
  </x:si>
  <x:si>
    <x:t>Waldland Holding GmbH</x:t>
  </x:si>
  <x:si>
    <x:t>Michael</x:t>
  </x:si>
  <x:si>
    <x:t>Höllmüller</x:t>
  </x:si>
  <x:si>
    <x:t>02826 / 7443 - 0</x:t>
  </x:si>
  <x:si>
    <x:t>michael.hoelmueller@waldland.at</x:t>
  </x:si>
  <x:si>
    <x:t>Friedersbach</x:t>
  </x:si>
  <x:si>
    <x:t>Oberwaltnreith</x:t>
  </x:si>
  <x:si>
    <x:t>Sanierung</x:t>
  </x:si>
  <x:si>
    <x:t>Waldland</x:t>
  </x:si>
  <x:si>
    <x:t/>
  </x:si>
  <x:si>
    <x:t>Umsetzungs- Schwerpunktberatung Energie</x:t>
  </x:si>
  <x:si>
    <x:t>Joko Immobilien &amp; Handel GmbH</x:t>
  </x:si>
  <x:si>
    <x:t>Johannes</x:t>
  </x:si>
  <x:si>
    <x:t>Kößner</x:t>
  </x:si>
  <x:si>
    <x:t xml:space="preserve">0664 / 413 9855 </x:t>
  </x:si>
  <x:si>
    <x:t>koessner@meh.co.at</x:t>
  </x:si>
  <x:si>
    <x:t>Groß Siegharts</x:t>
  </x:si>
  <x:si>
    <x:t>Schiefergasse</x:t>
  </x:si>
  <x:si>
    <x:t>LIRO</x:t>
  </x:si>
  <x:si>
    <x:t>Robert</x:t>
  </x:si>
  <x:si>
    <x:t>Pichler</x:t>
  </x:si>
  <x:si>
    <x:t>01382 / 0045</x:t>
  </x:si>
  <x:si>
    <x:t>beratung@liros.net</x:t>
  </x:si>
  <x:si>
    <x:t>Waldhausen</x:t>
  </x:si>
  <x:si>
    <x:t>Königsbach</x:t>
  </x:si>
  <x:si>
    <x:t>Awareness Kurzberatung, Umsetzungs - Schwerpunktberatung PV, Heizungsumstellung</x:t>
  </x:si>
  <x:si>
    <x:t>Arnhof</x:t>
  </x:si>
  <x:si>
    <x:t xml:space="preserve">0664 / 120 0361 </x:t>
  </x:si>
  <x:si>
    <x:t>christoph@arnhof.com</x:t>
  </x:si>
  <x:si>
    <x:t>Eggern</x:t>
  </x:si>
  <x:si>
    <x:t>Marktplatz</x:t>
  </x:si>
  <x:si>
    <x:t>Beratung LED-Beleuchtung (aktuell)</x:t>
  </x:si>
  <x:si>
    <x:t>UNION Eislaufverein Gars</x:t>
  </x:si>
  <x:si>
    <x:t>Grabl</x:t>
  </x:si>
  <x:si>
    <x:t xml:space="preserve">0650 / 870 8235 </x:t>
  </x:si>
  <x:si>
    <x:t>connys-cafe80@gmx.at ; sportunion@eislaufplatz-gars.at</x:t>
  </x:si>
  <x:si>
    <x:t>Gars</x:t>
  </x:si>
  <x:si>
    <x:t>Sanierung Nusßdorfer Straße (aktuell)</x:t>
  </x:si>
  <x:si>
    <x:t>K5 Beteiligungs GmbH</x:t>
  </x:si>
  <x:si>
    <x:t>Thomas</x:t>
  </x:si>
  <x:si>
    <x:t>DI Beutl</x:t>
  </x:si>
  <x:si>
    <x:t>0676 / 884 834 611</x:t>
  </x:si>
  <x:si>
    <x:t>beutl@kerblerholding.at</x:t>
  </x:si>
  <x:si>
    <x:t>Wien</x:t>
  </x:si>
  <x:si>
    <x:t>Parkring</x:t>
  </x:si>
  <x:si>
    <x:t>Julius Kiennast Lebensmittelgroßhandels G.m.b.H.</x:t>
  </x:si>
  <x:si>
    <x:t>Kiennast</x:t>
  </x:si>
  <x:si>
    <x:t>Mader</x:t>
  </x:si>
  <x:si>
    <x:t>02985 / 30200600</x:t>
  </x:si>
  <x:si>
    <x:t>andreas.mader@kiennast.at</x:t>
  </x:si>
  <x:si>
    <x:t>Gars/Kamp</x:t>
  </x:si>
  <x:si>
    <x:t>Wienerstraße</x:t>
  </x:si>
  <x:si>
    <x:t>Junge Hotels Austria</x:t>
  </x:si>
  <x:si>
    <x:t>Jürgen</x:t>
  </x:si>
  <x:si>
    <x:t>Mayer</x:t>
  </x:si>
  <x:si>
    <x:t>0660 / 9463673</x:t>
  </x:si>
  <x:si>
    <x:t>juergen.maier@noejhw.at</x:t>
  </x:si>
  <x:si>
    <x:t>Tulln</x:t>
  </x:si>
  <x:si>
    <x:t>Marc-Aurel-Park</x:t>
  </x:si>
  <x:si>
    <x:t>Kastner Großhandel</x:t>
  </x:si>
  <x:si>
    <x:t>Christof</x:t>
  </x:si>
  <x:si>
    <x:t>Kastner</x:t>
  </x:si>
  <x:si>
    <x:t>0676 / 5900100</x:t>
  </x:si>
  <x:si>
    <x:t>christof.kastner@kastner.at</x:t>
  </x:si>
  <x:si>
    <x:t>Janetschek Druckerei</x:t>
  </x:si>
  <x:si>
    <x:t>Erich</x:t>
  </x:si>
  <x:si>
    <x:t>Steindl</x:t>
  </x:si>
  <x:si>
    <x:t>0664 / 5303702</x:t>
  </x:si>
  <x:si>
    <x:t>Erich.Steindl@janetschek.at</x:t>
  </x:si>
  <x:si>
    <x:t>Heidenreichstein</x:t>
  </x:si>
  <x:si>
    <x:t>Brunfeldstraße</x:t>
  </x:si>
  <x:si>
    <x:t>Schremser Bier</x:t>
  </x:si>
  <x:si>
    <x:t>Karl</x:t>
  </x:si>
  <x:si>
    <x:t>Trojan</x:t>
  </x:si>
  <x:si>
    <x:t>0664 / 1318320</x:t>
  </x:si>
  <x:si>
    <x:t>c.kowarsch@schremser.at</x:t>
  </x:si>
  <x:si>
    <x:t>Schrems</x:t>
  </x:si>
  <x:si>
    <x:t>Niederschremserstraße</x:t>
  </x:si>
  <x:si>
    <x:t>Silberbauer Textiltechnik</x:t>
  </x:si>
  <x:si>
    <x:t>Ulrich</x:t>
  </x:si>
  <x:si>
    <x:t>Achleitner</x:t>
  </x:si>
  <x:si>
    <x:t>0676 / 4752381</x:t>
  </x:si>
  <x:si>
    <x:t>office@silberbauer.info</x:t>
  </x:si>
  <x:si>
    <x:t>Gr. Siegharts</x:t>
  </x:si>
  <x:si>
    <x:t>Privatstraße</x:t>
  </x:si>
  <x:si>
    <x:t>Jil Silk</x:t>
  </x:si>
  <x:si>
    <x:t>Heinrich</x:t>
  </x:si>
  <x:si>
    <x:t>Rabl</x:t>
  </x:si>
  <x:si>
    <x:t>0676 / 3168621</x:t>
  </x:si>
  <x:si>
    <x:t>rabl@jilsilk.at</x:t>
  </x:si>
  <x:si>
    <x:t>Dietmanns</x:t>
  </x:si>
  <x:si>
    <x:t>Kunstmeile Krems Betriebs GmbH</x:t>
  </x:si>
  <x:si>
    <x:t>0664 / 60499 167</x:t>
  </x:si>
  <x:si>
    <x:t>reinhard.kern@kunstmeile.at</x:t>
  </x:si>
  <x:si>
    <x:t>Krems an der Donau</x:t>
  </x:si>
  <x:si>
    <x:t>Muesumsplatz</x:t>
  </x:si>
  <x:si>
    <x:t>Awareness Kurzberatung</x:t>
  </x:si>
  <x:si>
    <x:t>Dachsberger</x:t>
  </x:si>
  <x:si>
    <x:t>Alfred</x:t>
  </x:si>
  <x:si>
    <x:t>02984 / 2632</x:t>
  </x:si>
  <x:si>
    <x:t>office@dachsberger.at</x:t>
  </x:si>
  <x:si>
    <x:t>Eggenburg</x:t>
  </x:si>
  <x:si>
    <x:t>Gauderndorf</x:t>
  </x:si>
  <x:si>
    <x:t>Installation PV Anlagen, Sanierung Geschoßdecke, Umstieg Elektro PKW</x:t>
  </x:si>
  <x:si>
    <x:t>Kotzinger</x:t>
  </x:si>
  <x:si>
    <x:t>Oliver</x:t>
  </x:si>
  <x:si>
    <x:t>Buchheit</x:t>
  </x:si>
  <x:si>
    <x:t>0664 / 88645934</x:t>
  </x:si>
  <x:si>
    <x:t>oliver.buchheit@e-kotzingergmbh.at</x:t>
  </x:si>
  <x:si>
    <x:t>Lerchenfelder Hauptplatz</x:t>
  </x:si>
  <x:si>
    <x:t>Awareness Kurzberatung Energieeffizienz, EE, Kreislaufwirtschaft</x:t>
  </x:si>
  <x:si>
    <x:t>VOEST</x:t>
  </x:si>
  <x:si>
    <x:t>Gregor</x:t>
  </x:si>
  <x:si>
    <x:t>Terrer</x:t>
  </x:si>
  <x:si>
    <x:t>0664 / 6156985</x:t>
  </x:si>
  <x:si>
    <x:t>Gregor.Terrer@voestalpine.com</x:t>
  </x:si>
  <x:si>
    <x:t>Schmidhüttenstraße 5</x:t>
  </x:si>
  <x:si>
    <x:t>Kurzberatung</x:t>
  </x:si>
  <x:si>
    <x:t>Tiefbau Burger</x:t>
  </x:si>
  <x:si>
    <x:t>Mario</x:t>
  </x:si>
  <x:si>
    <x:t>Burger</x:t>
  </x:si>
  <x:si>
    <x:t>02732 / 70888</x:t>
  </x:si>
  <x:si>
    <x:t>office@tiefbau-burger-at</x:t>
  </x:si>
  <x:si>
    <x:t>Lerchenfelderstraße</x:t>
  </x:si>
  <x:si>
    <x:t>Volksbank Wien</x:t>
  </x:si>
  <x:si>
    <x:t>Markus</x:t>
  </x:si>
  <x:si>
    <x:t>Partl</x:t>
  </x:si>
  <x:si>
    <x:t>0664 / 8163800</x:t>
  </x:si>
  <x:si>
    <x:t>markus.partl@vbinfrastruktur.at</x:t>
  </x:si>
  <x:si>
    <x:t>Dietrichgasse</x:t>
  </x:si>
  <x:si>
    <x:t>REGINA Textilreinigungs Ges.m.b.H</x:t>
  </x:si>
  <x:si>
    <x:t>DI Oliver</x:t>
  </x:si>
  <x:si>
    <x:t>Ökologische Betriebsberatung, Energieeffizienz, EE Miblität, Kreislaufwirtschaft</x:t>
  </x:si>
  <x:si>
    <x:t>Erlebnismuseumsverein Schönbach</x:t>
  </x:si>
  <x:si>
    <x:t>Franz</x:t>
  </x:si>
  <x:si>
    <x:t>Höfer</x:t>
  </x:si>
  <x:si>
    <x:t>0664 / 1546470</x:t>
  </x:si>
  <x:si>
    <x:t>office@handwerk-erleben.at</x:t>
  </x:si>
  <x:si>
    <x:t>Schönbach</x:t>
  </x:si>
  <x:si>
    <x:t>Leutgeb Rupert</x:t>
  </x:si>
  <x:si>
    <x:t>Ehrenberger GmbH</x:t>
  </x:si>
  <x:si>
    <x:t>Johann</x:t>
  </x:si>
  <x:si>
    <x:t>Ehrenberger</x:t>
  </x:si>
  <x:si>
    <x:t>Ehrenberger@mohnzuzler.at</x:t>
  </x:si>
  <x:si>
    <x:t>Dreifaltigkeitsplatz</x:t>
  </x:si>
  <x:si>
    <x:t>Gem Groß Siegharts Profi</x:t>
  </x:si>
  <x:si>
    <x:t>Gem Eggenburg</x:t>
  </x:si>
  <x:si>
    <x:t>0681 / 81129053</x:t>
  </x:si>
  <x:si>
    <x:t>Gem Japons</x:t>
  </x:si>
  <x:si>
    <x:t>PV-Anlage</x:t>
  </x:si>
  <x:si>
    <x:t>Gem Krumau</x:t>
  </x:si>
  <x:si>
    <x:t>Raika</x:t>
  </x:si>
  <x:si>
    <x:t>Beratung für die Konzepterstellung Heizungsanlage und Förderungen</x:t>
  </x:si>
  <x:si>
    <x:t>Stark Elektro &amp; Kälte GmbH</x:t>
  </x:si>
  <x:si>
    <x:t>Wolfgang</x:t>
  </x:si>
  <x:si>
    <x:t>Stark</x:t>
  </x:si>
  <x:si>
    <x:t>Waidhofnerstraße</x:t>
  </x:si>
  <x:si>
    <x:t>Konzepterstellung Energieeinsparmöglichkeiten bei Flaschenwaschmaschine, Flaschenlagerraum</x:t>
  </x:si>
  <x:si>
    <x:t>Weinhandel Gruber Ewald</x:t>
  </x:si>
  <x:si>
    <x:t>Röschitz</x:t>
  </x:si>
  <x:si>
    <x:t>Winzerstraße</x:t>
  </x:si>
  <x:si>
    <x:t>DIE KÄSEMACHER GmbH</x:t>
  </x:si>
  <x:si>
    <x:t>Kaindl</x:t>
  </x:si>
  <x:si>
    <x:t>Vitis</x:t>
  </x:si>
  <x:si>
    <x:t>Europastraße</x:t>
  </x:si>
  <x:si>
    <x:t>Konzepterstellung Energieeffizienz und Energieeinsparungsmaßnahmen</x:t>
  </x:si>
  <x:si>
    <x:t>Tischlerei Rösl</x:t>
  </x:si>
  <x:si>
    <x:t>Christian</x:t>
  </x:si>
  <x:si>
    <x:t>Rößl</x:t>
  </x:si>
  <x:si>
    <x:t>Rastenfeld</x:t>
  </x:si>
  <x:si>
    <x:t>Schwerpunktberatung Energie</x:t>
  </x:si>
  <x:si>
    <x:t>Klein Fahrzeug GmbH</x:t>
  </x:si>
  <x:si>
    <x:t>Herbert</x:t>
  </x:si>
  <x:si>
    <x:t>Klein</x:t>
  </x:si>
  <x:si>
    <x:t>02982 / 2293</x:t>
  </x:si>
  <x:si>
    <x:t>office@kleinfahrzeugbau.at</x:t>
  </x:si>
  <x:si>
    <x:t>Altenburg</x:t>
  </x:si>
  <x:si>
    <x:t>Horner Straße</x:t>
  </x:si>
  <x:si>
    <x:t>Energie, Öko Kurzberatung</x:t>
  </x:si>
  <x:si>
    <x:t>Stift Geras - Pernegg Touristik GmbH</x:t>
  </x:si>
  <x:si>
    <x:t>02913 / 614</x:t>
  </x:si>
  <x:si>
    <x:t>info@klosterpernegg.at</x:t>
  </x:si>
  <x:si>
    <x:t>Pernegg</x:t>
  </x:si>
  <x:si>
    <x:t>Schwerpunktberatung PV-Anlage &amp; Stromspeicher</x:t>
  </x:si>
  <x:si>
    <x:t>Groiß Wirtschaftsprüfungs und Steuerberatungs GmbH</x:t>
  </x:si>
  <x:si>
    <x:t>Konzepterstellung bei thermischen Gebäudesanierung</x:t>
  </x:si>
  <x:si>
    <x:t>Tanzcafe-Gasthaus-Buffet Schindler</x:t>
  </x:si>
  <x:si>
    <x:t>Gerweis</x:t>
  </x:si>
  <x:si>
    <x:t>Öko Beratung</x:t>
  </x:si>
  <x:si>
    <x:t>Reissmüller Baugesellschaft mbH</x:t>
  </x:si>
  <x:si>
    <x:t>Waidhofen an der Thaya</x:t>
  </x:si>
  <x:si>
    <x:t>Wiener Straße</x:t>
  </x:si>
  <x:si>
    <x:t>Konzepterstellung thermische Gebäudesanierung und Umstellung der Heizungsanlage inkl. Förderungseinreichungsunterlagen</x:t>
  </x:si>
  <x:si>
    <x:t>Frisör &amp; Wellness Oase Silvia</x:t>
  </x:si>
  <x:si>
    <x:t>Silvia</x:t>
  </x:si>
  <x:si>
    <x:t>Schuh</x:t>
  </x:si>
  <x:si>
    <x:t>Vitiserstraße</x:t>
  </x:si>
  <x:si>
    <x:t>Tischlerei Kases GmbH</x:t>
  </x:si>
  <x:si>
    <x:t>Gastern</x:t>
  </x:si>
  <x:si>
    <x:t>Ruders</x:t>
  </x:si>
  <x:si>
    <x:t>Enrgie, Öko Kurzberatung (thermische Sanierung, Lüftungsanlage mit Wärmerückgewinnung, Wärmepumpe, Förderung)</x:t>
  </x:si>
  <x:si>
    <x:t>Fab4minds Informationstechnik GmbH</x:t>
  </x:si>
  <x:si>
    <x:t>Titus Appel-Straße</x:t>
  </x:si>
  <x:si>
    <x:t>Konzepterstellung Auslegung PV-Anlage inkl. Wirtschaftlichkeitsrechnung</x:t>
  </x:si>
  <x:si>
    <x:t>Ingrid Stark</x:t>
  </x:si>
  <x:si>
    <x:t>Tobias</x:t>
  </x:si>
  <x:si>
    <x:t>Infritz</x:t>
  </x:si>
  <x:si>
    <x:t>Am Mitterfeld</x:t>
  </x:si>
  <x:si>
    <x:t>Hilfe bei Umsetzung E-Mobilität inkl. Wirtschaftlichkeitsberechnung, Förderungen</x:t>
  </x:si>
  <x:si>
    <x:t>Meisner GmbH</x:t>
  </x:si>
  <x:si>
    <x:t>Peter</x:t>
  </x:si>
  <x:si>
    <x:t>Maisner</x:t>
  </x:si>
  <x:si>
    <x:t>Ottenschlag</x:t>
  </x:si>
  <x:si>
    <x:t>Spitzer Straße</x:t>
  </x:si>
  <x:si>
    <x:t>Konzepterstellung für Energieeffizienz und Energieeinsparunsmaßnahmen</x:t>
  </x:si>
  <x:si>
    <x:t>Lichtspiel Allentsteig</x:t>
  </x:si>
  <x:si>
    <x:t>Dorna</x:t>
  </x:si>
  <x:si>
    <x:t>Ferdinand Berger &amp; Söhne GmbH</x:t>
  </x:si>
  <x:si>
    <x:t>Öko-Beratung</x:t>
  </x:si>
  <x:si>
    <x:t>Ferdinand</x:t>
  </x:si>
  <x:si>
    <x:t>02982 / 4161-256</x:t>
  </x:si>
  <x:si>
    <x:t>ferdinand@berger.at</x:t>
  </x:si>
  <x:si>
    <x:t>Horn</x:t>
  </x:si>
  <x:si>
    <x:t>Umsetzungs-Schwerpunktberatung PV</x:t>
  </x:si>
  <x:si>
    <x:t>Mayr Verwaltungs GmbH</x:t>
  </x:si>
  <x:si>
    <x:t>Bernhard</x:t>
  </x:si>
  <x:si>
    <x:t>Mayr</x:t>
  </x:si>
  <x:si>
    <x:t>Retz</x:t>
  </x:si>
  <x:si>
    <x:t>Kremserstraße</x:t>
  </x:si>
  <x:si>
    <x:t>Schwerpunktberatung</x:t>
  </x:si>
  <x:si>
    <x:t>Waldviertler Werkstätten</x:t>
  </x:si>
  <x:si>
    <x:t>Hauptplatz</x:t>
  </x:si>
  <x:si>
    <x:t>Irish Pub &amp; Restaurant Foggy mix</x:t>
  </x:si>
  <x:si>
    <x:t>Zimmerl</x:t>
  </x:si>
  <x:si>
    <x:t>zimmerl@foggy-mix.at</x:t>
  </x:si>
  <x:si>
    <x:t>Heidenreichsteinerstraße</x:t>
  </x:si>
  <x:si>
    <x:t>Kurzberatung (Datenerhebung- Auswertung, Umstellung auf LED Beleuchtung, Dämmung Heizungsrohre, Implementierung EMS)</x:t>
  </x:si>
  <x:si>
    <x:t>Intersport Ruby GmbH</x:t>
  </x:si>
  <x:si>
    <x:t>Doris</x:t>
  </x:si>
  <x:si>
    <x:t>Lamatsch</x:t>
  </x:si>
  <x:si>
    <x:t>02842 / 52136</x:t>
  </x:si>
  <x:si>
    <x:t>doris@intersport-ruby.at</x:t>
  </x:si>
  <x:si>
    <x:t>Thayapark-Straße</x:t>
  </x:si>
  <x:si>
    <x:t>Umsetzungs-Schwerpunktberatung Energie</x:t>
  </x:si>
  <x:si>
    <x:t>Kirchenwirt</x:t>
  </x:si>
  <x:si>
    <x:t>Klaus</x:t>
  </x:si>
  <x:si>
    <x:t>Jöch</x:t>
  </x:si>
  <x:si>
    <x:t>Schlossergasse</x:t>
  </x:si>
  <x:si>
    <x:t>Baumhauer &amp; Söhne GmbH</x:t>
  </x:si>
  <x:si>
    <x:t>Sascha</x:t>
  </x:si>
  <x:si>
    <x:t>Baumhauer</x:t>
  </x:si>
  <x:si>
    <x:t>02913 / 272-22</x:t>
  </x:si>
  <x:si>
    <x:t>sascha@baumhauer.at</x:t>
  </x:si>
  <x:si>
    <x:t>Geras</x:t>
  </x:si>
  <x:si>
    <x:t>Dallein</x:t>
  </x:si>
  <x:si>
    <x:t>Konzepterstellung Aufbau Fernwärmeversorgung</x:t>
  </x:si>
  <x:si>
    <x:t>Tischlerei Lamprecht OG</x:t>
  </x:si>
  <x:si>
    <x:t>Dobersberg</x:t>
  </x:si>
  <x:si>
    <x:t>Merkengersch</x:t>
  </x:si>
  <x:si>
    <x:t>Umsetzungs-Schwerpunktberatung Energie, PV-Anlgae</x:t>
  </x:si>
  <x:si>
    <x:t>Reinhard Weingartner</x:t>
  </x:si>
  <x:si>
    <x:t>Reinhard</x:t>
  </x:si>
  <x:si>
    <x:t>Weingartner</x:t>
  </x:si>
  <x:si>
    <x:t>Burgschleinitz-Kühnring</x:t>
  </x:si>
  <x:si>
    <x:t>Reinprechtspölla</x:t>
  </x:si>
  <x:si>
    <x:t>Hilfe bei Umstieg auf E-Mobilität &amp; Konzepterstellung Energieeffizienz- und Einsparmaßnahmen</x:t>
  </x:si>
  <x:si>
    <x:t>EDV Beratung</x:t>
  </x:si>
  <x:si>
    <x:t>Gantner</x:t>
  </x:si>
  <x:si>
    <x:t>Röhrenbach</x:t>
  </x:si>
  <x:si>
    <x:t>Hilfe Konzepterstellung für PV-Anlage inkl. Unterstützung bei Förderungen</x:t>
  </x:si>
  <x:si>
    <x:t>Silberbauer Bandfabrik</x:t>
  </x:si>
  <x:si>
    <x:t>Groß-Siegharts</x:t>
  </x:si>
  <x:si>
    <x:t>Hilfe bei Konzepterstellung PV, Aufstellung Förderungen / Einspeistarife</x:t>
  </x:si>
  <x:si>
    <x:t>Bäckerei Betz</x:t>
  </x:si>
  <x:si>
    <x:t>Betz</x:t>
  </x:si>
  <x:si>
    <x:t>Hilfe bei Auslegung &amp; Wirtschaftlichkeitsrechnung PV-Anlage inkl. Förderungen</x:t>
  </x:si>
  <x:si>
    <x:t>Floristik Suchan KG</x:t>
  </x:si>
  <x:si>
    <x:t>Suchan</x:t>
  </x:si>
  <x:si>
    <x:t>Sieghartsles</x:t>
  </x:si>
  <x:si>
    <x:t>Hilfe Konzepterstellung PV-Anlage &amp; Unterstützung möglicher Förderungen</x:t>
  </x:si>
  <x:si>
    <x:t>Raiffeisenbank Schrems</x:t>
  </x:si>
  <x:si>
    <x:t>Walter</x:t>
  </x:si>
  <x:si>
    <x:t>Zwettler</x:t>
  </x:si>
  <x:si>
    <x:t>Hilfe Konzepterstellung für Anschluss an Fernwärme-Biomasseheizwerk, Aufstellung möglicher Förderungen</x:t>
  </x:si>
  <x:si>
    <x:t>Tischlerei Köck</x:t>
  </x:si>
  <x:si>
    <x:t>Wilfried</x:t>
  </x:si>
  <x:si>
    <x:t>Köck</x:t>
  </x:si>
  <x:si>
    <x:t>Raabs an der Thaya</x:t>
  </x:si>
  <x:si>
    <x:t>Zabernreith</x:t>
  </x:si>
  <x:si>
    <x:t>Energie, ÖKO Kurzberatung (Flachdachsanierung)</x:t>
  </x:si>
  <x:si>
    <x:t>Tyco Electronics</x:t>
  </x:si>
  <x:si>
    <x:t>Dimling</x:t>
  </x:si>
  <x:si>
    <x:t>Schrackstraße</x:t>
  </x:si>
  <x:si>
    <x:t>Vergl. Unterschiedlicher Heizungsvarianten, Förderung</x:t>
  </x:si>
  <x:si>
    <x:t>Henlg Schotter-Asphalt-Recycling GmbH</x:t>
  </x:si>
  <x:si>
    <x:t>Limberg</x:t>
  </x:si>
  <x:si>
    <x:t>Konzepterstellung thermische Gebäudesanierung inkl. Fenster</x:t>
  </x:si>
  <x:si>
    <x:t>Autohaus Klement GmbH</x:t>
  </x:si>
  <x:si>
    <x:t>Oberhöflein</x:t>
  </x:si>
  <x:si>
    <x:t>Konzepterstellung Energieautarkie des Betriebs</x:t>
  </x:si>
  <x:si>
    <x:t>Hochwallner</x:t>
  </x:si>
  <x:si>
    <x:t>Konzepterstellung für Energieeffizienz und Nachaltigkeitsauswahl der Heizung und des Stromanbieters</x:t>
  </x:si>
  <x:si>
    <x:t>Metalltechnik Halbwachs</x:t>
  </x:si>
  <x:si>
    <x:t>Manfred</x:t>
  </x:si>
  <x:si>
    <x:t>Halbwachs</x:t>
  </x:si>
  <x:si>
    <x:t>Mank</x:t>
  </x:si>
  <x:si>
    <x:t>Schulstraße</x:t>
  </x:si>
  <x:si>
    <x:t>Konzepterstellung für energieeffiziente Optimierung Kleinwasserkraftwerk</x:t>
  </x:si>
  <x:si>
    <x:t>Leopold Hofstätter GmbH</x:t>
  </x:si>
  <x:si>
    <x:t>Konzepterstellung für Umstellung der Heizung, Unterstützung bei Aufstellung möglicher Förderungen</x:t>
  </x:si>
  <x:si>
    <x:t>Leitner Gertrude</x:t>
  </x:si>
  <x:si>
    <x:t>Gertrude</x:t>
  </x:si>
  <x:si>
    <x:t>Leitner</x:t>
  </x:si>
  <x:si>
    <x:t>Unterlembach</x:t>
  </x:si>
  <x:si>
    <x:t>Konzepterstellung für thermische Gebäudesanierung inkl. Umstellung Heizoptimierung</x:t>
  </x:si>
  <x:si>
    <x:t>Atuohaus Wais GmbH</x:t>
  </x:si>
  <x:si>
    <x:t>Konzepterstellung für Energiespar- und Energieeffiziensmaßnahmen und Optimierung Heizungssystems</x:t>
  </x:si>
  <x:si>
    <x:t>Hotel Pichler</x:t>
  </x:si>
  <x:si>
    <x:t>Josef</x:t>
  </x:si>
  <x:si>
    <x:t>Melk</x:t>
  </x:si>
  <x:si>
    <x:t>Dorfnerstraße</x:t>
  </x:si>
  <x:si>
    <x:t>Vergl. Unterschiedlicher Heizungsvarianten, Thermische Solaranlage, Förderung</x:t>
  </x:si>
  <x:si>
    <x:t>Riedl Siegfried</x:t>
  </x:si>
  <x:si>
    <x:t>Leopoldsdorf</x:t>
  </x:si>
  <x:si>
    <x:t>Konzepterstellung für Umstellung der Heizung, Auslegung PV-Anlage</x:t>
  </x:si>
  <x:si>
    <x:t>Böhm GmbH</x:t>
  </x:si>
  <x:si>
    <x:t>Förderung, PV-Anlage</x:t>
  </x:si>
  <x:si>
    <x:t>Holzbau Willibald Longin GmbH</x:t>
  </x:si>
  <x:si>
    <x:t>Konzepterstellung für Energiesparmaßnahmen am Firmengebäude inkl. Tausch der Heizungsanlage</x:t>
  </x:si>
  <x:si>
    <x:t>Gross</x:t>
  </x:si>
  <x:si>
    <x:t>Günther</x:t>
  </x:si>
  <x:si>
    <x:t>Vestenpoppen</x:t>
  </x:si>
  <x:si>
    <x:t>Konzepterstellung im Zuge geplanter Heizungsoptimierung</x:t>
  </x:si>
  <x:si>
    <x:t>Murhamer</x:t>
  </x:si>
  <x:si>
    <x:t>Ravelsbach</x:t>
  </x:si>
  <x:si>
    <x:t>Konzepterstellung für öko Heizungsanlage im Geschäft</x:t>
  </x:si>
  <x:si>
    <x:t>Sparkasse Waldviertel Mitte Bank AG</x:t>
  </x:si>
  <x:si>
    <x:t>Gföhl</x:t>
  </x:si>
  <x:si>
    <x:t>Konzepterstellung geplanter Thermischer Sanierung</x:t>
  </x:si>
  <x:si>
    <x:t>Waldpension Nordwald</x:t>
  </x:si>
  <x:si>
    <x:t>Moorbad Harbach</x:t>
  </x:si>
  <x:si>
    <x:t>Maissen</x:t>
  </x:si>
  <x:si>
    <x:t>Konzepterstellung alternativer Heizungsnalage, thermische Gebäudesanierung</x:t>
  </x:si>
  <x:si>
    <x:t>UWET- Umwelttechnik GmbH</x:t>
  </x:si>
  <x:si>
    <x:t>St. Leonhard / Forst</x:t>
  </x:si>
  <x:si>
    <x:t>Auswirkung themische Sanierung, mögliche Förderungen, Lüftungsanlage, Wärmeverteilung, LED-Außenstrahler</x:t>
  </x:si>
  <x:si>
    <x:t>Egston System Electronics Eggenburg GmbH</x:t>
  </x:si>
  <x:si>
    <x:t>Reiss</x:t>
  </x:si>
  <x:si>
    <x:t>Grafenbergerstraße</x:t>
  </x:si>
  <x:si>
    <x:t>Optimierung der Biomassefernwärmeversorgung</x:t>
  </x:si>
  <x:si>
    <x:t>Landgasthof zum Topf</x:t>
  </x:si>
  <x:si>
    <x:t>Oswald</x:t>
  </x:si>
  <x:si>
    <x:t>Topf</x:t>
  </x:si>
  <x:si>
    <x:t>Kaltenbach</x:t>
  </x:si>
  <x:si>
    <x:t>Solaranlage, Förderungen, Pflanzenöl-BHKW</x:t>
  </x:si>
  <x:si>
    <x:t>Klang Rainer</x:t>
  </x:si>
  <x:si>
    <x:t>Rainer</x:t>
  </x:si>
  <x:si>
    <x:t>Klang</x:t>
  </x:si>
  <x:si>
    <x:t>Allensteig</x:t>
  </x:si>
  <x:si>
    <x:t>Hilfe bei Umstellung auf alternative Energieträger</x:t>
  </x:si>
  <x:si>
    <x:t>Wagner KEG</x:t>
  </x:si>
  <x:si>
    <x:t>Martin</x:t>
  </x:si>
  <x:si>
    <x:t>Wagner</x:t>
  </x:si>
  <x:si>
    <x:t>Amstetten</x:t>
  </x:si>
  <x:si>
    <x:t>Kaspar Brunnerstraße</x:t>
  </x:si>
  <x:si>
    <x:t>Kurzberatung betreffend Gebäude und (E-Mobilität)</x:t>
  </x:si>
  <x:si>
    <x:t>Kristallium Erwin Weber</x:t>
  </x:si>
  <x:si>
    <x:t>Erwin</x:t>
  </x:si>
  <x:si>
    <x:t>Weber</x:t>
  </x:si>
  <x:si>
    <x:t>Hirschenwies</x:t>
  </x:si>
  <x:si>
    <x:t>Awareness Kurzberatung Energie</x:t>
  </x:si>
  <x:si>
    <x:t>Wildrast</x:t>
  </x:si>
  <x:si>
    <x:t>Ivana</x:t>
  </x:si>
  <x:si>
    <x:t>Sturmova</x:t>
  </x:si>
  <x:si>
    <x:t>Göpfritz an der Wild</x:t>
  </x:si>
  <x:si>
    <x:t>Awareness Kurzberarung Energie</x:t>
  </x:si>
  <x:si>
    <x:t>Stadt Kino Horn</x:t>
  </x:si>
  <x:si>
    <x:t>Winfrid</x:t>
  </x:si>
  <x:si>
    <x:t>Meingast</x:t>
  </x:si>
  <x:si>
    <x:t>Thurnhofgasse</x:t>
  </x:si>
  <x:si>
    <x:t>Landgasthof Haidl</x:t>
  </x:si>
  <x:si>
    <x:t>Alexander</x:t>
  </x:si>
  <x:si>
    <x:t>Haidl</x:t>
  </x:si>
  <x:si>
    <x:t>Thaya</x:t>
  </x:si>
  <x:si>
    <x:t>Bahnhofstraße</x:t>
  </x:si>
  <x:si>
    <x:t>Silberbauer Erwin</x:t>
  </x:si>
  <x:si>
    <x:t>Silberbauer</x:t>
  </x:si>
  <x:si>
    <x:t>Schweiggers</x:t>
  </x:si>
  <x:si>
    <x:t>Sportplatz</x:t>
  </x:si>
  <x:si>
    <x:t>Rudolf Balley GmbH</x:t>
  </x:si>
  <x:si>
    <x:t>Rudolf</x:t>
  </x:si>
  <x:si>
    <x:t>Balley</x:t>
  </x:si>
  <x:si>
    <x:t>Sonnenrain</x:t>
  </x:si>
  <x:si>
    <x:t>Awareness Kurzberatung Energie, Schwerpunktberatung</x:t>
  </x:si>
  <x:si>
    <x:t>Metalltechnik Kainz e.U.</x:t>
  </x:si>
  <x:si>
    <x:t>Kainz</x:t>
  </x:si>
  <x:si>
    <x:t>Kautzner Straße</x:t>
  </x:si>
  <x:si>
    <x:t>Awareness Kurzberatung Energie, Schwerpunktberatung Energie</x:t>
  </x:si>
  <x:si>
    <x:t>Gasthaus Pichler</x:t>
  </x:si>
  <x:si>
    <x:t>Silvia Maria</x:t>
  </x:si>
  <x:si>
    <x:t>Schremser Straße</x:t>
  </x:si>
  <x:si>
    <x:t>Waldbad - Cafe Monika Hirtl</x:t>
  </x:si>
  <x:si>
    <x:t>Monika</x:t>
  </x:si>
  <x:si>
    <x:t>Hirtl</x:t>
  </x:si>
  <x:si>
    <x:t>Groß - Siegharts</x:t>
  </x:si>
  <x:si>
    <x:t>Rudolf Hohenberg-Gasse</x:t>
  </x:si>
  <x:si>
    <x:t>Nah &amp; Frisch</x:t>
  </x:si>
  <x:si>
    <x:t>Barbara</x:t>
  </x:si>
  <x:si>
    <x:t>Grill</x:t>
  </x:si>
  <x:si>
    <x:t>Beauty Lounge</x:t>
  </x:si>
  <x:si>
    <x:t>Daniela</x:t>
  </x:si>
  <x:si>
    <x:t>Abdrosch</x:t>
  </x:si>
  <x:si>
    <x:t>Waldreichs</x:t>
  </x:si>
  <x:si>
    <x:t>Sonnenstraße</x:t>
  </x:si>
  <x:si>
    <x:t>Awareness Kurzberatung Energie, Kurzberatung, Kurzberatung Mobilität, Schwerpunktberatung</x:t>
  </x:si>
  <x:si>
    <x:t>Henkel Beiz - und Elektropoliertechnik Beriebs GmbH</x:t>
  </x:si>
  <x:si>
    <x:t>August Franz</x:t>
  </x:si>
  <x:si>
    <x:t>Böhm</x:t>
  </x:si>
  <x:si>
    <x:t>02842 / 54331</x:t>
  </x:si>
  <x:si>
    <x:t>Stoißmühle</x:t>
  </x:si>
  <x:si>
    <x:t>Gasthof zur Kirche</x:t>
  </x:si>
  <x:si>
    <x:t>Schrammel</x:t>
  </x:si>
  <x:si>
    <x:t>Kottes</x:t>
  </x:si>
  <x:si>
    <x:t>Kurzberatung Energie</x:t>
  </x:si>
  <x:si>
    <x:t>PURes Biogemüse GmbH</x:t>
  </x:si>
  <x:si>
    <x:t>Patrick</x:t>
  </x:si>
  <x:si>
    <x:t>Dangl</x:t>
  </x:si>
  <x:si>
    <x:t>Oberweiden</x:t>
  </x:si>
  <x:si>
    <x:t>Johann Schneider</x:t>
  </x:si>
  <x:si>
    <x:t>Schneider</x:t>
  </x:si>
  <x:si>
    <x:t>Langschlag</x:t>
  </x:si>
  <x:si>
    <x:t>Kainrathschlag</x:t>
  </x:si>
  <x:si>
    <x:t>Pfabigan</x:t>
  </x:si>
  <x:si>
    <x:t>Grabenfeldsraße</x:t>
  </x:si>
  <x:si>
    <x:t>Awareness Kurzberatung Energie, Schwerpunktberatung, Kurzberatung</x:t>
  </x:si>
  <x:si>
    <x:t>Thomas Blei e.U.</x:t>
  </x:si>
  <x:si>
    <x:t>Blei</x:t>
  </x:si>
  <x:si>
    <x:t>Langau</x:t>
  </x:si>
  <x:si>
    <x:t>Marktgemeinde Rastenfeld</x:t>
  </x:si>
  <x:si>
    <x:t>Gerhard</x:t>
  </x:si>
  <x:si>
    <x:t>Wandl</x:t>
  </x:si>
  <x:si>
    <x:t>Nordgeister e. U. Getränkehandel</x:t>
  </x:si>
  <x:si>
    <x:t>Kerim</x:t>
  </x:si>
  <x:si>
    <x:t>El Behi</x:t>
  </x:si>
  <x:si>
    <x:t>office@nordgeister.at</x:t>
  </x:si>
  <x:si>
    <x:t>Kautzen</x:t>
  </x:si>
  <x:si>
    <x:t>Blumenhaus Tutschek</x:t>
  </x:si>
  <x:si>
    <x:t>Siegfried</x:t>
  </x:si>
  <x:si>
    <x:t>Tutschek</x:t>
  </x:si>
  <x:si>
    <x:t>Pulkauerstraße</x:t>
  </x:si>
  <x:si>
    <x:t>Awareness Kurzberatung Energie, Schwerpunktberatung, Umsetzungs - Schwerpunktberatung PV</x:t>
  </x:si>
  <x:si>
    <x:t>KFZ - Landtechnik Miksche</x:t>
  </x:si>
  <x:si>
    <x:t>Edwin</x:t>
  </x:si>
  <x:si>
    <x:t>Miksche</x:t>
  </x:si>
  <x:si>
    <x:t>Kirchenstraße</x:t>
  </x:si>
  <x:si>
    <x:t>TEST - FUCHS GmbH</x:t>
  </x:si>
  <x:si>
    <x:t>Daniel</x:t>
  </x:si>
  <x:si>
    <x:t>Neubauer</x:t>
  </x:si>
  <x:si>
    <x:t>Test Fuchs Straße</x:t>
  </x:si>
  <x:si>
    <x:t>Transporte allarm</x:t>
  </x:si>
  <x:si>
    <x:t>Brunn an der Wild</x:t>
  </x:si>
  <x:si>
    <x:t>Sankt Marein</x:t>
  </x:si>
  <x:si>
    <x:t>Kurzberatung Hilfe PV Anlage inkl. Wirtschaftlichkitsrg. Mögliche Förderungen</x:t>
  </x:si>
  <x:si>
    <x:t>ARTE Hotel GmbH</x:t>
  </x:si>
  <x:si>
    <x:t>Hann</x:t>
  </x:si>
  <x:si>
    <x:t>Almweg</x:t>
  </x:si>
  <x:si>
    <x:t>Kurzberatung PV Anlage, mögliche Förderungen, Schwerpunktberatung</x:t>
  </x:si>
  <x:si>
    <x:t>Handl GmbH</x:t>
  </x:si>
  <x:si>
    <x:t>Lambert</x:t>
  </x:si>
  <x:si>
    <x:t>Handl</x:t>
  </x:si>
  <x:si>
    <x:t>Waldkirchner Straße</x:t>
  </x:si>
  <x:si>
    <x:t>Kurzberatung Planung PV Anlage, Überschussstrom Heizungsunterstützung</x:t>
  </x:si>
  <x:si>
    <x:t>Trisko GmbH</x:t>
  </x:si>
  <x:si>
    <x:t>Stefan</x:t>
  </x:si>
  <x:si>
    <x:t>Trisko</x:t>
  </x:si>
  <x:si>
    <x:t>Kleingloms</x:t>
  </x:si>
  <x:si>
    <x:t>Kurzberatung Grobplanung PV Anlage</x:t>
  </x:si>
  <x:si>
    <x:t>Wurmhof Thaller</x:t>
  </x:si>
  <x:si>
    <x:t>Gaby, Wolfgang</x:t>
  </x:si>
  <x:si>
    <x:t>Thaller</x:t>
  </x:si>
  <x:si>
    <x:t>Oberhof</x:t>
  </x:si>
  <x:si>
    <x:t>Gesundheitshotel Klosterberg GmbH</x:t>
  </x:si>
  <x:si>
    <x:t>Laister</x:t>
  </x:si>
  <x:si>
    <x:t>Am Berg</x:t>
  </x:si>
  <x:si>
    <x:t>Kurzberatung, Umsetzungsschwerpunktberatung</x:t>
  </x:si>
  <x:si>
    <x:t>Stadthotel Waidhofen an der Thaya GmbH &amp; Co KG</x:t>
  </x:si>
  <x:si>
    <x:t>Eduard</x:t>
  </x:si>
  <x:si>
    <x:t>Halmschlager</x:t>
  </x:si>
  <x:si>
    <x:t>Kurzberatung Grobplanung PV Anlage, Kurzberatung E- Mobilität, Schwerpunktberatung PV, Energieeffizienter Neubau, Schwerpunktberatung Neubau SPA, Bereich, Umsetzungs- Schwerpunktberatung Photovoltaik &amp; Speicher, Einsparmaßnahmen Strom</x:t>
  </x:si>
  <x:si>
    <x:t>C &amp; G Gastgewerbe GmbH</x:t>
  </x:si>
  <x:si>
    <x:t>Hunor</x:t>
  </x:si>
  <x:si>
    <x:t>Ince</x:t>
  </x:si>
  <x:si>
    <x:t>Peygarten-Ottenstein</x:t>
  </x:si>
  <x:si>
    <x:t>Kurzberatung, Schwerpunktberatung PV Anlage, Heizungsumstellung</x:t>
  </x:si>
  <x:si>
    <x:t>Schober Martin Mag.</x:t>
  </x:si>
  <x:si>
    <x:t>Schober</x:t>
  </x:si>
  <x:si>
    <x:t>02982 / 2007711</x:t>
  </x:si>
  <x:si>
    <x:t>Josef - Höbarth - Gasse</x:t>
  </x:si>
  <x:si>
    <x:t>Umsetzungs- Schwerpunktberatung (PV)</x:t>
  </x:si>
  <x:si>
    <x:t>Raiffeisenbank</x:t>
  </x:si>
  <x:si>
    <x:t>Landstraße</x:t>
  </x:si>
  <x:si>
    <x:t>Kurzberatung d Potenzialanalyse für die 
Solarstromnutzung und Speicherung</x:t>
  </x:si>
  <x:si>
    <x:t>Lugauer GmbH</x:t>
  </x:si>
  <x:si>
    <x:t>Lugauer</x:t>
  </x:si>
  <x:si>
    <x:t>Kurzberatung, E- Mobilität, Umsetzungs- Schwerpunktberatung Energie, Schwerpunktberatung</x:t>
  </x:si>
  <x:si>
    <x:t>VTW GmbH</x:t>
  </x:si>
  <x:si>
    <x:t>Schinko</x:t>
  </x:si>
  <x:si>
    <x:t>Kurzberatung Energieeffizienzsteigerung bei der Energieversorgung, Umsetzungs- Schwerpunktberatung Energie, Umsetzungs- Schwerpunktberatung Energie</x:t>
  </x:si>
  <x:si>
    <x:t>Malerei Bauer Andreas</x:t>
  </x:si>
  <x:si>
    <x:t>Bauer</x:t>
  </x:si>
  <x:si>
    <x:t>Frauenhofner Straße</x:t>
  </x:si>
  <x:si>
    <x:t>Kurzberatung Energieeffizienzsteigerung, Solarstromnutzung, E - Mobilität, Umsetzungs- Schwerpunktberatung Energie</x:t>
  </x:si>
  <x:si>
    <x:t>Glas Lunzer</x:t>
  </x:si>
  <x:si>
    <x:t>Leopold</x:t>
  </x:si>
  <x:si>
    <x:t>Lunzer</x:t>
  </x:si>
  <x:si>
    <x:t>Breiteneicher Straße</x:t>
  </x:si>
  <x:si>
    <x:t>Kurzberatung, E - Mobilität</x:t>
  </x:si>
  <x:si>
    <x:t>Roßnagl Christian</x:t>
  </x:si>
  <x:si>
    <x:t>Roßnagl</x:t>
  </x:si>
  <x:si>
    <x:t>St. Bernhard - Frauenhofen</x:t>
  </x:si>
  <x:si>
    <x:t>Groß Burgstall</x:t>
  </x:si>
  <x:si>
    <x:t>Awareness Kurzberatung Energie, Kurzberatung Neubau und Grobauslegung der PV Anlage,  Umsetzungs- Schwerpunktberatung Energie PV 
PV Anlage</x:t>
  </x:si>
  <x:si>
    <x:t>Theater - und Feriendorf Königsleitn GmbH</x:t>
  </x:si>
  <x:si>
    <x:t>Zeno</x:t>
  </x:si>
  <x:si>
    <x:t>Stanek</x:t>
  </x:si>
  <x:si>
    <x:t>Litschau</x:t>
  </x:si>
  <x:si>
    <x:t>Buchenstraße</x:t>
  </x:si>
  <x:si>
    <x:t>Awareness Kurzberatung Energie, Umsetzungs- Schwerpunktberatung Energie</x:t>
  </x:si>
  <x:si>
    <x:t>Hager</x:t>
  </x:si>
  <x:si>
    <x:t>Otmar</x:t>
  </x:si>
  <x:si>
    <x:t>Koller</x:t>
  </x:si>
  <x:si>
    <x:t>Pleßberg</x:t>
  </x:si>
  <x:si>
    <x:t>Gasthof zur goldenen Rose</x:t>
  </x:si>
  <x:si>
    <x:t>Schindler</x:t>
  </x:si>
  <x:si>
    <x:t>Kuben Baugesellschaft m. b. H.</x:t>
  </x:si>
  <x:si>
    <x:t>Kuben</x:t>
  </x:si>
  <x:si>
    <x:t>Gemeindegasthaus STEFAN Thomas</x:t>
  </x:si>
  <x:si>
    <x:t>Straning-Grafenberg</x:t>
  </x:si>
  <x:si>
    <x:t>Straning</x:t>
  </x:si>
  <x:si>
    <x:t>Windhag Betriebs - und Verwlatungs GmbH</x:t>
  </x:si>
  <x:si>
    <x:t>Warringer</x:t>
  </x:si>
  <x:si>
    <x:t>Franzen</x:t>
  </x:si>
  <x:si>
    <x:t>Schloss Waldreichs</x:t>
  </x:si>
  <x:si>
    <x:t>Kurzberatung, Shwerpunktberatung</x:t>
  </x:si>
  <x:si>
    <x:t>CLA Tech Maschinen - und Fertigungstechnik GmbH</x:t>
  </x:si>
  <x:si>
    <x:t>Margarita</x:t>
  </x:si>
  <x:si>
    <x:t>Altmann</x:t>
  </x:si>
  <x:si>
    <x:t>0650 / 7965035</x:t>
  </x:si>
  <x:si>
    <x:t>m.altmann@cla-tech.at</x:t>
  </x:si>
  <x:si>
    <x:t>Guntersdorf</x:t>
  </x:si>
  <x:si>
    <x:t>Kalladorfer Straße</x:t>
  </x:si>
  <x:si>
    <x:t>Kurzberatung, Schwerpunktberatung, Umsetungsschwerpunktberatung</x:t>
  </x:si>
  <x:si>
    <x:t>MR - CT Diagnosezentrum Horn Breitenseher GmbH</x:t>
  </x:si>
  <x:si>
    <x:t>Tanja</x:t>
  </x:si>
  <x:si>
    <x:t>Waltinger</x:t>
  </x:si>
  <x:si>
    <x:t>Spitalgasse</x:t>
  </x:si>
  <x:si>
    <x:t>Awareness Kurzberatung Energie, Umsetzungs- Schwerpunktberatung</x:t>
  </x:si>
  <x:si>
    <x:t>Schrenk GmbH</x:t>
  </x:si>
  <x:si>
    <x:t>Raiffeisenstraße</x:t>
  </x:si>
  <x:si>
    <x:t>Awareness Kurzberatung Energie, Umsetzungs- Schwerpunktberatung (PV)</x:t>
  </x:si>
  <x:si>
    <x:t>Bäckerei Linsbauer KG</x:t>
  </x:si>
  <x:si>
    <x:t>Drosendorf</x:t>
  </x:si>
  <x:si>
    <x:t>Hofer Media GmbH &amp; Co KG</x:t>
  </x:si>
  <x:si>
    <x:t>Hofer</x:t>
  </x:si>
  <x:si>
    <x:t>Im Stadtfeld</x:t>
  </x:si>
  <x:si>
    <x:t>Fahrschule Pfeifer</x:t>
  </x:si>
  <x:si>
    <x:t>Petra</x:t>
  </x:si>
  <x:si>
    <x:t>Stohmayer - Pfeifer</x:t>
  </x:si>
  <x:si>
    <x:t>Stadtgraben</x:t>
  </x:si>
  <x:si>
    <x:t>Awareness Kurzberatung, Umsetzungs - Schwerpunktberatung PV</x:t>
  </x:si>
  <x:si>
    <x:t>Hundlinger Bürotechnik u. Handels Ges. mbH &amp; Co. KG.</x:t>
  </x:si>
  <x:si>
    <x:t>Harald</x:t>
  </x:si>
  <x:si>
    <x:t>Hundlinger</x:t>
  </x:si>
  <x:si>
    <x:t>Wilhelm Miklas - Platz</x:t>
  </x:si>
  <x:si>
    <x:t>Handarbeiten Elisabeth Maurer</x:t>
  </x:si>
  <x:si>
    <x:t>Elisabeth</x:t>
  </x:si>
  <x:si>
    <x:t>Maurer</x:t>
  </x:si>
  <x:si>
    <x:t>Ganser Dach GmbH</x:t>
  </x:si>
  <x:si>
    <x:t>Etzler</x:t>
  </x:si>
  <x:si>
    <x:t>Göprfitz an der Wild</x:t>
  </x:si>
  <x:si>
    <x:t>Merkenbrechts</x:t>
  </x:si>
  <x:si>
    <x:t>Dachdeckerei Pfieffer</x:t>
  </x:si>
  <x:si>
    <x:t>Margit</x:t>
  </x:si>
  <x:si>
    <x:t>Koller - Pfeiffer</x:t>
  </x:si>
  <x:si>
    <x:t>Am Stadtteich</x:t>
  </x:si>
  <x:si>
    <x:t>Umsetzungs - Schwerpunktberatung PV</x:t>
  </x:si>
  <x:si>
    <x:t>Widhalm Landtechnik GmbH</x:t>
  </x:si>
  <x:si>
    <x:t>Chritoph</x:t>
  </x:si>
  <x:si>
    <x:t>Widhalm</x:t>
  </x:si>
  <x:si>
    <x:t>Kurzberatung, Schwerpunktberatung PV Anlage mit Speicher, Schwerpunktberatung  E - Mobilität Ladestellen Car - Sharing</x:t>
  </x:si>
  <x:si>
    <x:t>Immobilienverwaltung Grafenegg GmbH</x:t>
  </x:si>
  <x:si>
    <x:t>Gerald</x:t>
  </x:si>
  <x:si>
    <x:t>Türk</x:t>
  </x:si>
  <x:si>
    <x:t>Grafenegg</x:t>
  </x:si>
  <x:si>
    <x:t>Zimmerei &amp; Holzbau GmbH</x:t>
  </x:si>
  <x:si>
    <x:t>Steiner</x:t>
  </x:si>
  <x:si>
    <x:t>02987 / 24224</x:t>
  </x:si>
  <x:si>
    <x:t>office@waldholzbauen.at</x:t>
  </x:si>
  <x:si>
    <x:t>St. Leonhard</x:t>
  </x:si>
  <x:si>
    <x:t>Untertautendorferamt</x:t>
  </x:si>
  <x:si>
    <x:t>Wingelhofer &amp; Söhne GmbH</x:t>
  </x:si>
  <x:si>
    <x:t>Rene</x:t>
  </x:si>
  <x:si>
    <x:t>Wingelhofer</x:t>
  </x:si>
  <x:si>
    <x:t>Weitersfeld</x:t>
  </x:si>
  <x:si>
    <x:t>Starrein</x:t>
  </x:si>
  <x:si>
    <x:t>Hausgnost GmbH</x:t>
  </x:si>
  <x:si>
    <x:t>Hausgnost</x:t>
  </x:si>
  <x:si>
    <x:t>Kurzberatung, Schwerpunktberatung PV</x:t>
  </x:si>
  <x:si>
    <x:t>AWS - Förderbegleitung Erich Kolm</x:t>
  </x:si>
  <x:si>
    <x:t>Erich und Elfried</x:t>
  </x:si>
  <x:si>
    <x:t>Kolm</x:t>
  </x:si>
  <x:si>
    <x:t>Reichers</x:t>
  </x:si>
  <x:si>
    <x:t>Umsetzungs - Schwerpunktberatung</x:t>
  </x:si>
  <x:si>
    <x:t>Ableidinger</x:t>
  </x:si>
  <x:si>
    <x:t>Langschwarza</x:t>
  </x:si>
  <x:si>
    <x:t>Awareness Kurzberatung, Umsetzungs - Schwerpunktberatung PV - Anlage</x:t>
  </x:si>
  <x:si>
    <x:t>Brodesser Daniela</x:t>
  </x:si>
  <x:si>
    <x:t>Brodesser</x:t>
  </x:si>
  <x:si>
    <x:t>St. Leonhard am Hornerwald</x:t>
  </x:si>
  <x:si>
    <x:t>Wolfshoferamt</x:t>
  </x:si>
  <x:si>
    <x:t>Umsetzungs - Schwerpunktberatung Heizungsumstellung</x:t>
  </x:si>
  <x:si>
    <x:t>Pfaller Bettina</x:t>
  </x:si>
  <x:si>
    <x:t>Bettina</x:t>
  </x:si>
  <x:si>
    <x:t>Pfaller</x:t>
  </x:si>
  <x:si>
    <x:t>Prager Straße</x:t>
  </x:si>
  <x:si>
    <x:t>Awareness Kurzberatung, Umsetzungs - Schwerpunktberatung PV + Stromspeicher</x:t>
  </x:si>
  <x:si>
    <x:t>Maier Markus</x:t>
  </x:si>
  <x:si>
    <x:t>Maier</x:t>
  </x:si>
  <x:si>
    <x:t>Rosenburg - Mold</x:t>
  </x:si>
  <x:si>
    <x:t>Mörtersdorf</x:t>
  </x:si>
  <x:si>
    <x:t>Hasutechnik Petz Dominik</x:t>
  </x:si>
  <x:si>
    <x:t>Dominik</x:t>
  </x:si>
  <x:si>
    <x:t>Petz</x:t>
  </x:si>
  <x:si>
    <x:t>Hadres</x:t>
  </x:si>
  <x:si>
    <x:t>Obritz</x:t>
  </x:si>
  <x:si>
    <x:t>VSZ GmbH</x:t>
  </x:si>
  <x:si>
    <x:t>Weiß</x:t>
  </x:si>
  <x:si>
    <x:t>Magnesitstraße</x:t>
  </x:si>
  <x:si>
    <x:t>Gasthaus zum Rene</x:t>
  </x:si>
  <x:si>
    <x:t>Lebersorger</x:t>
  </x:si>
  <x:si>
    <x:t>Fabrikenstraße</x:t>
  </x:si>
  <x:si>
    <x:t>NÖ Festival und Kino GmbH</x:t>
  </x:si>
  <x:si>
    <x:t>Ernst</x:t>
  </x:si>
  <x:si>
    <x:t>Dr.-Karl-Dorrek-Straße</x:t>
  </x:si>
  <x:si>
    <x:t>Bruckner Fenster und Türen GmbH</x:t>
  </x:si>
  <x:si>
    <x:t>Bruckner</x:t>
  </x:si>
  <x:si>
    <x:t>Groß Gerungs</x:t>
  </x:si>
  <x:si>
    <x:t>Ober Rosenauerwald</x:t>
  </x:si>
  <x:si>
    <x:t>Museumsplatz</x:t>
  </x:si>
  <x:si>
    <x:t>Kurzberatung EE / betriebliche Energieeffizienz, Maßnahmen zur Energieeinsparung, PV, Heizungsumstellung</x:t>
  </x:si>
  <x:si>
    <x:t>Florian Kainz</x:t>
  </x:si>
  <x:si>
    <x:t>Florian</x:t>
  </x:si>
  <x:si>
    <x:t>Friends Tourisitk GmbH</x:t>
  </x:si>
  <x:si>
    <x:t>Astrid</x:t>
  </x:si>
  <x:si>
    <x:t>Kurzberatung, Schwerpunktberatung PV - Dachanlage</x:t>
  </x:si>
  <x:si>
    <x:t>Raiffeisenbank Altmelon</x:t>
  </x:si>
  <x:si>
    <x:t>Scharitzer</x:t>
  </x:si>
  <x:si>
    <x:t>Altmelon</x:t>
  </x:si>
  <x:si>
    <x:t>Kurzberatung, Schwerpunktberatung PV - Anlage und Speicher</x:t>
  </x:si>
  <x:si>
    <x:t>WMB Weinviertel Museum Betriebs GmbH</x:t>
  </x:si>
  <x:si>
    <x:t>Mistelbach</x:t>
  </x:si>
  <x:si>
    <x:t>Waldstraße</x:t>
  </x:si>
  <x:si>
    <x:t>Martin Brandstetter</x:t>
  </x:si>
  <x:si>
    <x:t>Brandstetter</x:t>
  </x:si>
  <x:si>
    <x:t>Schönberg am Kamp</x:t>
  </x:si>
  <x:si>
    <x:t>Thürneustift</x:t>
  </x:si>
  <x:si>
    <x:t>Kurzberatung, Schwerpunktberatung PV Carport, PV 3Dächer</x:t>
  </x:si>
  <x:si>
    <x:t>Benediktinerstift Altenburg</x:t>
  </x:si>
  <x:si>
    <x:t>Stadler</x:t>
  </x:si>
  <x:si>
    <x:t>Abt - Placidus - Much - Straße</x:t>
  </x:si>
  <x:si>
    <x:t>Schulmeister GmbH</x:t>
  </x:si>
  <x:si>
    <x:t>Schulmeister</x:t>
  </x:si>
  <x:si>
    <x:t>Bahnstraße</x:t>
  </x:si>
  <x:si>
    <x:t>Schwerpunktberatung PV</x:t>
  </x:si>
  <x:si>
    <x:t>Leidenfrost - Pool GmbH</x:t>
  </x:si>
  <x:si>
    <x:t>Leidenfrost</x:t>
  </x:si>
  <x:si>
    <x:t>Josef Leidenfrost - Straße</x:t>
  </x:si>
  <x:si>
    <x:t>Kurzberatung PV, Awareness Kurzberatung</x:t>
  </x:si>
  <x:si>
    <x:t>Solagranum Gmbh</x:t>
  </x:si>
  <x:si>
    <x:t>Forster</x:t>
  </x:si>
  <x:si>
    <x:t>Kurzberatung, Awareness Kurzberatung</x:t>
  </x:si>
  <x:si>
    <x:t>Ruthner Sandra</x:t>
  </x:si>
  <x:si>
    <x:t>Sandra</x:t>
  </x:si>
  <x:si>
    <x:t>Ruthner</x:t>
  </x:si>
  <x:si>
    <x:t>Karlstein an der Thaya</x:t>
  </x:si>
  <x:si>
    <x:t>Mühlweg</x:t>
  </x:si>
  <x:si>
    <x:t>Awareness Kurzberatung Energieeffizienz, EE, Mobilität und Kreislaufwirtschaft</x:t>
  </x:si>
  <x:si>
    <x:t>Georg Wurz</x:t>
  </x:si>
  <x:si>
    <x:t>Georg</x:t>
  </x:si>
  <x:si>
    <x:t>Wurz</x:t>
  </x:si>
  <x:si>
    <x:t>Hinterzeile</x:t>
  </x:si>
  <x:si>
    <x:t>Umsetzungs - Schwerpunktberatung Energie</x:t>
  </x:si>
  <x:si>
    <x:t>PUMPENoase Handels GmbH</x:t>
  </x:si>
  <x:si>
    <x:t>FOX Werbegrafik Rathmanner KG</x:t>
  </x:si>
  <x:si>
    <x:t>Rathmanner</x:t>
  </x:si>
  <x:si>
    <x:t>andreas@fox.co.at</x:t>
  </x:si>
  <x:si>
    <x:t>Oberplank</x:t>
  </x:si>
  <x:si>
    <x:t>EXTERSTAHL Handels GmbH</x:t>
  </x:si>
  <x:si>
    <x:t>Hellerschmid</x:t>
  </x:si>
  <x:si>
    <x:t>0664 / 1642844</x:t>
  </x:si>
  <x:si>
    <x:t>b.hellerschmid@exterstahl.at</x:t>
  </x:si>
  <x:si>
    <x:t>Dr.-Franz-Wilhelm-Straße</x:t>
  </x:si>
  <x:si>
    <x:t>Awareness Kurzberatung Energieeffizienz, EE, Mobilität und Kreislaufwirtschaft,</x:t>
  </x:si>
  <x:si>
    <x:t>Kreativer Holzbau GmbH &amp; Co KG</x:t>
  </x:si>
  <x:si>
    <x:t>office@kreativerholzbau.at</x:t>
  </x:si>
  <x:si>
    <x:t>Moidrams</x:t>
  </x:si>
  <x:si>
    <x:t>Umsetzungs- Schwerpunktberatung, Awareness Kurzberatung</x:t>
  </x:si>
  <x:si>
    <x:t>Holzbau Unfried GmbH</x:t>
  </x:si>
  <x:si>
    <x:t>baminger@holzbau-unfried.at</x:t>
  </x:si>
  <x:si>
    <x:t>Gewerbestraße</x:t>
  </x:si>
  <x:si>
    <x:t>Awareness Kurzberatung, Umsetzungs- Schwerpunktberatung PV</x:t>
  </x:si>
  <x:si>
    <x:t>Gesundheitshotel Moorbad Bad Großpertholz GmbH</x:t>
  </x:si>
  <x:si>
    <x:t>Bernadette</x:t>
  </x:si>
  <x:si>
    <x:t>Kitzler</x:t>
  </x:si>
  <x:si>
    <x:t>direktion@moorbad-badgrosspertholz.at</x:t>
  </x:si>
  <x:si>
    <x:t>Bad Großpertholz</x:t>
  </x:si>
  <x:si>
    <x:t>Erneuerung Heizanlage und Heizungspumpen, Strommonitoring</x:t>
  </x:si>
  <x:si>
    <x:t>Benediktnerstift Altenburg</x:t>
  </x:si>
  <x:si>
    <x:t>Erneuerung Heizanlage, Installation PV Anlagen</x:t>
  </x:si>
  <x:si>
    <x:t>Marktgemeinde Ober - Grafendorf</x:t>
  </x:si>
  <x:si>
    <x:t>Lurger</x:t>
  </x:si>
  <x:si>
    <x:t>Ober - Grafendorf</x:t>
  </x:si>
  <x:si>
    <x:t>LED - Tasuch, Strommonitoring, Installation PV Anlagen, Thermische Sanierung Gebäude</x:t>
  </x:si>
  <x:si>
    <x:t>Badener Kulturbetriebs - GmbH</x:t>
  </x:si>
  <x:si>
    <x:t>Baden</x:t>
  </x:si>
  <x:si>
    <x:t>Josefsplatz</x:t>
  </x:si>
  <x:si>
    <x:t>Thermische Sanierung Gebäudehülle, Reduktion Energiekosten</x:t>
  </x:si>
  <x:si>
    <x:t>aL!VE - Allenszeiger lichtspiel Verein</x:t>
  </x:si>
  <x:si>
    <x:t>Pölzl</x:t>
  </x:si>
  <x:si>
    <x:t>Dr. Ernst Krennstraße</x:t>
  </x:si>
  <x:si>
    <x:t>Sanierung Geschoßdecke, Fassadensanierung, Erneuerung Heizanlage, Installation PV Anlagen</x:t>
  </x:si>
  <x:si>
    <x:t>Hofkollektiv Zwetschke - Verein zur Förderung solidarischen und ökologischen Lebens</x:t>
  </x:si>
  <x:si>
    <x:t>Laner</x:t>
  </x:si>
  <x:si>
    <x:t>Neggers</x:t>
  </x:si>
  <x:si>
    <x:t>Sanierung, Energieeffizienz</x:t>
  </x:si>
  <x:si>
    <x:t>Marktgemeinde Guntersdorf</x:t>
  </x:si>
  <x:si>
    <x:t>Raiffeisen Platz</x:t>
  </x:si>
  <x:si>
    <x:t>Gebäudesanierung, Heizungsumstellung</x:t>
  </x:si>
  <x:si>
    <x:t>Marktgemeinde Hohenwarth - Mühlbach</x:t>
  </x:si>
  <x:si>
    <x:t>Gudenus</x:t>
  </x:si>
  <x:si>
    <x:t>Hohenwarth</x:t>
  </x:si>
  <x:si>
    <x:t>Arbeitsgemeinschaft Sozialdienst Mostviertel</x:t>
  </x:si>
  <x:si>
    <x:t>Burghofer</x:t>
  </x:si>
  <x:si>
    <x:t>0677 / 63771127</x:t>
  </x:si>
  <x:si>
    <x:t>Preinsbacher Straße 39-41</x:t>
  </x:si>
  <x:si>
    <x:t>Frank Reisen GmbH</x:t>
  </x:si>
  <x:si>
    <x:t>02842 / 35000</x:t>
  </x:si>
  <x:si>
    <x:t>Hans Kudlich Straße</x:t>
  </x:si>
  <x:si>
    <x:t>Ökomanagement - Projektberatung PV</x:t>
  </x:si>
  <x:si>
    <x:t>Eggenburg Gemeinde</x:t>
  </x:si>
  <x:si>
    <x:t>Burkhard</x:t>
  </x:si>
  <x:si>
    <x:t>Hammer</x:t>
  </x:si>
  <x:si>
    <x:t>Diözese St. Pölten</x:t>
  </x:si>
  <x:si>
    <x:t>02742 / 324</x:t>
  </x:si>
  <x:si>
    <x:t>St. Pölten</x:t>
  </x:si>
  <x:si>
    <x:t>Domplatz</x:t>
  </x:si>
  <x:si>
    <x:t>Unterstützung Energiebedarf und PV (Ökomanagement - Beratung)</x:t>
  </x:si>
  <x:si>
    <x:t>Freiwillige Feuerwehr Groß - Siegharts</x:t>
  </x:si>
  <x:si>
    <x:t>0676 / 5336887</x:t>
  </x:si>
  <x:si>
    <x:t>Fraslgasse</x:t>
  </x:si>
  <x:si>
    <x:t>Ökomanagement - Projektberatung Gebäudesanierung, Ökomanagement - Checkberatung</x:t>
  </x:si>
  <x:si>
    <x:t>Pfarre Maria Laach</x:t>
  </x:si>
  <x:si>
    <x:t>0676 / 826633235</x:t>
  </x:si>
  <x:si>
    <x:t>Maria Laach am Jauerling</x:t>
  </x:si>
  <x:si>
    <x:t>Maria Laach</x:t>
  </x:si>
  <x:si>
    <x:t>Ökomanagement NÖ Energieeffizienzmaßnahmen Gebäude und Mobilität</x:t>
  </x:si>
  <x:si>
    <x:t>02942 / 2306</x:t>
  </x:si>
  <x:si>
    <x:t>Ökomanagement - Checkberatung Sanierung Gebäude</x:t>
  </x:si>
  <x:si>
    <x:t>Evangelissche Pfarre Gmünd - Waidhofen</x:t>
  </x:si>
  <x:si>
    <x:t>0664 / 7364734</x:t>
  </x:si>
  <x:si>
    <x:t>Gmünd</x:t>
  </x:si>
  <x:si>
    <x:t>Beratung und Unterstützung Effizienzmaßnahmen bei Wärmeversorgung</x:t>
  </x:si>
  <x:si>
    <x:t>Neue Mittelschule Dobersberg</x:t>
  </x:si>
  <x:si>
    <x:t>02843 / 2201</x:t>
  </x:si>
  <x:si>
    <x:t>Energieberatung Ökomanagement - Beratung thermische Sanierung</x:t>
  </x:si>
  <x:si>
    <x:t>Großharras</x:t>
  </x:si>
  <x:si>
    <x:t>Windpassinger</x:t>
  </x:si>
  <x:si>
    <x:t>02526 / 7315</x:t>
  </x:si>
  <x:si>
    <x:t>Ökomanagement NÖ "Gebäudesanierung lang ", thermische Sanierung</x:t>
  </x:si>
  <x:si>
    <x:t>Wildendürnbach Gemeinde</x:t>
  </x:si>
  <x:si>
    <x:t>02523 / 8252</x:t>
  </x:si>
  <x:si>
    <x:t>Wildendürnbach</x:t>
  </x:si>
  <x:si>
    <x:t>Ökomanagement - Beratung Energieeffizienzmaßnahmen Anlagen und Gebäude</x:t>
  </x:si>
  <x:si>
    <x:t>Krumau am Kamp</x:t>
  </x:si>
  <x:si>
    <x:t>Krumau</x:t>
  </x:si>
  <x:si>
    <x:t>Ökomanagment Gemeindegebäude</x:t>
  </x:si>
  <x:si>
    <x:t>Marktgemeinde Straning - Grafenberg</x:t>
  </x:si>
  <x:si>
    <x:t>Fleischl</x:t>
  </x:si>
  <x:si>
    <x:t>02984 / 7273</x:t>
  </x:si>
  <x:si>
    <x:t>Stadtgemeinde Baden</x:t>
  </x:si>
  <x:si>
    <x:t>02252 / 86800570</x:t>
  </x:si>
  <x:si>
    <x:t>Haidhofstraße</x:t>
  </x:si>
  <x:si>
    <x:t>Ökomanagement - beratung "Energieberatung lang", PV</x:t>
  </x:si>
  <x:si>
    <x:t>Schweiggers Marktgemeinde</x:t>
  </x:si>
  <x:si>
    <x:t>02829 / 8234 - 10</x:t>
  </x:si>
  <x:si>
    <x:t>gemeinde@schweiggers.gv.at</x:t>
  </x:si>
  <x:si>
    <x:t>Ökomanagement - Beratung Gebäudesanierung</x:t>
  </x:si>
  <x:si>
    <x:t>Rathausgebäude Weitra</x:t>
  </x:si>
  <x:si>
    <x:t>Weitra</x:t>
  </x:si>
  <x:si>
    <x:t>Rathausplatz</x:t>
  </x:si>
  <x:si>
    <x:t>Beratung PV - Anlage</x:t>
  </x:si>
  <x:si>
    <x:t>Verein zur Förderung der Mohn - und Getreidezüchtung</x:t>
  </x:si>
  <x:si>
    <x:t>02822 / 54412</x:t>
  </x:si>
  <x:si>
    <x:t>Edelhof</x:t>
  </x:si>
  <x:si>
    <x:t>Beratung Sanierung,</x:t>
  </x:si>
  <x:si>
    <x:t>Kirchberg am Walde</x:t>
  </x:si>
  <x:si>
    <x:t>02854 / 7010</x:t>
  </x:si>
  <x:si>
    <x:t>Marktgemeinde Staatz</x:t>
  </x:si>
  <x:si>
    <x:t>02524 / 2212</x:t>
  </x:si>
  <x:si>
    <x:t>Kautendorf</x:t>
  </x:si>
  <x:si>
    <x:t>Schlossplatz</x:t>
  </x:si>
  <x:si>
    <x:t>Beratung Mustersanierung</x:t>
  </x:si>
  <x:si>
    <x:t>MGN Milchgenossenschaft NÖ</x:t>
  </x:si>
  <x:si>
    <x:t>02252 / 89581 - 1872</x:t>
  </x:si>
  <x:si>
    <x:t>Vöslauer Straße</x:t>
  </x:si>
  <x:si>
    <x:t>Beratung thermische Gebäudesanierung</x:t>
  </x:si>
  <x:si>
    <x:t>Marktgemeinde Amaliendorf - Aalfang</x:t>
  </x:si>
  <x:si>
    <x:t>02862 / 53495</x:t>
  </x:si>
  <x:si>
    <x:t>Amaliendorf</x:t>
  </x:si>
  <x:si>
    <x:t>Retz Stadtgemeinde</x:t>
  </x:si>
  <x:si>
    <x:t>02942 / 2223</x:t>
  </x:si>
  <x:si>
    <x:t>Mustersanierung VS-Pillichsdorf</x:t>
  </x:si>
  <x:si>
    <x:t>Sabine</x:t>
  </x:si>
  <x:si>
    <x:t>Birk</x:t>
  </x:si>
  <x:si>
    <x:t>02245 / 2421</x:t>
  </x:si>
  <x:si>
    <x:t>s.birk@pillchsdorf.at</x:t>
  </x:si>
  <x:si>
    <x:t>Pillchsdorf</x:t>
  </x:si>
  <x:si>
    <x:t>Amtsleiterin</x:t>
  </x:si>
  <x:si>
    <x:t>PV Brunnengebiet</x:t>
  </x:si>
  <x:si>
    <x:t>Schier</x:t>
  </x:si>
  <x:si>
    <x:t>0664 / 5599217</x:t>
  </x:si>
  <x:si>
    <x:t>fem@krems.gv.at</x:t>
  </x:si>
  <x:si>
    <x:t>Rechte Kremszeile</x:t>
  </x:si>
  <x:si>
    <x:t>Facility- und Energieengagement Mitarbeiter</x:t>
  </x:si>
  <x:si>
    <x:t>Christine</x:t>
  </x:si>
  <x:si>
    <x:t>Riederich</x:t>
  </x:si>
  <x:si>
    <x:t>0664 / 2380740</x:t>
  </x:si>
  <x:si>
    <x:t>christine@riederich.at</x:t>
  </x:si>
  <x:si>
    <x:t>Geschäftsführer</x:t>
  </x:si>
  <x:si>
    <x:t>Roswitha</x:t>
  </x:si>
  <x:si>
    <x:t>Barta</x:t>
  </x:si>
  <x:si>
    <x:t>0681 / 10887481</x:t>
  </x:si>
  <x:si>
    <x:t>dobersberg@waldviertel-hotels.at</x:t>
  </x:si>
  <x:si>
    <x:t>Karlsteiner Straße</x:t>
  </x:si>
  <x:si>
    <x:t>Thermische Sanierung inkl. Unterstützung bei Fördereinreichunter-lagen</x:t>
  </x:si>
  <x:si>
    <x:t>Mag. Gerhard</x:t>
  </x:si>
  <x:si>
    <x:t>Adamowitsch</x:t>
  </x:si>
  <x:si>
    <x:t>02842 / 52616.0</x:t>
  </x:si>
  <x:si>
    <x:t>ado@roth-wt.com</x:t>
  </x:si>
  <x:si>
    <x:t>Waidhofen / Thaya</x:t>
  </x:si>
  <x:si>
    <x:t>Geschäftsführung</x:t>
  </x:si>
  <x:si>
    <x:t>Hoyos</x:t>
  </x:si>
  <x:si>
    <x:t>02982 / 2303</x:t>
  </x:si>
  <x:si>
    <x:t>Steinböckstraße</x:t>
  </x:si>
  <x:si>
    <x:t>Niedersulz</x:t>
  </x:si>
  <x:si>
    <x:t>Kurzberatung (Gebäudehülle, PV-Anlage und Beleuchtung)</x:t>
  </x:si>
  <x:si>
    <x:t>Maria</x:t>
  </x:si>
  <x:si>
    <x:t>Scharf</x:t>
  </x:si>
  <x:si>
    <x:t>0664 / 3829555</x:t>
  </x:si>
  <x:si>
    <x:t>maria.scharf@scharf-automation.at</x:t>
  </x:si>
  <x:si>
    <x:t>Awarenessberatung</x:t>
  </x:si>
  <x:si>
    <x:t>Höritzauer</x:t>
  </x:si>
  <x:si>
    <x:t>0650 / 3341144</x:t>
  </x:si>
  <x:si>
    <x:t>order@wegwartehof.at</x:t>
  </x:si>
  <x:si>
    <x:t>Urlike</x:t>
  </x:si>
  <x:si>
    <x:t>Ramharter</x:t>
  </x:si>
  <x:si>
    <x:t>0676 / 9554147</x:t>
  </x:si>
  <x:si>
    <x:t>Raiffeisenpromenade</x:t>
  </x:si>
  <x:si>
    <x:t>Horst</x:t>
  </x:si>
  <x:si>
    <x:t>Hainböck</x:t>
  </x:si>
  <x:si>
    <x:t>0664 / 2016615</x:t>
  </x:si>
  <x:si>
    <x:t>Konzepterstellung Auslegung PV - Anlage inkl. Wirtschaftlichkeitsrg., Förderunterstützung</x:t>
  </x:si>
  <x:si>
    <x:t>Waidhofner Straße</x:t>
  </x:si>
  <x:si>
    <x:t>Energie, ÖKO Kurzberatung</x:t>
  </x:si>
  <x:si>
    <x:t>Stephan</x:t>
  </x:si>
  <x:si>
    <x:t>Böhmgasse</x:t>
  </x:si>
  <x:si>
    <x:t>Mold</x:t>
  </x:si>
  <x:si>
    <x:t>Konzepterstellung Umstieg auf E-Mobilität inkl. Ladestationen, Förderungen</x:t>
  </x:si>
  <x:si>
    <x:t>Müssauer</x:t>
  </x:si>
  <x:si>
    <x:t>0664 / 4227776</x:t>
  </x:si>
  <x:si>
    <x:t>konditorei@muessauer.at</x:t>
  </x:si>
  <x:si>
    <x:t>Konzepterstellung PV-Anlage, Förderungen</x:t>
  </x:si>
  <x:si>
    <x:t>Brigitte</x:t>
  </x:si>
  <x:si>
    <x:t>Temper-Samhaber</x:t>
  </x:si>
  <x:si>
    <x:t>St. Martin</x:t>
  </x:si>
  <x:si>
    <x:t>Harmannschlag</x:t>
  </x:si>
  <x:si>
    <x:t>Ökö- Kurzberatung</x:t>
  </x:si>
  <x:si>
    <x:t>Hilfe bei der Konzepterstellung (PV-Anlage inkl. Wirtschaftlickeitsrechnung</x:t>
  </x:si>
  <x:si>
    <x:t>Nußbaum</x:t>
  </x:si>
  <x:si>
    <x:t>Grahofer</x:t>
  </x:si>
  <x:si>
    <x:t>Eunika</x:t>
  </x:si>
  <x:si>
    <x:t>Hilfe bei der Konzepterstellung (Thermische Sanierung, Auswahl öko nachhaltiger Heizungsanlage)</x:t>
  </x:si>
  <x:si>
    <x:t>Popp</x:t>
  </x:si>
  <x:si>
    <x:t>Niederleuthnerstraße</x:t>
  </x:si>
  <x:si>
    <x:t>Hilfe bei der Energiebedarfserhebung und Konzepterstellung</x:t>
  </x:si>
  <x:si>
    <x:t>Hermine</x:t>
  </x:si>
  <x:si>
    <x:t>Surböck</x:t>
  </x:si>
  <x:si>
    <x:t>Rodingersdorf</x:t>
  </x:si>
  <x:si>
    <x:t>Konzepterstellung thermische Sanierung</x:t>
  </x:si>
  <x:si>
    <x:t>Schurnig</x:t>
  </x:si>
  <x:si>
    <x:t>Schremserstraße</x:t>
  </x:si>
  <x:si>
    <x:t>Hilfe bei Konzepterstellung zur Auslegung PV-Anlage inkl. Fördereinrichtung</x:t>
  </x:si>
  <x:si>
    <x:t>Schillerstraße</x:t>
  </x:si>
  <x:si>
    <x:t>Geschäftsführer, Steuerberater</x:t>
  </x:si>
  <x:si>
    <x:t>Erhebung der Energiesparpotentiale, Überprüfung Einsatz mögl. Alternativanlagen</x:t>
  </x:si>
  <x:si>
    <x:t>Waschka</x:t>
  </x:si>
  <x:si>
    <x:t>02856 / 2296</x:t>
  </x:si>
  <x:si>
    <x:t>markus.muellner@wvnet.at</x:t>
  </x:si>
  <x:si>
    <x:t>Öko Betriebsberatung (Klimaschutz, Energiesparberatung)</x:t>
  </x:si>
  <x:si>
    <x:t>Hilfe bei Investitionsförderung thermische Gebäudesanierung</x:t>
  </x:si>
  <x:si>
    <x:t>Hilfe bei der Konzepterstellung Abwärmenutzung der Biogasanlage</x:t>
  </x:si>
  <x:si>
    <x:t>Linhard</x:t>
  </x:si>
  <x:si>
    <x:t>Florianigasse</x:t>
  </x:si>
  <x:si>
    <x:t>Konzepterstellung einer thermischen Sanierung, Förderungen</x:t>
  </x:si>
  <x:si>
    <x:t>Pecksteiner</x:t>
  </x:si>
  <x:si>
    <x:t>Gutenbrunn</x:t>
  </x:si>
  <x:si>
    <x:t>Fernwärmeanlage</x:t>
  </x:si>
  <x:si>
    <x:t>Oberndorf</x:t>
  </x:si>
  <x:si>
    <x:t>Öko Schwerpunktberatung Standardförderung</x:t>
  </x:si>
  <x:si>
    <x:t>Ingrid</x:t>
  </x:si>
  <x:si>
    <x:t>Haschka</x:t>
  </x:si>
  <x:si>
    <x:t>Allentsteig</x:t>
  </x:si>
  <x:si>
    <x:t>Fenstertausch, Energiespartipps, Vergleich Strom- und Gasanbieter</x:t>
  </x:si>
  <x:si>
    <x:t>Energie RAIKA, Öko-Kurzberatung</x:t>
  </x:si>
  <x:si>
    <x:t>Maximilian Johann</x:t>
  </x:si>
  <x:si>
    <x:t>Breuer</x:t>
  </x:si>
  <x:si>
    <x:t>Sondierung bzgl. Partnern und Verwendung v. E-Fahrzeugen im Sommerbetrieb</x:t>
  </x:si>
  <x:si>
    <x:t>Kurzberatung Erzeugung v. elektrischer Energie mit Hilfe von Abwärme</x:t>
  </x:si>
  <x:si>
    <x:t>Czirbusz</x:t>
  </x:si>
  <x:si>
    <x:t>02842 / 52572 - 305</x:t>
  </x:si>
  <x:si>
    <x:t>Werner.Czirbusz@alpla.com</x:t>
  </x:si>
  <x:si>
    <x:t>Brunnerstraße</x:t>
  </x:si>
  <x:si>
    <x:t>Andrea</x:t>
  </x:si>
  <x:si>
    <x:t>Rapf</x:t>
  </x:si>
  <x:si>
    <x:t>02842 / 53706</x:t>
  </x:si>
  <x:si>
    <x:t>andrea.rapf@zuversicht.at</x:t>
  </x:si>
  <x:si>
    <x:t>Badgasse</x:t>
  </x:si>
  <x:si>
    <x:t>Geschäftsführerin</x:t>
  </x:si>
  <x:si>
    <x:t>Hilfe bei Umsetzung für Umstieg auf E-Mobilität, Konzepterstellung Ladstationen, Aufstellung und Unterstützung Förderungen</x:t>
  </x:si>
  <x:si>
    <x:t>Lamprecht</x:t>
  </x:si>
  <x:si>
    <x:t>Hilfe bei Umsetzung für Umstieg auf E- Mobilität, Konzepterstellung Ladestationen, Aufstellung &amp; Unterstützung Förderungen</x:t>
  </x:si>
  <x:si>
    <x:t>Adolf</x:t>
  </x:si>
  <x:si>
    <x:t>Krumbholz</x:t>
  </x:si>
  <x:si>
    <x:t>Untere Landstraße</x:t>
  </x:si>
  <x:si>
    <x:t>Hilfe Konzeperstellung PV-Anlage, Förderungen und Einspeistarife</x:t>
  </x:si>
  <x:si>
    <x:t>0664 / 73901632</x:t>
  </x:si>
  <x:si>
    <x:t>i.m.steiner@aon.at</x:t>
  </x:si>
  <x:si>
    <x:t>Mittelgasse</x:t>
  </x:si>
  <x:si>
    <x:t>Anlagendokumentation, Förderungen</x:t>
  </x:si>
  <x:si>
    <x:t>St.Peter / Au</x:t>
  </x:si>
  <x:si>
    <x:t>Dobratal</x:t>
  </x:si>
  <x:si>
    <x:t>Energiebedarf und Einsparungspotenzial, Vorgeschlagene Maßnahmen, Kennzahlen</x:t>
  </x:si>
  <x:si>
    <x:t>Vergleich unterschiedlicher Heizvarianten, Förderung, PV-Anlage</x:t>
  </x:si>
  <x:si>
    <x:t>Hausleiten</x:t>
  </x:si>
  <x:si>
    <x:t>Konzepterstellug für Energieeffiziensmaßnahmen, Unterstützung PV-Anlage</x:t>
  </x:si>
  <x:si>
    <x:t>Weltzl</x:t>
  </x:si>
  <x:si>
    <x:t>Stefan Flieger Straße</x:t>
  </x:si>
  <x:si>
    <x:t>Konzeptentwicklung Geschäftsmodell, Alternative Energieversorgung</x:t>
  </x:si>
  <x:si>
    <x:t>Aufbereitung der Projektidee bis zur Einreichfähigkeit IEE</x:t>
  </x:si>
  <x:si>
    <x:t>Konzepterstellung Solar-bzw-PV-Anlage, thermische Sanierung Speisesaal</x:t>
  </x:si>
  <x:si>
    <x:t>Konzepterstellung von Energiesparmaßnahmen</x:t>
  </x:si>
  <x:si>
    <x:t>Fichtenbauer</x:t>
  </x:si>
  <x:si>
    <x:t>Mögliche Förderun, Beleuchtungskonzept LED, Druckluftleitungen</x:t>
  </x:si>
  <x:si>
    <x:t>Kaufmann</x:t>
  </x:si>
  <x:si>
    <x:t>Sieghartsreith</x:t>
  </x:si>
  <x:si>
    <x:t>Hackschnitzel-Fernwärme-Heizungsvariante, Wärmedämmung im Haizraum, Nachtabsenkung, PV-Anlage-Stromerzeugung, LED-Beleuchtung</x:t>
  </x:si>
  <x:si>
    <x:t>Förderschiene Wärmerückgewinnungsmaßnahmen, Strombedarf Elektrogeräte, Empfehlungen zum Backofen, Geänderter Energieträger für Backofen</x:t>
  </x:si>
  <x:si>
    <x:t>Martha</x:t>
  </x:si>
  <x:si>
    <x:t>Kail</x:t>
  </x:si>
  <x:si>
    <x:t>Konzepterstellung alternativer Heizungsanlage, Energiesparmaßnahmen, Förderungen</x:t>
  </x:si>
  <x:si>
    <x:t>Seidl</x:t>
  </x:si>
  <x:si>
    <x:t>Petrobruck</x:t>
  </x:si>
  <x:si>
    <x:t>Konzeption eines PV-Kraftwerkes</x:t>
  </x:si>
  <x:si>
    <x:t>Karl Müller Straße</x:t>
  </x:si>
  <x:si>
    <x:t>Moorbad</x:t>
  </x:si>
  <x:si>
    <x:t>Schwerpunktberatung Auslegung PV Anlage, Schwerpunktberatung Energieeffizienzsteigerung inkl. Förderunterstützung Neubau, Umsetzungs - Schwerpunktberatung Energie</x:t>
  </x:si>
  <x:si>
    <x:t>Schindl</x:t>
  </x:si>
  <x:si>
    <x:t>02982 / 2344</x:t>
  </x:si>
  <x:si>
    <x:t>Awareness Kurzberaatung Energie, Schwerpunktberatung Energie</x:t>
  </x:si>
  <x:si>
    <x:t>Ewald</x:t>
  </x:si>
  <x:si>
    <x:t>Gruber</x:t>
  </x:si>
  <x:si>
    <x:t>Shwerpunktberatung Energie</x:t>
  </x:si>
  <x:si>
    <x:t>Heinz Dieter</x:t>
  </x:si>
  <x:si>
    <x:t>Schewig</x:t>
  </x:si>
  <x:si>
    <x:t>Michaela</x:t>
  </x:si>
  <x:si>
    <x:t>Eisner</x:t>
  </x:si>
  <x:si>
    <x:t>Hans Karl</x:t>
  </x:si>
  <x:si>
    <x:t>Bucher</x:t>
  </x:si>
  <x:si>
    <x:t>Desiree</x:t>
  </x:si>
  <x:si>
    <x:t>Lauter</x:t>
  </x:si>
  <x:si>
    <x:t>Pfarrgasse</x:t>
  </x:si>
  <x:si>
    <x:t>Dick</x:t>
  </x:si>
  <x:si>
    <x:t>Kurzberatung Heizungsumstellung, Förderungen, Wirtschaftlichkeitsrg.</x:t>
  </x:si>
  <x:si>
    <x:t>Anton</x:t>
  </x:si>
  <x:si>
    <x:t>Könermarkt</x:t>
  </x:si>
  <x:si>
    <x:t>Kurtberatung</x:t>
  </x:si>
  <x:si>
    <x:t>Hettegger</x:t>
  </x:si>
  <x:si>
    <x:t>Niedergrünbach</x:t>
  </x:si>
  <x:si>
    <x:t>Schwerpunktberatung, Umsetzungs- Schwerpunktberatung Photovoltaik &amp; Speicher</x:t>
  </x:si>
  <x:si>
    <x:t>Pölla</x:t>
  </x:si>
  <x:si>
    <x:t>Schwerpunktberatung 
Einsparmaßnahmen Strom Campingplatz</x:t>
  </x:si>
  <x:si>
    <x:t>Ottenstein</x:t>
  </x:si>
  <x:si>
    <x:t>Chloupek</x:t>
  </x:si>
  <x:si>
    <x:t>Kogl</x:t>
  </x:si>
  <x:si>
    <x:t>Kogler Hauptstraße</x:t>
  </x:si>
  <x:si>
    <x:t>Matthias</x:t>
  </x:si>
  <x:si>
    <x:t>Weichhart</x:t>
  </x:si>
  <x:si>
    <x:t>Oberzwischenbrunn</x:t>
  </x:si>
  <x:si>
    <x:t>Kurzberatung Grobplanung Pv Anlage</x:t>
  </x:si>
  <x:si>
    <x:t>Mozartstraße</x:t>
  </x:si>
  <x:si>
    <x:t>Kurzberatung E- Mobilität, Kurzberatung, Umsetzungs- Schwerpunktberatung Energie</x:t>
  </x:si>
  <x:si>
    <x:t>Umsetzungs- Schwerpunktberatung Wärmepumpe und PV</x:t>
  </x:si>
  <x:si>
    <x:t>Franz Josef</x:t>
  </x:si>
  <x:si>
    <x:t>Pusch</x:t>
  </x:si>
  <x:si>
    <x:t>Roman Ernst</x:t>
  </x:si>
  <x:si>
    <x:t>Liebhart</x:t>
  </x:si>
  <x:si>
    <x:t>Gerasdorf</x:t>
  </x:si>
  <x:si>
    <x:t>Eignergasse</x:t>
  </x:si>
  <x:si>
    <x:t>Einzelunternehmer</x:t>
  </x:si>
  <x:si>
    <x:t>Richard</x:t>
  </x:si>
  <x:si>
    <x:t>Damberger</x:t>
  </x:si>
  <x:si>
    <x:t>Franz Leisser - Straße</x:t>
  </x:si>
  <x:si>
    <x:t>Kurzberatung, Umsetzungsschwerpunktberatung PV</x:t>
  </x:si>
  <x:si>
    <x:t>Barbara Pia</x:t>
  </x:si>
  <x:si>
    <x:t>Hartl</x:t>
  </x:si>
  <x:si>
    <x:t>Dürnstein</x:t>
  </x:si>
  <x:si>
    <x:t>Engelbrecht</x:t>
  </x:si>
  <x:si>
    <x:t>Japons</x:t>
  </x:si>
  <x:si>
    <x:t>Kurzberatung, Schwerpunktberatung PV Anlage</x:t>
  </x:si>
  <x:si>
    <x:t>Lemp</x:t>
  </x:si>
  <x:si>
    <x:t>Hafnerstraße</x:t>
  </x:si>
  <x:si>
    <x:t>Kurzberatung, Umsetzungs- Schwerpunktberatung Energie</x:t>
  </x:si>
  <x:si>
    <x:t>Anne Elisabeth</x:t>
  </x:si>
  <x:si>
    <x:t>Blauensteiner</x:t>
  </x:si>
  <x:si>
    <x:t>Kurzberatung, Umsetzungs - Schwerpunktberatung</x:t>
  </x:si>
  <x:si>
    <x:t>Boden</x:t>
  </x:si>
  <x:si>
    <x:t>Kurzberatung, Schwerpunktberatung</x:t>
  </x:si>
  <x:si>
    <x:t>Dieter Alexander</x:t>
  </x:si>
  <x:si>
    <x:t>Bad Schönau</x:t>
  </x:si>
  <x:si>
    <x:t>Walter - Handler - Straße</x:t>
  </x:si>
  <x:si>
    <x:t>Marek</x:t>
  </x:si>
  <x:si>
    <x:t>Cermak</x:t>
  </x:si>
  <x:si>
    <x:t>marekcermark@centrum.cz</x:t>
  </x:si>
  <x:si>
    <x:t>Großauer Straße</x:t>
  </x:si>
  <x:si>
    <x:t>Uttisenbach</x:t>
  </x:si>
  <x:si>
    <x:t>Strohmayer - Pfeifer</x:t>
  </x:si>
  <x:si>
    <x:t>Bernhad</x:t>
  </x:si>
  <x:si>
    <x:t>Raabser Straße</x:t>
  </x:si>
  <x:si>
    <x:t>Awareness Kurzberatung, Umsetzungs - Schwerpunktberatung Wärmepumpe &amp; PV</x:t>
  </x:si>
  <x:si>
    <x:t>Sajn</x:t>
  </x:si>
  <x:si>
    <x:t>Awareness Kurzberatung, Umsetzungs - Schwerpunktberatung PV und Speicher</x:t>
  </x:si>
  <x:si>
    <x:t>Grainbrunn</x:t>
  </x:si>
  <x:si>
    <x:t>Moniholz</x:t>
  </x:si>
  <x:si>
    <x:t>Kurzberatung, Umsetzungs - Schwerpunktberatung PV, Heizungsumstellung</x:t>
  </x:si>
  <x:si>
    <x:t>Reinhold und Ulla</x:t>
  </x:si>
  <x:si>
    <x:t>Schulz</x:t>
  </x:si>
  <x:si>
    <x:t>0664 / 3836092</x:t>
  </x:si>
  <x:si>
    <x:t>Kurzberatung, Schwerpunktberatung PV - Anlage</x:t>
  </x:si>
  <x:si>
    <x:t>Inge</x:t>
  </x:si>
  <x:si>
    <x:t>Brandstätter</x:t>
  </x:si>
  <x:si>
    <x:t>02982 / 2427</x:t>
  </x:si>
  <x:si>
    <x:t>Magazinstraße</x:t>
  </x:si>
  <x:si>
    <x:t>Kurzberatung, Awareness Kurzberatung, Umsetzungs - Schwerpunktberatung PV</x:t>
  </x:si>
  <x:si>
    <x:t>Alexandra</x:t>
  </x:si>
  <x:si>
    <x:t>Redl</x:t>
  </x:si>
  <x:si>
    <x:t>Raabserstraße</x:t>
  </x:si>
  <x:si>
    <x:t>Angenbauer</x:t>
  </x:si>
  <x:si>
    <x:t>Kirchengasse</x:t>
  </x:si>
  <x:si>
    <x:t>Kurzberatung, Awareness Kurzberatung, Umsetzungs- Schwerpunktberatung PV</x:t>
  </x:si>
  <x:si>
    <x:t>Pani</x:t>
  </x:si>
  <x:si>
    <x:t>Benjamin</x:t>
  </x:si>
  <x:si>
    <x:t>Niederedlitz</x:t>
  </x:si>
  <x:si>
    <x:t>Stieglitz</x:t>
  </x:si>
  <x:si>
    <x:t>02235 / 4210017</x:t>
  </x:si>
  <x:si>
    <x:t>Maria - Lanzendorf</x:t>
  </x:si>
  <x:si>
    <x:t>Albert</x:t>
  </x:si>
  <x:si>
    <x:t>Sauer</x:t>
  </x:si>
  <x:si>
    <x:t>Wesenauer</x:t>
  </x:si>
  <x:si>
    <x:t>0664 / 5116006</x:t>
  </x:si>
  <x:si>
    <x:t>johann.wesenauer@aon.at</x:t>
  </x:si>
  <x:si>
    <x:t>Langenlois</x:t>
  </x:si>
  <x:si>
    <x:t>Rudolfstraße</x:t>
  </x:si>
  <x:si>
    <x:t>Pfeifer</x:t>
  </x:si>
  <x:si>
    <x:t>Strümpf</x:t>
  </x:si>
  <x:si>
    <x:t>0650 / 8848141</x:t>
  </x:si>
  <x:si>
    <x:t>Kurzberatung PV, Awareness Kurzberatung, Umsetzungs - Schwerpunktberatung PV</x:t>
  </x:si>
  <x:si>
    <x:t>Gerline und Christian</x:t>
  </x:si>
  <x:si>
    <x:t>Kail und Krisch</x:t>
  </x:si>
  <x:si>
    <x:t>Hadersdorf am Kamp</x:t>
  </x:si>
  <x:si>
    <x:t>Erik</x:t>
  </x:si>
  <x:si>
    <x:t>Spitzer</x:t>
  </x:si>
  <x:si>
    <x:t>3591</x:t>
  </x:si>
  <x:si>
    <x:t>Rosenburger Straße</x:t>
  </x:si>
  <x:si>
    <x:t>Awareness Kurzberatung, Umsetzungs - Schwerpunktberatung PV Anlage Erweiterung</x:t>
  </x:si>
  <x:si>
    <x:t>Kurt</x:t>
  </x:si>
  <x:si>
    <x:t>Sonja</x:t>
  </x:si>
  <x:si>
    <x:t>Zauner</x:t>
  </x:si>
  <x:si>
    <x:t>Beratung Thermische Sanierung, Heizungstausch</x:t>
  </x:si>
  <x:si>
    <x:t>Installation PV Anlagen, LED-Tauch. Strommonitoring</x:t>
  </x:si>
  <x:si>
    <x:t>Reichenau an der Rax</x:t>
  </x:si>
  <x:si>
    <x:t>Installation PV Anlagen</x:t>
  </x:si>
  <x:si>
    <x:t>Kleinwetzdorf</x:t>
  </x:si>
  <x:si>
    <x:t>Wimpffen - Gasse</x:t>
  </x:si>
  <x:si>
    <x:t>Installation PV Anlagen, Erneuerung Heizanlage</x:t>
  </x:si>
  <x:si>
    <x:t>Installation PV Anlagen, Erneuerung Heizanlage, Strommonitoring</x:t>
  </x:si>
  <x:si>
    <x:t>Hauser</x:t>
  </x:si>
  <x:si>
    <x:t>Pulkau</x:t>
  </x:si>
  <x:si>
    <x:t>Rathausgasse</x:t>
  </x:si>
  <x:si>
    <x:t>Installation PV Anlagen, Strommonitoring, Regelung / Wartung Heizanlege, Sanierung Geschoßdecke</x:t>
  </x:si>
  <x:si>
    <x:t>Landhausplatz 1 , Haus</x:t>
  </x:si>
  <x:si>
    <x:t>Heizwerk, PV Dach, E- Ladestellen,</x:t>
  </x:si>
  <x:si>
    <x:t>02853 / 76503</x:t>
  </x:si>
  <x:si>
    <x:t>Niederschremsner Straße</x:t>
  </x:si>
  <x:si>
    <x:t>Ökomanagement - Projektberatun, Sanierung Schule</x:t>
  </x:si>
  <x:si>
    <x:t>Gymnasiumstraße</x:t>
  </x:si>
  <x:si>
    <x:t>Unterstptzung Energiebedarf und PV</x:t>
  </x:si>
  <x:si>
    <x:t>0664 / 6622530</x:t>
  </x:si>
  <x:si>
    <x:t>Unterthumeritz</x:t>
  </x:si>
  <x:si>
    <x:t>Ökomaagement - Checkberatung Klima und Energie</x:t>
  </x:si>
  <x:si>
    <x:t>02989 / 2702</x:t>
  </x:si>
  <x:si>
    <x:t>Poigen</x:t>
  </x:si>
  <x:si>
    <x:t>0664 / 2331045</x:t>
  </x:si>
  <x:si>
    <x:t>Dr. Rudolf Kraus Platz</x:t>
  </x:si>
  <x:si>
    <x:t>Unterstützung Energiebedarf, PV (Ökomanagement - Beratung)</x:t>
  </x:si>
  <x:si>
    <x:t>0676 / 6721504</x:t>
  </x:si>
  <x:si>
    <x:t>Waldkirchen an der Thaya</x:t>
  </x:si>
  <x:si>
    <x:t>Waldkirchen</x:t>
  </x:si>
  <x:si>
    <x:t>Unterstützung Energiebedarf unf PV (Ökomanagement - Beratung)</x:t>
  </x:si>
  <x:si>
    <x:t>0664 / 1632174</x:t>
  </x:si>
  <x:si>
    <x:t>Otto Prosenbauer Platz</x:t>
  </x:si>
  <x:si>
    <x:t>Unterstützung Energiebedarf und PV (Ökomanagemeint - Beratung)</x:t>
  </x:si>
  <x:si>
    <x:t>0664 / 2417645</x:t>
  </x:si>
  <x:si>
    <x:t>Kleinzwettl</x:t>
  </x:si>
  <x:si>
    <x:t>0664 / 88928505</x:t>
  </x:si>
  <x:si>
    <x:t>Unterstützung Energiebedarf und PV (Ökomaagement - Beratung)</x:t>
  </x:si>
  <x:si>
    <x:t>0664 / 4947766</x:t>
  </x:si>
  <x:si>
    <x:t>Südtiroler Straße</x:t>
  </x:si>
  <x:si>
    <x:t>Unterstützung Energiebedarf und Dämmmaßnahmen (Ökomanagement - Beratung)</x:t>
  </x:si>
  <x:si>
    <x:t>0676 / 826611500</x:t>
  </x:si>
  <x:si>
    <x:t>Unterstützung Energiebedarf und PV (Ökomanagement - Beratung )</x:t>
  </x:si>
  <x:si>
    <x:t>0664 / 5050570</x:t>
  </x:si>
  <x:si>
    <x:t>Franz Partstraße</x:t>
  </x:si>
  <x:si>
    <x:t>0664 / 4129463</x:t>
  </x:si>
  <x:si>
    <x:t>02842 / 53737</x:t>
  </x:si>
  <x:si>
    <x:t>Wiadhofen an der Thaya</x:t>
  </x:si>
  <x:si>
    <x:t>Beratung Gebäudesanierung (Ökomanagement NÖ)</x:t>
  </x:si>
  <x:si>
    <x:t>02742 / 324 - 402</x:t>
  </x:si>
  <x:si>
    <x:t>Sanierung thermische Gebäudehülle</x:t>
  </x:si>
  <x:si>
    <x:t>02742 / 352104 - 900</x:t>
  </x:si>
  <x:si>
    <x:t>Eybnersraße</x:t>
  </x:si>
  <x:si>
    <x:t>Unterstützung und Projektentwicklung E- Mobilität und E - Carsharing</x:t>
  </x:si>
  <x:si>
    <x:t>0664 / 2665901</x:t>
  </x:si>
  <x:si>
    <x:t>Hans Kudlich - Straße</x:t>
  </x:si>
  <x:si>
    <x:t>0664 / 2401184</x:t>
  </x:si>
  <x:si>
    <x:t>Beratung und Unterstützung Energie, Mobilität und Carsharing</x:t>
  </x:si>
  <x:si>
    <x:t>Nikolaus</x:t>
  </x:si>
  <x:si>
    <x:t>Reisel</x:t>
  </x:si>
  <x:si>
    <x:t>0676 / 6090183</x:t>
  </x:si>
  <x:si>
    <x:t>Klein - Meiseldorf</x:t>
  </x:si>
  <x:si>
    <x:t>Klein Meiseldorf</x:t>
  </x:si>
  <x:si>
    <x:t>Ökomanagement - Beratung, Konzeption der thermischen Sanierung inkl. Förderberatung</x:t>
  </x:si>
  <x:si>
    <x:t>02843 / 26135</x:t>
  </x:si>
  <x:si>
    <x:t>Prüfung Nahwärmenetz, Anschluss öffentlicher Gebäude</x:t>
  </x:si>
  <x:si>
    <x:t>Zach</x:t>
  </x:si>
  <x:si>
    <x:t>Ökomanagemnt - Projektberatung Mobilität</x:t>
  </x:si>
  <x:si>
    <x:t>02842 / 52337</x:t>
  </x:si>
  <x:si>
    <x:t>Kindergartenstraße</x:t>
  </x:si>
  <x:si>
    <x:t>Ökomanagement - Beratung Energiebedarf und PV, Sanierung</x:t>
  </x:si>
  <x:si>
    <x:t>02842 / 52663</x:t>
  </x:si>
  <x:si>
    <x:t>Beratung, Austausch der Heizung,</x:t>
  </x:si>
  <x:si>
    <x:t>02841 / 8214</x:t>
  </x:si>
  <x:si>
    <x:t>Ökomaagement - Beratung Sanierung</x:t>
  </x:si>
  <x:si>
    <x:t>02844 / 279</x:t>
  </x:si>
  <x:si>
    <x:t>Beratung, PV - Anlage Dach,</x:t>
  </x:si>
  <x:si>
    <x:t>02849 / 2303</x:t>
  </x:si>
  <x:si>
    <x:t>Windigsteig</x:t>
  </x:si>
  <x:si>
    <x:t>Ökomanagement - Beratung</x:t>
  </x:si>
  <x:si>
    <x:t>02842 / 52665</x:t>
  </x:si>
  <x:si>
    <x:t>Ökomanagement - Beratung "Energieberatung intensiv"</x:t>
  </x:si>
  <x:si>
    <x:t>Pithan</x:t>
  </x:si>
  <x:si>
    <x:t>0699 / 15770142</x:t>
  </x:si>
  <x:si>
    <x:t>Ökomanagement - Beratung E - Ladestation, Mustersanierung</x:t>
  </x:si>
  <x:si>
    <x:t>Ellends</x:t>
  </x:si>
  <x:si>
    <x:t>Ökomanagement - Beratung E - Mobilität, Sanierungskonzept Ärztehaus</x:t>
  </x:si>
  <x:si>
    <x:t>Ökomanagement - Beratung Sanierung und Erweiterung Amtsgebäude, E- mobilit</x:t>
  </x:si>
  <x:si>
    <x:t>XXX</x:t>
  </x:si>
  <x:si>
    <x:t>TEST</x:t>
  </x:si>
  <x:si>
    <x:t>Country</x:t>
  </x:si>
  <x:si>
    <x:t>AddressAddition</x:t>
  </x:si>
  <x:si>
    <x:t>RenovationYear</x:t>
  </x:si>
  <x:si>
    <x:t>UsageType</x:t>
  </x:si>
  <x:si>
    <x:t>MainUsage</x:t>
  </x:si>
  <x:si>
    <x:t>AdditionalNote</x:t>
  </x:si>
  <x:si>
    <x:t>FloorArea</x:t>
  </x:si>
  <x:si>
    <x:t>HeatedFloorArea</x:t>
  </x:si>
  <x:si>
    <x:t>HeatedFloorAreaMainUsage</x:t>
  </x:si>
  <x:si>
    <x:t>HeatedFloorAreaSecondUsage</x:t>
  </x:si>
  <x:si>
    <x:t>Heat consumption (kWh/year)</x:t>
  </x:si>
  <x:si>
    <x:t>Heating costs (€/year)</x:t>
  </x:si>
  <x:si>
    <x:t>Electricity consumption (kWh/year)</x:t>
  </x:si>
  <x:si>
    <x:t>Electricity costs (€/year)</x:t>
  </x:si>
  <x:si>
    <x:t>HeatingType</x:t>
  </x:si>
  <x:si>
    <x:t>HasPV</x:t>
  </x:si>
  <x:si>
    <x:t>HasBattery</x:t>
  </x:si>
  <x:si>
    <x:t>HWB (calculated)</x:t>
  </x:si>
  <x:si>
    <x:t>ElectricityConsumption</x:t>
  </x:si>
  <x:si>
    <x:t>HeatConsumption</x:t>
  </x:si>
  <x:si>
    <x:t>HotWaterConsumption</x:t>
  </x:si>
  <x:si>
    <x:t>EnergyReferenceYear</x:t>
  </x:si>
  <x:si>
    <x:t>MainUsageSharePercent</x:t>
  </x:si>
  <x:si>
    <x:t>SecondaryUsage</x:t>
  </x:si>
  <x:si>
    <x:t>SecondaryUsageSharePercent</x:t>
  </x:si>
  <x:si>
    <x:t>Autohaus</x:t>
  </x:si>
  <x:si>
    <x:t>Österreich</x:t>
  </x:si>
  <x:si>
    <x:t>Bürogebäude</x:t>
  </x:si>
  <x:si>
    <x:t>Workingspace Büro + Wohnung</x:t>
  </x:si>
  <x:si>
    <x:t>3571</x:t>
  </x:si>
  <x:si>
    <x:t>Schiler Straße</x:t>
  </x:si>
  <x:si>
    <x:t>163</x:t>
  </x:si>
  <x:si>
    <x:t>Mehrzweckgebäude</x:t>
  </x:si>
  <x:si>
    <x:t>Proj.- Aktuell - Sons. Proj. - 1Verkaufsstätte9 ENSET - AP05 U. - AP05 1.000 Gebäude - Bearb. - Gebäude Horn - Horn Datenbank Excel</x:t>
  </x:si>
  <x:si>
    <x:t>Musikvereinshaus</x:t>
  </x:si>
  <x:si>
    <x:t>Veranstaltungsstätte</x:t>
  </x:si>
  <x:si>
    <x:t>Geschäft Langenlois</x:t>
  </x:si>
  <x:si>
    <x:t>Verkaufsstätte</x:t>
  </x:si>
  <x:si>
    <x:t>Büro + Lagerhalle</x:t>
  </x:si>
  <x:si>
    <x:t>Arzthaus</x:t>
  </x:si>
  <x:si>
    <x:t>Schule</x:t>
  </x:si>
  <x:si>
    <x:t>Büro + Beherbergung</x:t>
  </x:si>
  <x:si>
    <x:t>Kräuterhalle</x:t>
  </x:si>
  <x:si>
    <x:t>Körnerhalle</x:t>
  </x:si>
  <x:si>
    <x:t>3812</x:t>
  </x:si>
  <x:si>
    <x:t>2</x:t>
  </x:si>
  <x:si>
    <x:t>Wien Wallnerstr. 2</x:t>
  </x:si>
  <x:si>
    <x:t>Produktion Eggern</x:t>
  </x:si>
  <x:si>
    <x:t>Sonstige konidionierte Gebäude</x:t>
  </x:si>
  <x:si>
    <x:t>Eishalle Gars - ThermSan + OptimKälteanlage, PV</x:t>
  </x:si>
  <x:si>
    <x:t>500</x:t>
  </x:si>
  <x:si>
    <x:t>Sportstätte</x:t>
  </x:si>
  <x:si>
    <x:t>Nu47 - Lautlos.haus</x:t>
  </x:si>
  <x:si>
    <x:t>1090</x:t>
  </x:si>
  <x:si>
    <x:t>Nussdorfer Straße</x:t>
  </x:si>
  <x:si>
    <x:t>47</x:t>
  </x:si>
  <x:si>
    <x:t>Zentralgebäude alt</x:t>
  </x:si>
  <x:si>
    <x:t>Junges Hotel Annaberg</x:t>
  </x:si>
  <x:si>
    <x:t>3222</x:t>
  </x:si>
  <x:si>
    <x:t>Annaberg</x:t>
  </x:si>
  <x:si>
    <x:t>Annarotte</x:t>
  </x:si>
  <x:si>
    <x:t>77</x:t>
  </x:si>
  <x:si>
    <x:t>Waidhofen/th</x:t>
  </x:si>
  <x:si>
    <x:t>Brauerei</x:t>
  </x:si>
  <x:si>
    <x:t>Produktion</x:t>
  </x:si>
  <x:si>
    <x:t>Kunstmeile</x:t>
  </x:si>
  <x:si>
    <x:t>3500</x:t>
  </x:si>
  <x:si>
    <x:t>Krems</x:t>
  </x:si>
  <x:si>
    <x:t>5</x:t>
  </x:si>
  <x:si>
    <x:t>Zentrale</x:t>
  </x:si>
  <x:si>
    <x:t>Reinigung</x:t>
  </x:si>
  <x:si>
    <x:t>Gebäude</x:t>
  </x:si>
  <x:si>
    <x:t>2019 Ökologische Betriebsberatung, 2025 Energieeffizienz EE Mobilität und Kreislaufwirtschaft</x:t>
  </x:si>
  <x:si>
    <x:t>Bislang kein Auftrag</x:t>
  </x:si>
  <x:si>
    <x:t>Gaststätte</x:t>
  </x:si>
  <x:si>
    <x:t>Projekt abgeleht</x:t>
  </x:si>
  <x:si>
    <x:t>abgelehnt</x:t>
  </x:si>
  <x:si>
    <x:t>Tschlerei</x:t>
  </x:si>
  <x:si>
    <x:t>Seminarhotel</x:t>
  </x:si>
  <x:si>
    <x:t>Beherbergungsbetrieb</x:t>
  </x:si>
  <x:si>
    <x:t>Z562</x:t>
  </x:si>
  <x:si>
    <x:t>Büro + Privatwohnhaus</x:t>
  </x:si>
  <x:si>
    <x:t>Sonstige konditionierte Gebäude</x:t>
  </x:si>
  <x:si>
    <x:t>Gasthaus</x:t>
  </x:si>
  <x:si>
    <x:t>Gaststätte, sonstiges konditioniertes Gebäude</x:t>
  </x:si>
  <x:si>
    <x:t>Z481</x:t>
  </x:si>
  <x:si>
    <x:t>Betriebsgebäude mit Wohnungen</x:t>
  </x:si>
  <x:si>
    <x:t>Druckerei</x:t>
  </x:si>
  <x:si>
    <x:t>Möbelhaus</x:t>
  </x:si>
  <x:si>
    <x:t>Werkstätte</x:t>
  </x:si>
  <x:si>
    <x:t>Sportgeschäft</x:t>
  </x:si>
  <x:si>
    <x:t>Gastronomie + Beherbergung</x:t>
  </x:si>
  <x:si>
    <x:t>Halle</x:t>
  </x:si>
  <x:si>
    <x:t>Tischlerei</x:t>
  </x:si>
  <x:si>
    <x:t>Z618</x:t>
  </x:si>
  <x:si>
    <x:t>Sägewerk Gebäude</x:t>
  </x:si>
  <x:si>
    <x:t>Gebäude Büro + Wohnung</x:t>
  </x:si>
  <x:si>
    <x:t>Fabrik Gebäude</x:t>
  </x:si>
  <x:si>
    <x:t>Z673 (Stromverbrauch an 2 Standorten zusammen)</x:t>
  </x:si>
  <x:si>
    <x:t>Cafehaus</x:t>
  </x:si>
  <x:si>
    <x:t>Z671</x:t>
  </x:si>
  <x:si>
    <x:t>Gebäude Gärtnerei</x:t>
  </x:si>
  <x:si>
    <x:t>Z666</x:t>
  </x:si>
  <x:si>
    <x:t>Z664</x:t>
  </x:si>
  <x:si>
    <x:t>Z688</x:t>
  </x:si>
  <x:si>
    <x:t>Produktionsbetrieb</x:t>
  </x:si>
  <x:si>
    <x:t>Z624</x:t>
  </x:si>
  <x:si>
    <x:t>Büro + Privatgebäude</x:t>
  </x:si>
  <x:si>
    <x:t>Z616</x:t>
  </x:si>
  <x:si>
    <x:t>Bürostätte, Verkaufsstätte</x:t>
  </x:si>
  <x:si>
    <x:t>Z6Verkaufsstätte</x:t>
  </x:si>
  <x:si>
    <x:t>Zimmerei</x:t>
  </x:si>
  <x:si>
    <x:t>Z612</x:t>
  </x:si>
  <x:si>
    <x:t>Gebädue</x:t>
  </x:si>
  <x:si>
    <x:t>Z611</x:t>
  </x:si>
  <x:si>
    <x:t>Mühle</x:t>
  </x:si>
  <x:si>
    <x:t>Z609</x:t>
  </x:si>
  <x:si>
    <x:t>Z693</x:t>
  </x:si>
  <x:si>
    <x:t>Autohaus und KFZ Werkstätte</x:t>
  </x:si>
  <x:si>
    <x:t>Z568</x:t>
  </x:si>
  <x:si>
    <x:t>Hotel, Restaurant</x:t>
  </x:si>
  <x:si>
    <x:t>Z594 (an mehreren Standorten)</x:t>
  </x:si>
  <x:si>
    <x:t>Z593</x:t>
  </x:si>
  <x:si>
    <x:t>Bürogebaäude</x:t>
  </x:si>
  <x:si>
    <x:t>Z590</x:t>
  </x:si>
  <x:si>
    <x:t>Z587</x:t>
  </x:si>
  <x:si>
    <x:t>Z579</x:t>
  </x:si>
  <x:si>
    <x:t>576</x:t>
  </x:si>
  <x:si>
    <x:t>Z575</x:t>
  </x:si>
  <x:si>
    <x:t>Gasthaus + Waldpension</x:t>
  </x:si>
  <x:si>
    <x:t>Z555</x:t>
  </x:si>
  <x:si>
    <x:t>Fitnesstudio + Ingenieurbüro</x:t>
  </x:si>
  <x:si>
    <x:t>Z549</x:t>
  </x:si>
  <x:si>
    <x:t>Bürohalle</x:t>
  </x:si>
  <x:si>
    <x:t>Z511</x:t>
  </x:si>
  <x:si>
    <x:t>Z487</x:t>
  </x:si>
  <x:si>
    <x:t>Z397</x:t>
  </x:si>
  <x:si>
    <x:t>Gaststätte, Verkaufsstätte, Beherbergungsgebäude</x:t>
  </x:si>
  <x:si>
    <x:t>Gasthof</x:t>
  </x:si>
  <x:si>
    <x:t>Gebäude (Kino + Wohnungen)</x:t>
  </x:si>
  <x:si>
    <x:t>Büro + Wohngebäude</x:t>
  </x:si>
  <x:si>
    <x:t>Büro + Halle</x:t>
  </x:si>
  <x:si>
    <x:t>Büro</x:t>
  </x:si>
  <x:si>
    <x:t>2018, 2019</x:t>
  </x:si>
  <x:si>
    <x:t>2018 Awareness Kurzberatung Energie, 2020 Kurzberatung, 2020 Kurzberatung, Mobilität, 2020 Schwertpunktberatung</x:t>
  </x:si>
  <x:si>
    <x:t>Lager</x:t>
  </x:si>
  <x:si>
    <x:t>2295</x:t>
  </x:si>
  <x:si>
    <x:t>8</x:t>
  </x:si>
  <x:si>
    <x:t>Büro + e Werkstatt im Privathaus + Halle</x:t>
  </x:si>
  <x:si>
    <x:t>400</x:t>
  </x:si>
  <x:si>
    <x:t>Gebäude, SPAR</x:t>
  </x:si>
  <x:si>
    <x:t>2018-2019 Awareness Kurzberatung und Schwerpunktberatung, 2020 Kurzberatung E Mobilität</x:t>
  </x:si>
  <x:si>
    <x:t>2019 Awareness Kurzberatung Energie, Schwerpunktberatung, 2020 Kurzberatung, 2023 Schwerpunktberatung</x:t>
  </x:si>
  <x:si>
    <x:t>Blumenhaus</x:t>
  </x:si>
  <x:si>
    <x:t>KFZ - Werkstatt / Halle</x:t>
  </x:si>
  <x:si>
    <x:t>2019 Awareness Kurzberatung Energie, Schwerpunktberatung, 2021 Umsetzungs - Schwerpunktberatung PV</x:t>
  </x:si>
  <x:si>
    <x:t>Hotel</x:t>
  </x:si>
  <x:si>
    <x:t>2019 Kurzberatung PV Anlage, mögliche Förderungen, 2020 Schwerpunktberatung PV Anlagen</x:t>
  </x:si>
  <x:si>
    <x:t>Werkstatt</x:t>
  </x:si>
  <x:si>
    <x:t>Gebäude (Seminarraum)</x:t>
  </x:si>
  <x:si>
    <x:t>Gesundheitshotel</x:t>
  </x:si>
  <x:si>
    <x:t>2019 Kurzberatung, , 2020 Umsetzungsschwerpunktberatung</x:t>
  </x:si>
  <x:si>
    <x:t>3532</x:t>
  </x:si>
  <x:si>
    <x:t>Peygarten - Ottenstein</x:t>
  </x:si>
  <x:si>
    <x:t>69</x:t>
  </x:si>
  <x:si>
    <x:t>2019 Kurzberatung Grobplanung PV Anlage, Kurzberatung E- Mobilität, 2020 Schwerpunktberatung PV, Energieeffizienter Neubau, 2021 Schwerpunktberatung Neubau SPA Bereich, Umsetzungs- Schwerpunktberatung Photovoltaik &amp; Speicher, 2022 Einsparmaßnahmen Strom,</x:t>
  </x:si>
  <x:si>
    <x:t>2020 Kurzberatung, E- Mobilität, Umsetzungs- Schwerpunktberatung Energie, 2021 Kurzberatung  und Schwerpunktberatung</x:t>
  </x:si>
  <x:si>
    <x:t>Gebäude (Werkstatt)</x:t>
  </x:si>
  <x:si>
    <x:t>Hotel + Feriendorf</x:t>
  </x:si>
  <x:si>
    <x:t>2020 Awareness Kurzberatung Energie, Kurzberatung Neubau und Grobauslegung der PV Anlage,  Umsetzungs- Schwerpunktberatung Energie PV , 2021 Beratung Umstellung Heizung / Strom</x:t>
  </x:si>
  <x:si>
    <x:t>Gesundheitszentrum</x:t>
  </x:si>
  <x:si>
    <x:t>3580</x:t>
  </x:si>
  <x:si>
    <x:t>August - Bachinger - Gasse</x:t>
  </x:si>
  <x:si>
    <x:t>12</x:t>
  </x:si>
  <x:si>
    <x:t>2021 Kurzberatung, Umsetzungs - Schwerpunktberatung , 2022 Schwerpunktberatung</x:t>
  </x:si>
  <x:si>
    <x:t>3902</x:t>
  </x:si>
  <x:si>
    <x:t>30</x:t>
  </x:si>
  <x:si>
    <x:t>Bäckerei</x:t>
  </x:si>
  <x:si>
    <x:t>2095</x:t>
  </x:si>
  <x:si>
    <x:t>23</x:t>
  </x:si>
  <x:si>
    <x:t>Gebäude (Büro + Schule)</x:t>
  </x:si>
  <x:si>
    <x:t>32</x:t>
  </x:si>
  <x:si>
    <x:t>Bildungseinrichtung</x:t>
  </x:si>
  <x:si>
    <x:t>1</x:t>
  </x:si>
  <x:si>
    <x:t>3</x:t>
  </x:si>
  <x:si>
    <x:t>3800</x:t>
  </x:si>
  <x:si>
    <x:t>49</x:t>
  </x:si>
  <x:si>
    <x:t>3830</x:t>
  </x:si>
  <x:si>
    <x:t>14</x:t>
  </x:si>
  <x:si>
    <x:t>2020 Kurzberatung, 2022 Schwerpunktberatung PV Anlage mit Speicher, Schwerberatung E - Mobilität Ladestellen Car-Sharing</x:t>
  </x:si>
  <x:si>
    <x:t>KFZ - Werkstätte</x:t>
  </x:si>
  <x:si>
    <x:t>2020 Kurzberatung, 2022 Schwerpunktberatung</x:t>
  </x:si>
  <x:si>
    <x:t>und Minoritenplatz 4</x:t>
  </x:si>
  <x:si>
    <x:t>Kunsthalle</x:t>
  </x:si>
  <x:si>
    <x:t>2. Ansprechperson Reinhard Kern</x:t>
  </x:si>
  <x:si>
    <x:t>Kloster</x:t>
  </x:si>
  <x:si>
    <x:t>AUSGEFÜLLT IM FRAGEBOGEN ZUM ENERGIEBEDARF IN GEBÄUDEN</x:t>
  </x:si>
  <x:si>
    <x:t>Bank</x:t>
  </x:si>
  <x:si>
    <x:t>2020 Kurzberatung, 2023 PV - Dachanlage</x:t>
  </x:si>
  <x:si>
    <x:t>Gebäude (Haus)</x:t>
  </x:si>
  <x:si>
    <x:t>Gastronomie</x:t>
  </x:si>
  <x:si>
    <x:t>Feuerwehrhaus</x:t>
  </x:si>
  <x:si>
    <x:t>Pfarrgebäude</x:t>
  </x:si>
  <x:si>
    <x:t>Mittelschule</x:t>
  </x:si>
  <x:si>
    <x:t>Gemeindeamt</x:t>
  </x:si>
  <x:si>
    <x:t>Gemeinde, Kindergarten</x:t>
  </x:si>
  <x:si>
    <x:t>Gebäude Gemeinde</x:t>
  </x:si>
  <x:si>
    <x:t>3931</x:t>
  </x:si>
  <x:si>
    <x:t>Mödershof</x:t>
  </x:si>
  <x:si>
    <x:t>Gebäude Museum</x:t>
  </x:si>
  <x:si>
    <x:t>Rathausgebäude</x:t>
  </x:si>
  <x:si>
    <x:t>Gebäude Kindergarten</x:t>
  </x:si>
  <x:si>
    <x:t>UNIQA</x:t>
  </x:si>
  <x:si>
    <x:t>Cafe Mocca</x:t>
  </x:si>
  <x:si>
    <x:t>Bundesschülerheim</x:t>
  </x:si>
  <x:si>
    <x:t>Gebäude (Internat)</x:t>
  </x:si>
  <x:si>
    <x:t>Band Garten GmbH</x:t>
  </x:si>
  <x:si>
    <x:t>Geschäft / Gärtnerei</x:t>
  </x:si>
  <x:si>
    <x:t>Langthaler Transport</x:t>
  </x:si>
  <x:si>
    <x:t>Büro + Wohnunh + Garage</x:t>
  </x:si>
  <x:si>
    <x:t>Gilli Mühlen Getr.-Handels GmbH</x:t>
  </x:si>
  <x:si>
    <x:t>Stadtgemeinde Geras</x:t>
  </x:si>
  <x:si>
    <x:t>Kläranlage ?</x:t>
  </x:si>
  <x:si>
    <x:t>Friseursalon</x:t>
  </x:si>
  <x:si>
    <x:t>Smart Motel GmbH</x:t>
  </x:si>
  <x:si>
    <x:t>Motel</x:t>
  </x:si>
  <x:si>
    <x:t>Autohaus Waldviertel</x:t>
  </x:si>
  <x:si>
    <x:t>Werkstatt + Stauraum + Büro</x:t>
  </x:si>
  <x:si>
    <x:t>Sonnenstudio</x:t>
  </x:si>
  <x:si>
    <x:t>Gebäude (Studio + Wohnung)</x:t>
  </x:si>
  <x:si>
    <x:t>Diakonie Technik Zentrale</x:t>
  </x:si>
  <x:si>
    <x:t>Magistrat Krems - Feuerwehr</x:t>
  </x:si>
  <x:si>
    <x:t>Feuerwehrzentrale</x:t>
  </x:si>
  <x:si>
    <x:t>Kremser Immobilien Ges. m. b. H. und Co. Kg</x:t>
  </x:si>
  <x:si>
    <x:t>Egelsee bei Krems</x:t>
  </x:si>
  <x:si>
    <x:t>Hafnerplatz</x:t>
  </x:si>
  <x:si>
    <x:t>DI Christoph Stenzel, MA</x:t>
  </x:si>
  <x:si>
    <x:t>Schülerhort Krems - Stein</x:t>
  </x:si>
  <x:si>
    <x:t>Maria - Grengg - Gasse</x:t>
  </x:si>
  <x:si>
    <x:t>4</x:t>
  </x:si>
  <x:si>
    <x:t>Kindergarten Krems-Stein</x:t>
  </x:si>
  <x:si>
    <x:t>Maria _Grengg - Gasse</x:t>
  </x:si>
  <x:si>
    <x:t>Kindergarten Krems - Lerchenfeld</x:t>
  </x:si>
  <x:si>
    <x:t>Auparkweg</x:t>
  </x:si>
  <x:si>
    <x:t>35</x:t>
  </x:si>
  <x:si>
    <x:t>Volksschule Krems-Stein</x:t>
  </x:si>
  <x:si>
    <x:t>Volksschule Lerchenfeld</x:t>
  </x:si>
  <x:si>
    <x:t>Judenburger - Straße</x:t>
  </x:si>
  <x:si>
    <x:t>21</x:t>
  </x:si>
  <x:si>
    <x:t>DI Christoph Stanzel, MA</x:t>
  </x:si>
  <x:si>
    <x:t>Schülerhort Lerchenfeld</x:t>
  </x:si>
  <x:si>
    <x:t>16</x:t>
  </x:si>
  <x:si>
    <x:t>Kindergarten Krems - Gneixendorf</x:t>
  </x:si>
  <x:si>
    <x:t>Wolfsgraben</x:t>
  </x:si>
  <x:si>
    <x:t>Kindergarten Krems - Rehberg</x:t>
  </x:si>
  <x:si>
    <x:t>Rehberger Hauptstraße</x:t>
  </x:si>
  <x:si>
    <x:t>71</x:t>
  </x:si>
  <x:si>
    <x:t>Volksschule Krems - Rehberg</x:t>
  </x:si>
  <x:si>
    <x:t>Waldhofweg</x:t>
  </x:si>
  <x:si>
    <x:t>Volksschule Krems - Egelsee</x:t>
  </x:si>
  <x:si>
    <x:t>Magistrat der Stadt Krems</x:t>
  </x:si>
  <x:si>
    <x:t>Sporthalle</x:t>
  </x:si>
  <x:si>
    <x:t>Strandbadstraße</x:t>
  </x:si>
  <x:si>
    <x:t>Kremser Immobilien Ges. m. b. H. und Ci KG</x:t>
  </x:si>
  <x:si>
    <x:t>KG</x:t>
  </x:si>
  <x:si>
    <x:t>3505</x:t>
  </x:si>
  <x:si>
    <x:t>Brunnkirchen bei Krems</x:t>
  </x:si>
  <x:si>
    <x:t>Brunnfeldgasse</x:t>
  </x:si>
  <x:si>
    <x:t>Kremser Immobilien Ges.m. b. H. und Co KG</x:t>
  </x:si>
  <x:si>
    <x:t>Göttweigerhofgasse</x:t>
  </x:si>
  <x:si>
    <x:t>7</x:t>
  </x:si>
  <x:si>
    <x:t>Krems - Mitterau</x:t>
  </x:si>
  <x:si>
    <x:t>Mitterausstraße</x:t>
  </x:si>
  <x:si>
    <x:t>GEDESAG - Krems</x:t>
  </x:si>
  <x:si>
    <x:t>Hohensteinstraße</x:t>
  </x:si>
  <x:si>
    <x:t>Wohnhaus / KG</x:t>
  </x:si>
  <x:si>
    <x:t>Krems - Lerchenfeld</x:t>
  </x:si>
  <x:si>
    <x:t>Kremser Immobilien Ges. m. b. H. und Co KG</x:t>
  </x:si>
  <x:si>
    <x:t>Hammerlingstraße</x:t>
  </x:si>
  <x:si>
    <x:t>Wolfgang Teuschl</x:t>
  </x:si>
  <x:si>
    <x:t>2091</x:t>
  </x:si>
  <x:si>
    <x:t>99</x:t>
  </x:si>
  <x:si>
    <x:t>WSPK</x:t>
  </x:si>
  <x:si>
    <x:t>3970</x:t>
  </x:si>
  <x:si>
    <x:t>Sparkasseplatz</x:t>
  </x:si>
  <x:si>
    <x:t>164</x:t>
  </x:si>
  <x:si>
    <x:t>Mit Customer übereinzustimmen..</x:t>
  </x:si>
  <x:si>
    <x:t>Gem Pillichsdorf</x:t>
  </x:si>
  <x:si>
    <x:t>VS + KiGa Pillichsdorf</x:t>
  </x:si>
  <x:si>
    <x:t>11</x:t>
  </x:si>
  <x:si>
    <x:t>Proj.- Aktuell - Sons. Proj. - 1139 ENSET - AP05 U. - AP05 1.000 Gebäude - Bearb. - Gebäude Horn - Horn Datenbank Excel</x:t>
  </x:si>
  <x:si>
    <x:t>10</x:t>
  </x:si>
  <x:si>
    <x:t>13</x:t>
  </x:si>
  <x:si>
    <x:t>Gem Krems</x:t>
  </x:si>
  <x:si>
    <x:t>Karl Riederich Gesellschaft m.b.H.</x:t>
  </x:si>
  <x:si>
    <x:t>ehem DM</x:t>
  </x:si>
  <x:si>
    <x:t>Wirtschaftskammer NÖ</x:t>
  </x:si>
  <x:si>
    <x:t>9</x:t>
  </x:si>
  <x:si>
    <x:t>Eisen Roth Handels-GmbH</x:t>
  </x:si>
  <x:si>
    <x:t>Manuela Raab</x:t>
  </x:si>
  <x:si>
    <x:t>Koppensteiner</x:t>
  </x:si>
  <x:si>
    <x:t>Stefan Schuh RBW</x:t>
  </x:si>
  <x:si>
    <x:t>Autohaus Dallamaßl RBW</x:t>
  </x:si>
  <x:si>
    <x:t>BMV Becker RBW</x:t>
  </x:si>
  <x:si>
    <x:t>Arian RBW</x:t>
  </x:si>
  <x:si>
    <x:t>HOSOL GmbH</x:t>
  </x:si>
  <x:si>
    <x:t>Schloss</x:t>
  </x:si>
  <x:si>
    <x:t>WMB Niedersulz</x:t>
  </x:si>
  <x:si>
    <x:t>Scharf Automation GmbH</x:t>
  </x:si>
  <x:si>
    <x:t>Höritzauer Gebäude</x:t>
  </x:si>
  <x:si>
    <x:t>(Öko Strom)</x:t>
  </x:si>
  <x:si>
    <x:t>Urlike Ramharter KG</x:t>
  </x:si>
  <x:si>
    <x:t>Modegeschäft</x:t>
  </x:si>
  <x:si>
    <x:t>Waidhoden/Thaya</x:t>
  </x:si>
  <x:si>
    <x:t>(öko Strom)</x:t>
  </x:si>
  <x:si>
    <x:t>Horst Hainböck GmbH</x:t>
  </x:si>
  <x:si>
    <x:t>Gebäude (Werkstatt + Büro)</x:t>
  </x:si>
  <x:si>
    <x:t>15</x:t>
  </x:si>
  <x:si>
    <x:t>Naturpark Heidenreichsteiner Moor</x:t>
  </x:si>
  <x:si>
    <x:t>Naturpark</x:t>
  </x:si>
  <x:si>
    <x:t>3860</x:t>
  </x:si>
  <x:si>
    <x:t>80</x:t>
  </x:si>
  <x:si>
    <x:t>Verein Weltladen Horn</x:t>
  </x:si>
  <x:si>
    <x:t>6</x:t>
  </x:si>
  <x:si>
    <x:t>TELL Stephan Kainz KG</x:t>
  </x:si>
  <x:si>
    <x:t>34</x:t>
  </x:si>
  <x:si>
    <x:t>nicht beantragt</x:t>
  </x:si>
  <x:si>
    <x:t>Knell GmbH</x:t>
  </x:si>
  <x:si>
    <x:t>ILD Temper-Samhaber KG</x:t>
  </x:si>
  <x:si>
    <x:t>Toyota - Scheibelhofer GmbH</x:t>
  </x:si>
  <x:si>
    <x:t>Jürgen Nussbaum</x:t>
  </x:si>
  <x:si>
    <x:t>Eunika Grahofer Naturladen</x:t>
  </x:si>
  <x:si>
    <x:t>Naturladen</x:t>
  </x:si>
  <x:si>
    <x:t>Popp Rainer</x:t>
  </x:si>
  <x:si>
    <x:t>Landgasthof Surböck</x:t>
  </x:si>
  <x:si>
    <x:t>Gasthof + Beherbergung</x:t>
  </x:si>
  <x:si>
    <x:t>Gasthof Schurnig</x:t>
  </x:si>
  <x:si>
    <x:t>Erlebnispark Kamptal GmbH &amp; Co KG</x:t>
  </x:si>
  <x:si>
    <x:t>Baugewerbe</x:t>
  </x:si>
  <x:si>
    <x:t>Gasthof-Hotel Waschka</x:t>
  </x:si>
  <x:si>
    <x:t>Beherbergung</x:t>
  </x:si>
  <x:si>
    <x:t>Z462</x:t>
  </x:si>
  <x:si>
    <x:t>Hick Gartenbau</x:t>
  </x:si>
  <x:si>
    <x:t>Gärtnerei</x:t>
  </x:si>
  <x:si>
    <x:t>Sonstige konditionierte Gebäude, Verkaufsstätte</x:t>
  </x:si>
  <x:si>
    <x:t>Z468</x:t>
  </x:si>
  <x:si>
    <x:t>Gerhard Wiesinger GmbH</x:t>
  </x:si>
  <x:si>
    <x:t>Regionalberatung</x:t>
  </x:si>
  <x:si>
    <x:t>Büro + Wohnungen</x:t>
  </x:si>
  <x:si>
    <x:t>Trafik Pecksteiner</x:t>
  </x:si>
  <x:si>
    <x:t>Trafik und Friseursalon</x:t>
  </x:si>
  <x:si>
    <x:t>Bioenergie GmbH</x:t>
  </x:si>
  <x:si>
    <x:t>Z556</x:t>
  </x:si>
  <x:si>
    <x:t>Z563</x:t>
  </x:si>
  <x:si>
    <x:t>Volksbank Horn</x:t>
  </x:si>
  <x:si>
    <x:t>Gebäude (Bank)</x:t>
  </x:si>
  <x:si>
    <x:t>ASIA- Restaurant Xiang Li Lu</x:t>
  </x:si>
  <x:si>
    <x:t>Gasthof+ Wohnung</x:t>
  </x:si>
  <x:si>
    <x:t>Z405</x:t>
  </x:si>
  <x:si>
    <x:t>Restaurant Zum Max</x:t>
  </x:si>
  <x:si>
    <x:t>Z493</x:t>
  </x:si>
  <x:si>
    <x:t>Rudolf Berger Kulturconsulting KG</x:t>
  </x:si>
  <x:si>
    <x:t>ALPLA GmbH</x:t>
  </x:si>
  <x:si>
    <x:t>Haus der Zuversicht</x:t>
  </x:si>
  <x:si>
    <x:t>Gebäude (Verein)</x:t>
  </x:si>
  <x:si>
    <x:t>Union Sportverein Langau</x:t>
  </x:si>
  <x:si>
    <x:t>E-Fahrzeuge + Ladestationen</x:t>
  </x:si>
  <x:si>
    <x:t>Adolf Krumbholz KG</x:t>
  </x:si>
  <x:si>
    <x:t>Textilhaus</x:t>
  </x:si>
  <x:si>
    <x:t>Immobilien Management GesmbH</x:t>
  </x:si>
  <x:si>
    <x:t>Z672</x:t>
  </x:si>
  <x:si>
    <x:t>Zimmerei Herbert Hochwallner</x:t>
  </x:si>
  <x:si>
    <x:t>Z663</x:t>
  </x:si>
  <x:si>
    <x:t>Injectoplast KunststoffverarbeitungsGesmbH</x:t>
  </x:si>
  <x:si>
    <x:t>Z614</x:t>
  </x:si>
  <x:si>
    <x:t>Bürostätte, Vrkaufsstätte</x:t>
  </x:si>
  <x:si>
    <x:t>Z613</x:t>
  </x:si>
  <x:si>
    <x:t>Maringer</x:t>
  </x:si>
  <x:si>
    <x:t>Kaufhaus</x:t>
  </x:si>
  <x:si>
    <x:t>Z567</x:t>
  </x:si>
  <x:si>
    <x:t>Ing. Adolf Weltzl</x:t>
  </x:si>
  <x:si>
    <x:t>Privatwohnhaus+Büro</x:t>
  </x:si>
  <x:si>
    <x:t>Z592</x:t>
  </x:si>
  <x:si>
    <x:t>LOY Solartechnik</x:t>
  </x:si>
  <x:si>
    <x:t>Z565</x:t>
  </x:si>
  <x:si>
    <x:t>ALTECH Power &amp; ILDC GmbH</x:t>
  </x:si>
  <x:si>
    <x:t>Z552</x:t>
  </x:si>
  <x:si>
    <x:t>Hotel Winterbach</x:t>
  </x:si>
  <x:si>
    <x:t>Z519</x:t>
  </x:si>
  <x:si>
    <x:t>Z517</x:t>
  </x:si>
  <x:si>
    <x:t>Kaufmann Gerhard</x:t>
  </x:si>
  <x:si>
    <x:t>Halle (KFZ- Werkstätte)</x:t>
  </x:si>
  <x:si>
    <x:t>Z514</x:t>
  </x:si>
  <x:si>
    <x:t>Alubau GesmbH</x:t>
  </x:si>
  <x:si>
    <x:t>Z498</x:t>
  </x:si>
  <x:si>
    <x:t>Z473</x:t>
  </x:si>
  <x:si>
    <x:t>Gasthof und Pension Seidl</x:t>
  </x:si>
  <x:si>
    <x:t>Gasthof + Pension</x:t>
  </x:si>
  <x:si>
    <x:t>Z486</x:t>
  </x:si>
  <x:si>
    <x:t>Rabl-Druck</x:t>
  </x:si>
  <x:si>
    <x:t>Gebäude (Druckerei)</x:t>
  </x:si>
  <x:si>
    <x:t>Z422</x:t>
  </x:si>
  <x:si>
    <x:t>Gebäude (Kino)</x:t>
  </x:si>
  <x:si>
    <x:t>Kristallium</x:t>
  </x:si>
  <x:si>
    <x:t>Husky-KTW GesmbH</x:t>
  </x:si>
  <x:si>
    <x:t>2018-2019</x:t>
  </x:si>
  <x:si>
    <x:t>2020 Schwerpunktberatung Auslgung PV, 2021 Energieeffizienzsteigerung Neubau, 2021 Umsetzung</x:t>
  </x:si>
  <x:si>
    <x:t>Schindl GmbH</x:t>
  </x:si>
  <x:si>
    <x:t>Geschäft Nah &amp; Frisch</x:t>
  </x:si>
  <x:si>
    <x:t>Karl Riederich Gesellschaft mbH</x:t>
  </x:si>
  <x:si>
    <x:t>Ewald Gruber Immobilien Betriebs GmbH &amp; Co. KG</x:t>
  </x:si>
  <x:si>
    <x:t>Cafe Carambol OG</x:t>
  </x:si>
  <x:si>
    <x:t>Bar</x:t>
  </x:si>
  <x:si>
    <x:t>Weinbar - Cafe Thurnhof</x:t>
  </x:si>
  <x:si>
    <x:t>Cafe- Weinbar</x:t>
  </x:si>
  <x:si>
    <x:t>Bäckerei Konditorei Bucher</x:t>
  </x:si>
  <x:si>
    <x:t>Desiree Lauter</x:t>
  </x:si>
  <x:si>
    <x:t>Geschäft</x:t>
  </x:si>
  <x:si>
    <x:t>Rudolf Weidenauer Malerei und Anstrich GesmbH</x:t>
  </x:si>
  <x:si>
    <x:t>Kasparu KG - Cafe Per Du</x:t>
  </x:si>
  <x:si>
    <x:t>Tankstelle</x:t>
  </x:si>
  <x:si>
    <x:t>Rohrmoser</x:t>
  </x:si>
  <x:si>
    <x:t>Herbert Hettegger</x:t>
  </x:si>
  <x:si>
    <x:t>Restaurant</x:t>
  </x:si>
  <x:si>
    <x:t>3914</x:t>
  </x:si>
  <x:si>
    <x:t>44</x:t>
  </x:si>
  <x:si>
    <x:t>Hotel + Gatronomie</x:t>
  </x:si>
  <x:si>
    <x:t>3594</x:t>
  </x:si>
  <x:si>
    <x:t>2020 Schwerpunktberatung, 2021 Umsetzungs- Schwerpunktberatung Photovoltaik &amp; Speicher</x:t>
  </x:si>
  <x:si>
    <x:t>C &amp; G Gastegewerbe GmbH</x:t>
  </x:si>
  <x:si>
    <x:t>Hotel inkl. Campingplatz</x:t>
  </x:si>
  <x:si>
    <x:t>Rstenfeld</x:t>
  </x:si>
  <x:si>
    <x:t>Spechtbier</x:t>
  </x:si>
  <x:si>
    <x:t>BlOobst Weichhart KG</x:t>
  </x:si>
  <x:si>
    <x:t>Hofladen</x:t>
  </x:si>
  <x:si>
    <x:t>Markus Tutschek</x:t>
  </x:si>
  <x:si>
    <x:t>MEH Mechanical Engineering Holding GmbH</x:t>
  </x:si>
  <x:si>
    <x:t>2020 Kurzberatung E- Mobilität, 2021 Umsetzungs- Schwerpunktberatung Energie</x:t>
  </x:si>
  <x:si>
    <x:t>Theater- und Feriendorf GmbH</x:t>
  </x:si>
  <x:si>
    <x:t>3874</x:t>
  </x:si>
  <x:si>
    <x:t>A &amp; F Pusch OG</x:t>
  </x:si>
  <x:si>
    <x:t>Damberger Richard</x:t>
  </x:si>
  <x:si>
    <x:t>2020 Kurzberatung, 2021 Umsetzungsschwerpunktberatung PV</x:t>
  </x:si>
  <x:si>
    <x:t>Bio- Energie aus Japons</x:t>
  </x:si>
  <x:si>
    <x:t>ML Energietechnik GmbH</x:t>
  </x:si>
  <x:si>
    <x:t>2020 Kurzberatung, 2021 Schwerpunktberatung PV Anlage</x:t>
  </x:si>
  <x:si>
    <x:t>Waldviertler Frauenwirtschaft</x:t>
  </x:si>
  <x:si>
    <x:t>Modehaus Boden</x:t>
  </x:si>
  <x:si>
    <x:t>Modehaus</x:t>
  </x:si>
  <x:si>
    <x:t>2020 Kurzberatung, 2021 Umsetzungs- Schwerpunktberatung</x:t>
  </x:si>
  <x:si>
    <x:t>Hanlder Holding GmbH</x:t>
  </x:si>
  <x:si>
    <x:t>Grundstück</x:t>
  </x:si>
  <x:si>
    <x:t>2462</x:t>
  </x:si>
  <x:si>
    <x:t>Wilfleinsdorf</x:t>
  </x:si>
  <x:si>
    <x:t>Ackergasse</x:t>
  </x:si>
  <x:si>
    <x:t>2020 Kurzberatung, 2021 Schwerpunktberatung</x:t>
  </x:si>
  <x:si>
    <x:t>AGRO Boskovstejn s. r. o.</x:t>
  </x:si>
  <x:si>
    <x:t>Biogasanlage</x:t>
  </x:si>
  <x:si>
    <x:t>TASCA GmbH</x:t>
  </x:si>
  <x:si>
    <x:t>72</x:t>
  </x:si>
  <x:si>
    <x:t>Kolibri</x:t>
  </x:si>
  <x:si>
    <x:t>Wohnhaus + Gatsronomie</x:t>
  </x:si>
  <x:si>
    <x:t>Sajn Alexander</x:t>
  </x:si>
  <x:si>
    <x:t>29</x:t>
  </x:si>
  <x:si>
    <x:t>Tischlerei Johann Weidenauer</x:t>
  </x:si>
  <x:si>
    <x:t>3524</x:t>
  </x:si>
  <x:si>
    <x:t>53</x:t>
  </x:si>
  <x:si>
    <x:t>Reinhold Schulz</x:t>
  </x:si>
  <x:si>
    <x:t>Frank Gesellschaft m.b.H.</x:t>
  </x:si>
  <x:si>
    <x:t>Werkhalle</x:t>
  </x:si>
  <x:si>
    <x:t>HairWell Alexandra Redl</x:t>
  </x:si>
  <x:si>
    <x:t>2020 Kurzberatung, 2022 Awareness Kurzberatung</x:t>
  </x:si>
  <x:si>
    <x:t>Bäckerei Konditorei Angenbauer e. U.</x:t>
  </x:si>
  <x:si>
    <x:t>Bäckerei / Konditorei</x:t>
  </x:si>
  <x:si>
    <x:t>Pani Georg GmbH</x:t>
  </x:si>
  <x:si>
    <x:t>Betriebsgebäude</x:t>
  </x:si>
  <x:si>
    <x:t>2020 Kurzberatung, 2022 Awareness Kurzberatung, Umsetzungs - Schwerpunktberatung PV</x:t>
  </x:si>
  <x:si>
    <x:t>Lamprecht Benjamin</x:t>
  </x:si>
  <x:si>
    <x:t>Welcome Trading GmbH</x:t>
  </x:si>
  <x:si>
    <x:t>Gebäude + Halle</x:t>
  </x:si>
  <x:si>
    <x:t>2440</x:t>
  </x:si>
  <x:si>
    <x:t>Reisenberg</x:t>
  </x:si>
  <x:si>
    <x:t>Industriestraße</x:t>
  </x:si>
  <x:si>
    <x:t>Pani Albert – Sportbootservice Pani</x:t>
  </x:si>
  <x:si>
    <x:t>174</x:t>
  </x:si>
  <x:si>
    <x:t>Firmengebäude (Tischlerei, Büro, Wohnbereich)</x:t>
  </x:si>
  <x:si>
    <x:t>Wesenauer Johann</x:t>
  </x:si>
  <x:si>
    <x:t>Pfeifer Verena Margareth Bio - Henlderei</x:t>
  </x:si>
  <x:si>
    <x:t>Strümpf Bettina</x:t>
  </x:si>
  <x:si>
    <x:t>Kail &amp; Krisch Keramik &amp; Kachelöfen</x:t>
  </x:si>
  <x:si>
    <x:t>2020 Kurzberatung PV, 2022 Awareness Kurzberatung, Umsetungs - Schwerpunktberatung PV</x:t>
  </x:si>
  <x:si>
    <x:t>Spitzer Erik</x:t>
  </x:si>
  <x:si>
    <x:t>Kurt Altmann</x:t>
  </x:si>
  <x:si>
    <x:t>Sonja Zauner - Trafik</x:t>
  </x:si>
  <x:si>
    <x:t>Niederösterreichisches Jugendherbergswerk</x:t>
  </x:si>
  <x:si>
    <x:t>Theater Relchenau GmbH</x:t>
  </x:si>
  <x:si>
    <x:t>Gemeinde Heldenberg</x:t>
  </x:si>
  <x:si>
    <x:t>Gemeinde</x:t>
  </x:si>
  <x:si>
    <x:t>Waldviertler Bildungs  - und Wirtschaftsinitiative</x:t>
  </x:si>
  <x:si>
    <x:t>MERKIMA DIE GALERIE</x:t>
  </x:si>
  <x:si>
    <x:t>Österreich - Technisches Kulturinstitut</x:t>
  </x:si>
  <x:si>
    <x:t>LAND NÖ</x:t>
  </x:si>
  <x:si>
    <x:t>Waldviertler Werkstätten GmbH</x:t>
  </x:si>
  <x:si>
    <x:t>Waidhofen an der Thaya Schulgemeinde der Polytechnischen Schule</x:t>
  </x:si>
  <x:si>
    <x:t>Schulgebäude</x:t>
  </x:si>
  <x:si>
    <x:t>Freiwillige Feuerwehr Unterthumeritz</x:t>
  </x:si>
  <x:si>
    <x:t>Verein Gemeinsam Aktiv Poigen - Grünberg</x:t>
  </x:si>
  <x:si>
    <x:t>Kulturhaus</x:t>
  </x:si>
  <x:si>
    <x:t>Lebensraum Waldviertel</x:t>
  </x:si>
  <x:si>
    <x:t>Freiwillige Feuerwehr Waldkirchen an der Thaya</x:t>
  </x:si>
  <x:si>
    <x:t>Freiwillige Feuerwehr Kautzen</x:t>
  </x:si>
  <x:si>
    <x:t>Feuerwehr Kleinzwettl</x:t>
  </x:si>
  <x:si>
    <x:t>Verein Frauenberatung Waldviertel</x:t>
  </x:si>
  <x:si>
    <x:t>Feuerwehr Waidhofen / Thaya</x:t>
  </x:si>
  <x:si>
    <x:t>Bischöfliches Pristerseminar bzw. Hochschule St. Pölten</x:t>
  </x:si>
  <x:si>
    <x:t>Geäude</x:t>
  </x:si>
  <x:si>
    <x:t>Freiwillige Feuerwehr Raabs / Thaya</x:t>
  </x:si>
  <x:si>
    <x:t>GVU Waidhofen / Thaya</x:t>
  </x:si>
  <x:si>
    <x:t>Waldviertel Akademie</x:t>
  </x:si>
  <x:si>
    <x:t>Pfarre Zwettl</x:t>
  </x:si>
  <x:si>
    <x:t>Bildungshaus St. Hippolyt</x:t>
  </x:si>
  <x:si>
    <x:t>Zukunftsklub Thayaland</x:t>
  </x:si>
  <x:si>
    <x:t>TRE Thayaland GmbH</x:t>
  </x:si>
  <x:si>
    <x:t>Mobilitäts Verein Meiseldorf</x:t>
  </x:si>
  <x:si>
    <x:t>Zukunftsraum Thayaland</x:t>
  </x:si>
  <x:si>
    <x:t>Gebäude Bahnhof</x:t>
  </x:si>
  <x:si>
    <x:t>Horner Kommunalgesellschaft mbH</x:t>
  </x:si>
  <x:si>
    <x:t>Bauhof</x:t>
  </x:si>
  <x:si>
    <x:t>Gemeinde Waidhofen an der Thaya</x:t>
  </x:si>
  <x:si>
    <x:t>Marktgemeinde Thaya</x:t>
  </x:si>
  <x:si>
    <x:t>Mittelschulgemeinde Vitis</x:t>
  </x:si>
  <x:si>
    <x:t>Marktgemeinde Karlstein an der Thaya</x:t>
  </x:si>
  <x:si>
    <x:t>Marktgemeinde Windigsteig</x:t>
  </x:si>
  <x:si>
    <x:t>Volkscchulgebäude</x:t>
  </x:si>
  <x:si>
    <x:t>Pfarre Thaya</x:t>
  </x:si>
  <x:si>
    <x:t>Stadtgemeinde Horn</x:t>
  </x:si>
  <x:si>
    <x:t>Groß - Siegharts Stadtgemeinde</x:t>
  </x:si>
  <x:si>
    <x:t>Stadtgemeinde Raabs an der Thaya</x:t>
  </x:si>
  <x:si>
    <x:t>Marktgemeinde Gastern</x:t>
  </x:si>
  <x:si>
    <x:t>Tattoo For You</x:t>
  </x:si>
  <x:si>
    <x:t>A&amp;R Schachinger</x:t>
  </x:si>
  <x:si>
    <x:t>KFZ Werkstatt</x:t>
  </x:si>
  <x:si>
    <x:t>Einfamilienhaus</x:t>
  </x:si>
  <x:si>
    <x:t>Euro - Finanz - Service AG</x:t>
  </x:si>
  <x:si>
    <x:t>Mehrfamilienhaus</x:t>
  </x:si>
  <x:si>
    <x:t>Frisör + Fachhandel</x:t>
  </x:si>
  <x:si>
    <x:t>Jagd - und Gebrauchshundeverband</x:t>
  </x:si>
  <x:si>
    <x:t>Büro + Einfamilienhaus</x:t>
  </x:si>
  <x:si>
    <x:t>Freiwillige Feuerwehr</x:t>
  </x:si>
  <x:si>
    <x:t>FF - Haus, Museum, Fahrz. Halle</x:t>
  </x:si>
  <x:si>
    <x:t>Stadtkapelle</x:t>
  </x:si>
  <x:si>
    <x:t>Kapelle</x:t>
  </x:si>
  <x:si>
    <x:t>Arena Horn</x:t>
  </x:si>
  <x:si>
    <x:t>Nah und Frisch</x:t>
  </x:si>
  <x:si>
    <x:t>Einfamilinhaus</x:t>
  </x:si>
  <x:si>
    <x:t>Mahrfamiienhaus</x:t>
  </x:si>
  <x:si>
    <x:t>BS</x:t>
  </x:si>
  <x:si>
    <x:t>Hauptschule + Sonderschule</x:t>
  </x:si>
  <x:si>
    <x:t>Gebäude Schule</x:t>
  </x:si>
  <x:si>
    <x:t>Prim. Dr. Florian Friedrich</x:t>
  </x:si>
  <x:si>
    <x:t>Einfamilienhaus + Ordination</x:t>
  </x:si>
  <x:si>
    <x:t>Einfamiliehaus</x:t>
  </x:si>
  <x:si>
    <x:t>Elektro Salzer</x:t>
  </x:si>
  <x:si>
    <x:t>Rotes Kreuz</x:t>
  </x:si>
  <x:si>
    <x:t>Eduard Wielach</x:t>
  </x:si>
  <x:si>
    <x:t>Kindergarten Horn</x:t>
  </x:si>
  <x:si>
    <x:t>Einfamiienhaus</x:t>
  </x:si>
  <x:si>
    <x:t>Hubertus Bräu</x:t>
  </x:si>
  <x:si>
    <x:t>Geschäftlager + Büro + FH</x:t>
  </x:si>
  <x:si>
    <x:t>Geschäftslager</x:t>
  </x:si>
  <x:si>
    <x:t>Einfamiliienhaus</x:t>
  </x:si>
  <x:si>
    <x:t>Wahlarzt</x:t>
  </x:si>
  <x:si>
    <x:t>Ordination (Röntgen)</x:t>
  </x:si>
  <x:si>
    <x:t>Wohnung</x:t>
  </x:si>
  <x:si>
    <x:t>NÖGKK</x:t>
  </x:si>
  <x:si>
    <x:t>Eifamilienhaus</x:t>
  </x:si>
  <x:si>
    <x:t>Gemeinde Geras</x:t>
  </x:si>
  <x:si>
    <x:t>Kaindl Installateur</x:t>
  </x:si>
  <x:si>
    <x:t>Werkstatt + Büro</x:t>
  </x:si>
  <x:si>
    <x:t>Ölknechthof</x:t>
  </x:si>
  <x:si>
    <x:t>Gebäude (Gastro + Beherbergung)</x:t>
  </x:si>
  <x:si>
    <x:t>Gebäude Gastro</x:t>
  </x:si>
  <x:si>
    <x:t>(Öko Strom)  Proj.- Aktuell - Sons. Proj. - 1139 ENSET - AP05 U. - AP05 1.000 Gebäude - Bearb. - Gebäude Horn - Horn Datenbank Excel</x:t>
  </x:si>
  <x:si>
    <x:t>Kiennast Lbm. - Handel</x:t>
  </x:si>
  <x:si>
    <x:t>Kamptal WHA</x:t>
  </x:si>
  <x:si>
    <x:t>Mehrfamilienhaus = WHA</x:t>
  </x:si>
  <x:si>
    <x:t>privat</x:t>
  </x:si>
  <x:si>
    <x:t>Wohnunh in WHA</x:t>
  </x:si>
  <x:si>
    <x:t>Wohnung in WHA</x:t>
  </x:si>
  <x:si>
    <x:t>Privat</x:t>
  </x:si>
  <x:si>
    <x:t>Wahnung in WHA</x:t>
  </x:si>
  <x:si>
    <x:t>Mehrfamlienhaus = WHA</x:t>
  </x:si>
  <x:si>
    <x:t>Vermieter</x:t>
  </x:si>
  <x:si>
    <x:t>Wohnhaus in WHA</x:t>
  </x:si>
  <x:si>
    <x:t>Wohung in WHA</x:t>
  </x:si>
  <x:si>
    <x:t>WAV</x:t>
  </x:si>
  <x:si>
    <x:t>Wohnhaus</x:t>
  </x:si>
  <x:si>
    <x:t>DI Chritoph Stenzel, MA</x:t>
  </x:si>
  <x:si>
    <x:t>Viktor Hotel Ottenstein Besitz GmbH</x:t>
  </x:si>
  <x:si>
    <x:t>Hotel Reihe D- Bewegung</x:t>
  </x:si>
  <x:si>
    <x:t>Peygarten</x:t>
  </x:si>
  <x:si>
    <x:t>60</x:t>
  </x:si>
  <x:si>
    <x:t>Hotel Reihe D - Tagung</x:t>
  </x:si>
  <x:si>
    <x:t>Hotel Reihe D - Zimmer</x:t>
  </x:si>
  <x:si>
    <x:t>Vikotr Hotel Ottenstein Beistz GmbH</x:t>
  </x:si>
  <x:si>
    <x:t>Hotel Reihe E - Block A</x:t>
  </x:si>
  <x:si>
    <x:t>Hotel Reihe E - Block B</x:t>
  </x:si>
  <x:si>
    <x:t>Hotel Reihe E - Block C</x:t>
  </x:si>
  <x:si>
    <x:t>3533</x:t>
  </x:si>
  <x:si>
    <x:t>61</x:t>
  </x:si>
  <x:si>
    <x:t>Hotelreihe E - Block D</x:t>
  </x:si>
  <x:si>
    <x:t>3534</x:t>
  </x:si>
  <x:si>
    <x:t>62</x:t>
  </x:si>
  <x:si>
    <x:t>Hotel Spa</x:t>
  </x:si>
  <x:si>
    <x:t>3535</x:t>
  </x:si>
  <x:si>
    <x:t>63</x:t>
  </x:si>
  <x:si>
    <x:t>Hotel Reihe A - Nord</x:t>
  </x:si>
  <x:si>
    <x:t>3536</x:t>
  </x:si>
  <x:si>
    <x:t>64</x:t>
  </x:si>
  <x:si>
    <x:t>Hotel Reihe A - Süd</x:t>
  </x:si>
  <x:si>
    <x:t>3537</x:t>
  </x:si>
  <x:si>
    <x:t>65</x:t>
  </x:si>
  <x:si>
    <x:t>Hotel Reihe B - Nord</x:t>
  </x:si>
  <x:si>
    <x:t>3538</x:t>
  </x:si>
  <x:si>
    <x:t>66</x:t>
  </x:si>
  <x:si>
    <x:t>Hotel Reihe B - Süd</x:t>
  </x:si>
  <x:si>
    <x:t>3539</x:t>
  </x:si>
  <x:si>
    <x:t>67</x:t>
  </x:si>
  <x:si>
    <x:t>Hotel Reihe C</x:t>
  </x:si>
  <x:si>
    <x:t>3540</x:t>
  </x:si>
  <x:si>
    <x:t>68</x:t>
  </x:si>
  <x:si>
    <x:t>Test</x:t>
  </x:si>
  <x:si>
    <x:t>test</x:t>
  </x:si>
  <x:si>
    <x:t>MID</x:t>
  </x:si>
  <x:si>
    <x:t>KID</x:t>
  </x:si>
  <x:si>
    <x:t>Fahrzeugtypen</x:t>
  </x:si>
  <x:si>
    <x:t>Anzahl VerbrennerFahrzeuge</x:t>
  </x:si>
  <x:si>
    <x:t>Anzahl EFahrzeuge</x:t>
  </x:si>
  <x:si>
    <x:t>gefahrene Kilometer pro Fahrzeug</x:t>
  </x:si>
  <x:si>
    <x:t>Treibstoff [Liter]</x:t>
  </x:si>
  <x:si>
    <x:t>Strom [kWh]</x:t>
  </x:si>
  <x:si>
    <x:t>EEGID</x:t>
  </x:si>
  <x:si>
    <x:t>Name</x:t>
  </x:si>
  <x:si>
    <x:t>Modell (BEG,EEG,..)</x:t>
  </x:si>
  <x:si>
    <x:t>WebSite</x:t>
  </x:si>
  <x:si>
    <x:t>Obmann</x:t>
  </x:si>
  <x:si>
    <x:t>Telefon</x:t>
  </x:si>
  <x:si>
    <x:t>E-Mail Adresse</x:t>
  </x:si>
  <x:si>
    <x:t>Erzeugertypen</x:t>
  </x:si>
  <x:si>
    <x:t>UW</x:t>
  </x:si>
  <x:si>
    <x:t>Trafostation</x:t>
  </x:si>
  <x:si>
    <x:t>ZPNs</x:t>
  </x:si>
  <x:si>
    <x:t>Abrechnungstool</x:t>
  </x:si>
  <x:si>
    <x:t>Einzugsgebiet (Bezirk)</x:t>
  </x:si>
  <x:si>
    <x:t>aktuelles Interesse (Förderbedarf)</x:t>
  </x:si>
  <x:si>
    <x:t>Notiz</x:t>
  </x:si>
  <x:si>
    <x:t>Japonsitiv</x:t>
  </x:si>
  <x:si>
    <x:t>regionale EEG</x:t>
  </x:si>
  <x:si>
    <x:t>-</x:t>
  </x:si>
  <x:si>
    <x:t>Erich Engelbrecht</x:t>
  </x:si>
  <x:si>
    <x:t>eeg@japons.info</x:t>
  </x:si>
  <x:si>
    <x:t>PV, Wasserkraft</x:t>
  </x:si>
  <x:si>
    <x:t>efy</x:t>
  </x:si>
  <x:si>
    <x:t>ja</x:t>
  </x:si>
  <x:si>
    <x:t>weinSTROM</x:t>
  </x:si>
  <x:si>
    <x:t>weinstrom.at</x:t>
  </x:si>
  <x:si>
    <x:t>Florian Brunner</x:t>
  </x:si>
  <x:si>
    <x:t>0664 3874084</x:t>
  </x:si>
  <x:si>
    <x:t>info@weinstrom.at</x:t>
  </x:si>
  <x:si>
    <x:t>connesso</x:t>
  </x:si>
  <x:si>
    <x:t>Krems-Land</x:t>
  </x:si>
  <x:si>
    <x:t>Kamp-Taffa</x:t>
  </x:si>
  <x:si>
    <x:t>www.eeg-kamp-taffa.at</x:t>
  </x:si>
  <x:si>
    <x:t>info@eeg-kamp-taffa.at</x:t>
  </x:si>
  <x:si>
    <x:t>EEGTID</x:t>
  </x:si>
  <x:si>
    <x:t>Rolle</x:t>
  </x:si>
  <x:si>
    <x:t>Zählpunkt</x:t>
  </x:si>
  <x:si>
    <x:t>ExternalMeterId</x:t>
  </x:si>
  <x:si>
    <x:t>ExternalBuildingId</x:t>
  </x:si>
  <x:si>
    <x:t>MeterName</x:t>
  </x:si>
  <x:si>
    <x:t>MeterType</x:t>
  </x:si>
  <x:si>
    <x:t>Medium</x:t>
  </x:si>
  <x:si>
    <x:t>Unit</x:t>
  </x:si>
  <x:si>
    <x:t>Direction</x:t>
  </x:si>
  <x:si>
    <x:t>IntervalMinutes</x:t>
  </x:si>
  <x:si>
    <x:t>IsVirtual</x:t>
  </x:si>
  <x:si>
    <x:t>AggregationType</x:t>
  </x:si>
  <x:si>
    <x:t>Description</x:t>
  </x:si>
  <x:si>
    <x:t>M-001</x:t>
  </x:si>
  <x:si>
    <x:t>B-001</x:t>
  </x:si>
  <x:si>
    <x:t>Hauptzähler Strom</x:t>
  </x:si>
  <x:si>
    <x:t>Main</x:t>
  </x:si>
  <x:si>
    <x:t>Electricity</x:t>
  </x:si>
  <x:si>
    <x:t>kWh</x:t>
  </x:si>
  <x:si>
    <x:t>Consumption</x:t>
  </x:si>
  <x:si>
    <x:t>Nein</x:t>
  </x:si>
  <x:si>
    <x:t>Smart Meter</x:t>
  </x:si>
  <x:si>
    <x:t>EVU</x:t>
  </x:si>
  <x:si>
    <x:t>M-002</x:t>
  </x:si>
  <x:si>
    <x:t>PV Erzeugung</x:t>
  </x:si>
  <x:si>
    <x:t>Sub</x:t>
  </x:si>
  <x:si>
    <x:t>Production</x:t>
  </x:si>
  <x:si>
    <x:t>PV-Wechselrichter</x:t>
  </x:si>
  <x:si>
    <x:t>M-003</x:t>
  </x:si>
  <x:si>
    <x:t>B-003</x:t>
  </x:si>
  <x:si>
    <x:t>Büro Gesamtstrom</x:t>
  </x:si>
  <x:si>
    <x:t>Büroverbrauch</x:t>
  </x:si>
  <x:si>
    <x:t>BLDG-be89b8cfceb749f9972dac936b3a4997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</x:si>
</x:sst>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44" formatCode="_-&quot;€&quot;\ * #,##0.00_-;\-&quot;€&quot;\ * #,##0.00_-;_-&quot;€&quot;\ * &quot;-&quot;??_-;_-@_-"/>
  </x:numFmts>
  <x:fonts count="11" x14ac:knownFonts="1">
    <x:font>
      <x:sz val="11"/>
      <x:color theme="1"/>
      <x:name val="Aptos Narrow"/>
      <x:family val="2"/>
      <x:scheme val="minor"/>
    </x:font>
    <x:font>
      <x:sz val="11"/>
      <x:color theme="1"/>
      <x:name val="Aptos Narrow"/>
      <x:family val="2"/>
      <x:scheme val="minor"/>
    </x:font>
    <x:font>
      <x:b/>
      <x:sz val="11"/>
      <x:color theme="1"/>
      <x:name val="Aptos Narrow"/>
      <x:family val="2"/>
      <x:scheme val="minor"/>
    </x:font>
    <x:font>
      <x:u/>
      <x:sz val="11"/>
      <x:color theme="10"/>
      <x:name val="Aptos Narrow"/>
      <x:family val="2"/>
      <x:scheme val="minor"/>
    </x:font>
    <x:font>
      <x:b/>
      <x:sz val="11"/>
      <x:color theme="0"/>
      <x:name val="Aptos Narrow"/>
      <x:family val="2"/>
      <x:scheme val="minor"/>
    </x:font>
    <x:font>
      <x:sz val="11"/>
      <x:color rgb="FF000000"/>
      <x:name val="Aptos Narrow"/>
      <x:family val="2"/>
    </x:font>
    <x:font>
      <x:b/>
      <x:sz val="14"/>
      <x:color theme="1"/>
      <x:name val="Aptos Narrow"/>
      <x:family val="2"/>
      <x:scheme val="minor"/>
    </x:font>
    <x:font>
      <x:sz val="8"/>
      <x:name val="Aptos Narrow"/>
      <x:family val="2"/>
      <x:scheme val="minor"/>
    </x:font>
    <x:font>
      <x:b/>
      <x:sz val="14"/>
      <x:color theme="0"/>
      <x:name val="Aptos Narrow"/>
      <x:family val="2"/>
      <x:scheme val="minor"/>
    </x:font>
    <x:font>
      <x:b/>
      <x:sz val="11"/>
      <x:color theme="3" tint="9.9978637043366805E-2"/>
      <x:name val="Aptos Narrow"/>
      <x:family val="2"/>
      <x:scheme val="minor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theme="9" tint="0.59999389629810485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3" tint="0.89999084444715716"/>
        <x:bgColor indexed="64"/>
      </x:patternFill>
    </x:fill>
    <x:fill>
      <x:patternFill patternType="solid">
        <x:fgColor theme="4" tint="0.79998168889431442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/>
      <x:right/>
      <x:top/>
      <x:bottom style="thin">
        <x:color indexed="64"/>
      </x:bottom>
      <x:diagonal/>
    </x:border>
  </x:borders>
  <x:cellStyleXfs count="20">
    <x:xf numFmtId="0" fontId="0" fillId="0" borderId="0"/>
    <x:xf numFmtId="44" fontId="1" fillId="0" borderId="0" applyFont="0" applyFill="0" applyBorder="0" applyAlignment="0" applyProtection="0"/>
    <x:xf numFmtId="0" fontId="3" fillId="0" borderId="0" applyNumberFormat="0" applyFill="0" applyBorder="0" applyAlignment="0" applyProtection="0"/>
    <x:xf numFmtId="0" fontId="6" fillId="0" borderId="0" applyNumberFormat="1" applyFill="1" applyBorder="0" applyAlignment="1" applyProtection="1">
      <x:protection locked="1" hidden="0"/>
    </x:xf>
    <x:xf numFmtId="0" fontId="2" fillId="5" borderId="0" applyNumberFormat="1" applyFill="0" applyBorder="0" applyAlignment="1" applyProtection="1">
      <x:protection locked="1" hidden="0"/>
    </x:xf>
    <x:xf numFmtId="0" fontId="8" fillId="3" borderId="4" applyNumberFormat="1" applyFill="0" applyBorder="1" applyAlignment="1" applyProtection="1">
      <x:protection locked="1" hidden="0"/>
    </x:xf>
    <x:xf numFmtId="0" fontId="9" fillId="3" borderId="4" applyNumberFormat="1" applyFill="0" applyBorder="1" applyAlignment="1" applyProtection="1">
      <x:protection locked="1" hidden="0"/>
    </x:xf>
    <x:xf numFmtId="0" fontId="4" fillId="3" borderId="4" applyNumberFormat="1" applyFill="0" applyBorder="1" applyAlignment="1" applyProtection="1">
      <x:protection locked="1" hidden="0"/>
    </x:xf>
    <x:xf numFmtId="0" fontId="0" fillId="4" borderId="0" applyNumberFormat="1" applyFill="0" applyBorder="0" applyAlignment="1" applyProtection="1">
      <x:protection locked="1" hidden="0"/>
    </x:xf>
    <x:xf numFmtId="0" fontId="2" fillId="2" borderId="1" applyNumberFormat="1" applyFill="0" applyBorder="1" applyAlignment="1" applyProtection="1">
      <x:protection locked="1" hidden="0"/>
    </x:xf>
    <x:xf numFmtId="0" fontId="3" fillId="4" borderId="0" applyNumberFormat="1" applyFill="0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49" fontId="0" fillId="2" borderId="2" applyNumberFormat="1" applyFill="0" applyBorder="1" applyAlignment="1" applyProtection="1">
      <x:protection locked="1" hidden="0"/>
    </x:xf>
    <x:xf numFmtId="0" fontId="0" fillId="2" borderId="2" applyNumberFormat="1" applyFill="0" applyBorder="1" applyAlignment="1" applyProtection="1">
      <x:protection locked="1" hidden="0"/>
    </x:xf>
    <x:xf numFmtId="49" fontId="3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4" fontId="0" fillId="0" borderId="0" applyNumberFormat="1" applyFill="1" applyBorder="0" applyAlignment="1" applyProtection="1">
      <x:protection locked="1" hidden="0"/>
    </x:xf>
  </x:cellStyleXfs>
  <x:cellXfs count="39">
    <x:xf numFmtId="0" fontId="0" fillId="0" borderId="0" xfId="0"/>
    <x:xf numFmtId="0" fontId="0" fillId="0" borderId="0" xfId="0" applyAlignment="1">
      <x:alignment wrapText="1"/>
    </x:xf>
    <x:xf numFmtId="0" fontId="2" fillId="0" borderId="0" xfId="0" applyFont="1" applyAlignment="1">
      <x:alignment horizontal="center" vertical="center" wrapText="1"/>
    </x:xf>
    <x:xf numFmtId="0" fontId="0" fillId="0" borderId="0" xfId="0" applyAlignment="1">
      <x:alignment vertical="center" wrapText="1"/>
    </x:xf>
    <x:xf numFmtId="0" fontId="3" fillId="0" borderId="0" xfId="2" applyAlignment="1">
      <x:alignment vertical="center" wrapText="1"/>
    </x:xf>
    <x:xf numFmtId="0" fontId="0" fillId="0" borderId="0" xfId="0" applyAlignment="1">
      <x:alignment horizontal="center" vertical="center"/>
    </x:xf>
    <x:xf numFmtId="0" fontId="0" fillId="2" borderId="2" xfId="0" applyFill="1" applyBorder="1" applyAlignment="1">
      <x:alignment horizontal="center"/>
    </x:xf>
    <x:xf numFmtId="0" fontId="0" fillId="0" borderId="0" xfId="0" applyAlignment="1">
      <x:alignment vertical="center"/>
    </x:xf>
    <x:xf numFmtId="0" fontId="0" fillId="0" borderId="3" xfId="0" applyBorder="1" applyAlignment="1">
      <x:alignment horizontal="center" vertical="center"/>
    </x:xf>
    <x:xf numFmtId="49" fontId="0" fillId="2" borderId="2" xfId="0" applyNumberFormat="1" applyFill="1" applyBorder="1" applyAlignment="1">
      <x:alignment horizontal="center"/>
    </x:xf>
    <x:xf numFmtId="49" fontId="0" fillId="0" borderId="0" xfId="0" applyNumberFormat="1" applyAlignment="1">
      <x:alignment wrapText="1"/>
    </x:xf>
    <x:xf numFmtId="0" fontId="3" fillId="4" borderId="0" xfId="2" applyFill="1" applyAlignment="1">
      <x:alignment horizontal="left"/>
    </x:xf>
    <x:xf numFmtId="0" fontId="0" fillId="4" borderId="0" xfId="0" applyFill="1"/>
    <x:xf numFmtId="49" fontId="0" fillId="0" borderId="0" xfId="0" applyNumberFormat="1"/>
    <x:xf numFmtId="0" fontId="3" fillId="0" borderId="0" xfId="2"/>
    <x:xf numFmtId="49" fontId="3" fillId="0" borderId="0" xfId="2" applyNumberFormat="1" applyAlignment="1">
      <x:alignment wrapText="1"/>
    </x:xf>
    <x:xf numFmtId="0" fontId="0" fillId="0" borderId="0" xfId="0" applyAlignment="1">
      <x:alignment horizontal="right"/>
    </x:xf>
    <x:xf numFmtId="0" fontId="2" fillId="0" borderId="0" xfId="0" applyFont="1"/>
    <x:xf numFmtId="0" fontId="4" fillId="3" borderId="4" xfId="0" applyFont="1" applyFill="1" applyBorder="1" applyAlignment="1">
      <x:alignment vertical="center"/>
    </x:xf>
    <x:xf numFmtId="0" fontId="2" fillId="2" borderId="1" xfId="0" applyFont="1" applyFill="1" applyBorder="1" applyAlignment="1">
      <x:alignment horizontal="center"/>
    </x:xf>
    <x:xf numFmtId="0" fontId="0" fillId="2" borderId="2" xfId="0" applyFill="1" applyBorder="1" applyAlignment="1">
      <x:alignment horizontal="center" wrapText="1"/>
    </x:xf>
    <x:xf numFmtId="4" fontId="0" fillId="0" borderId="0" xfId="0" applyNumberFormat="1" applyAlignment="1">
      <x:alignment vertical="center"/>
    </x:xf>
    <x:xf numFmtId="14" fontId="0" fillId="0" borderId="0" xfId="0" applyNumberFormat="1" applyAlignment="1">
      <x:alignment vertical="center"/>
    </x:xf>
    <x:xf numFmtId="0" fontId="3" fillId="0" borderId="0" xfId="2" applyAlignment="1">
      <x:alignment wrapText="1"/>
    </x:xf>
    <x:xf numFmtId="0" fontId="9" fillId="3" borderId="4" xfId="0" applyFont="1" applyFill="1" applyBorder="1" applyAlignment="1">
      <x:alignment vertical="center"/>
    </x:xf>
    <x:xf numFmtId="0" fontId="2" fillId="5" borderId="0" xfId="0" applyFont="1" applyFill="1" applyAlignment="1">
      <x:alignment horizontal="left" vertical="center"/>
    </x:xf>
    <x:xf numFmtId="0" fontId="6" fillId="0" borderId="0" xfId="0" applyFont="1" applyAlignment="1">
      <x:alignment horizontal="center" vertical="center"/>
    </x:xf>
    <x:xf numFmtId="0" fontId="8" fillId="3" borderId="4" xfId="0" applyFont="1" applyFill="1" applyBorder="1" applyAlignment="1">
      <x:alignment horizontal="left" vertical="center"/>
    </x:xf>
    <x:xf numFmtId="0" fontId="0" fillId="0" borderId="0" xfId="0" applyAlignment="1"/>
    <x:xf numFmtId="0" fontId="2" fillId="5" borderId="0" xfId="0" applyNumberFormat="1" applyFill="0" applyBorder="0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8" fillId="3" borderId="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4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0" fillId="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" fillId="4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</x:cellXfs>
  <x:cellStyles count="3">
    <x:cellStyle name="Link" xfId="2" builtinId="8"/>
    <x:cellStyle name="Standard" xfId="0" builtinId="0"/>
    <x:cellStyle name="Währung 2" xfId="1" xr:uid="{FDF394D7-F86D-4DDD-A154-7E153E537641}"/>
  </x:cellStyles>
  <x:dxfs count="7">
    <x:dxf>
      <x:font>
        <x:color rgb="FF9C0006"/>
      </x:font>
      <x:fill>
        <x:patternFill patternType="solid">
          <x:fgColor auto="1"/>
          <x:bgColor rgb="FFFFC7CE"/>
        </x:patternFill>
      </x:fill>
    </x:dxf>
    <x:dxf>
      <x:font>
        <x:color theme="1"/>
        <x:name val="Aptos Narrow"/>
        <x:scheme val="minor"/>
      </x:font>
      <x:numFmt numFmtId="49" formatCode="@"/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  <x:numFmt numFmtId="4" formatCode="#,##0.00"/>
    </x:dxf>
    <x:dxf>
      <x:font>
        <x:u val="single"/>
        <x:color theme="10"/>
        <x:name val="Aptos Narrow"/>
        <x:scheme val="minor"/>
      </x:font>
    </x:dxf>
    <x:dxf>
      <x:font>
        <x:color theme="1"/>
        <x:name val="Aptos Narrow"/>
        <x:scheme val="minor"/>
      </x:font>
      <x:numFmt numFmtId="49" formatCode="@"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a16="http://schemas.microsoft.com/office/drawing/2014/main" xmlns:a14="http://schemas.microsoft.com/office/drawing/2010/main" xmlns:mc="http://schemas.openxmlformats.org/markup-compatibility/2006" xmlns:xdr="http://schemas.openxmlformats.org/drawingml/2006/spreadsheetDrawing" xmlns:a="http://schemas.openxmlformats.org/drawingml/2006/main" xmlns:r="http://schemas.openxmlformats.org/officeDocument/2006/relationships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130040" y="5204460"/>
          <a:ext cx="851535" cy="206735"/>
          <a:chOff x="3169920" y="4926330"/>
          <a:chExt cx="1203960" cy="189590"/>
        </a:xfrm>
      </xdr:grpSpPr>
      <xdr:sp macro="" textlink="">
        <xdr:nvSpPr>
          <xdr:cNvPr id="2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3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104775</xdr:rowOff>
        </xdr:from>
        <xdr:to>
          <xdr:col>1</xdr:col>
          <xdr:colOff>1828800</xdr:colOff>
          <xdr:row>6</xdr:row>
          <xdr:rowOff>161925</xdr:rowOff>
        </xdr:to>
        <xdr:sp macro="" textlink="">
          <xdr:nvSpPr>
            <xdr:cNvPr id="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161925</xdr:rowOff>
        </xdr:to>
        <xdr:sp macro="" textlink="">
          <xdr:nvSpPr>
            <xdr:cNvPr id="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7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57150</xdr:rowOff>
    </xdr:from>
    <xdr:to>
      <xdr:col>3</xdr:col>
      <xdr:colOff>361950</xdr:colOff>
      <xdr:row>3</xdr:row>
      <xdr:rowOff>19050</xdr:rowOff>
    </xdr:to>
    <xdr:pic>
      <xdr:nvPicPr>
        <xdr:cNvPr id="8" name="Grafik 6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304800" cy="3143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171450</xdr:rowOff>
        </xdr:to>
        <xdr:sp macro="" textlink="">
          <xdr:nvSpPr>
            <xdr:cNvPr id="9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123825</xdr:rowOff>
        </xdr:from>
        <xdr:to>
          <xdr:col>1</xdr:col>
          <xdr:colOff>1828800</xdr:colOff>
          <xdr:row>15</xdr:row>
          <xdr:rowOff>171450</xdr:rowOff>
        </xdr:to>
        <xdr:sp macro="" textlink="">
          <xdr:nvSpPr>
            <xdr:cNvPr id="10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</xdr:colOff>
      <xdr:row>1</xdr:row>
      <xdr:rowOff>38100</xdr:rowOff>
    </xdr:from>
    <xdr:to>
      <xdr:col>6</xdr:col>
      <xdr:colOff>381000</xdr:colOff>
      <xdr:row>3</xdr:row>
      <xdr:rowOff>19050</xdr:rowOff>
    </xdr:to>
    <xdr:pic>
      <xdr:nvPicPr>
        <xdr:cNvPr id="11" name="Grafik 2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0" y="0"/>
          <a:ext cx="342900" cy="342900"/>
        </a:xfrm>
        <a:prstGeom prst="rect"/>
      </xdr:spPr>
    </xdr:pic>
    <xdr:clientData/>
  </xdr:twoCellAnchor>
  <xdr:oneCellAnchor>
    <xdr:from>
      <xdr:col>2</xdr:col>
      <xdr:colOff>390525</xdr:colOff>
      <xdr:row>4</xdr:row>
      <xdr:rowOff>266700</xdr:rowOff>
    </xdr:from>
    <xdr:ext cx="285750" cy="285750"/>
    <xdr:pic>
      <xdr:nvPicPr>
        <xdr:cNvPr id="12" name="Grafik 3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0" y="0"/>
          <a:ext cx="285750" cy="285750"/>
        </a:xfrm>
        <a:prstGeom prst="rect"/>
      </xdr:spPr>
    </xdr:pic>
    <xdr:clientData/>
  </xdr:one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13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14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x:table xmlns:x="http://schemas.openxmlformats.org/spreadsheetml/2006/main" id="1" name="Customer" displayName="Customer" ref="A1:W362" totalsRowShown="0">
  <x:autoFilter ref="A1:W362"/>
  <x:tableColumns count="23">
    <x:tableColumn id="1" name="InternalCustomerId"/>
    <x:tableColumn id="2" name="FolderNumber" dataDxfId="1"/>
    <x:tableColumn id="3" name="eKUTCustomer" dataDxfId="1"/>
    <x:tableColumn id="4" name="ProjectName" dataDxfId="1"/>
    <x:tableColumn id="5" name="OrganizationName" dataDxfId="1"/>
    <x:tableColumn id="6" name="FirstName" dataDxfId="2"/>
    <x:tableColumn id="7" name="LastName"/>
    <x:tableColumn id="8" name="PhoneNumber"/>
    <x:tableColumn id="9" name="Email"/>
    <x:tableColumn id="10" name="PostalCode" dataDxfId="1"/>
    <x:tableColumn id="11" name="City" dataDxfId="2"/>
    <x:tableColumn id="12" name="Street" dataDxfId="3"/>
    <x:tableColumn id="13" name="HouseNumber" dataDxfId="3"/>
    <x:tableColumn id="14" name="AddressAddtion" dataDxfId="3">
      <x:calculatedColumnFormula>""</x:calculatedColumnFormula>
    </x:tableColumn>
    <x:tableColumn id="15" name="Prosumer" dataDxfId="3">
      <x:calculatedColumnFormula>""</x:calculatedColumnFormula>
    </x:tableColumn>
    <x:tableColumn id="16" name="HasLoadProfile" dataDxfId="3">
      <x:calculatedColumnFormula>""</x:calculatedColumnFormula>
    </x:tableColumn>
    <x:tableColumn id="17" name="BuildingRenovationInterest" dataDxfId="3">
      <x:calculatedColumnFormula>""</x:calculatedColumnFormula>
    </x:tableColumn>
    <x:tableColumn id="18" name="EnergyCommunityInterest" dataDxfId="3">
      <x:calculatedColumnFormula>""</x:calculatedColumnFormula>
    </x:tableColumn>
    <x:tableColumn id="19" name="MobilityInterest" dataDxfId="3">
      <x:calculatedColumnFormula>""</x:calculatedColumnFormula>
    </x:tableColumn>
    <x:tableColumn id="20" name="PlusEnergyInterest" dataDxfId="3">
      <x:calculatedColumnFormula>""</x:calculatedColumnFormula>
    </x:tableColumn>
    <x:tableColumn id="21" name="Subsidies" dataDxfId="3"/>
    <x:tableColumn id="22" name="LastContact"/>
    <x:tableColumn id="23" name="Notes" dataDxfId="3"/>
  </x:tableColumns>
  <x:tableStyleInfo name="TableStyleLight1" showFirstColumn="0" showLastColumn="0" showRowStripes="1" showColumnStripes="0"/>
</x:table>
</file>

<file path=xl/tables/table2.xml><?xml version="1.0" encoding="utf-8"?>
<x:table xmlns:x="http://schemas.openxmlformats.org/spreadsheetml/2006/main" id="2" name="Tabelle2" displayName="Tabelle2" ref="A1:AK868" totalsRowShown="0">
  <x:autoFilter ref="A1:AK868"/>
  <x:tableColumns count="37">
    <x:tableColumn id="1" name="InternalBuildingId" dataDxfId="3"/>
    <x:tableColumn id="2" name="InternalCustomerId" dataDxfId="3"/>
    <x:tableColumn id="3" name="FolderNumber" dataDxfId="3"/>
    <x:tableColumn id="4" name="ProjectName" dataDxfId="3"/>
    <x:tableColumn id="5" name="OrganizationName" dataDxfId="3"/>
    <x:tableColumn id="6" name="BuildingType" dataDxfId="3"/>
    <x:tableColumn id="7" name="Country" dataDxfId="3"/>
    <x:tableColumn id="8" name="PostalCode" dataDxfId="3"/>
    <x:tableColumn id="9" name="City" dataDxfId="3"/>
    <x:tableColumn id="10" name="Street" dataDxfId="3"/>
    <x:tableColumn id="11" name="HouseNumber" dataDxfId="3"/>
    <x:tableColumn id="12" name="AddressAddition" dataDxfId="3"/>
    <x:tableColumn id="13" name="ConstructionYear" dataDxfId="3"/>
    <x:tableColumn id="14" name="RenovationYear" dataDxfId="3"/>
    <x:tableColumn id="15" name="UsageType" dataDxfId="3"/>
    <x:tableColumn id="16" name="MainUsage" dataDxfId="3"/>
    <x:tableColumn id="17" name="AdditionalNote" dataDxfId="3"/>
    <x:tableColumn id="18" name="FloorArea" dataDxfId="3"/>
    <x:tableColumn id="19" name="HeatedFloorArea" dataDxfId="3"/>
    <x:tableColumn id="20" name="HeatedFloorAreaMainUsage" dataDxfId="3"/>
    <x:tableColumn id="21" name="HeatedFloorAreaSecondUsage" dataDxfId="3"/>
    <x:tableColumn id="22" name="Heat consumption (kWh/year)" dataDxfId="3"/>
    <x:tableColumn id="23" name="Heating costs (€/year)" dataDxfId="4"/>
    <x:tableColumn id="24" name="Electricity consumption (kWh/year)" dataDxfId="3"/>
    <x:tableColumn id="25" name="Electricity costs (€/year)"/>
    <x:tableColumn id="26" name="HeatingType" dataDxfId="3"/>
    <x:tableColumn id="27" name="HasPV" dataDxfId="3"/>
    <x:tableColumn id="28" name="HasBattery" dataDxfId="3"/>
    <x:tableColumn id="29" name="HWB (calculated)" dataDxfId="3"/>
    <x:tableColumn id="30" name="ElectricityConsumption" dataDxfId="3"/>
    <x:tableColumn id="31" name="HeatConsumption" dataDxfId="3"/>
    <x:tableColumn id="32" name="HotWaterConsumption" dataDxfId="3"/>
    <x:tableColumn id="33" name="EnergyReferenceYear" dataDxfId="3"/>
    <x:tableColumn id="34" name="MainUsageSharePercent" dataDxfId="3"/>
    <x:tableColumn id="35" name="SecondaryUsage" dataDxfId="3"/>
    <x:tableColumn id="36" name="SecondaryUsageSharePercent" dataDxfId="3"/>
    <x:tableColumn id="37" name="Notes" dataDxfId="3"/>
  </x:tableColumns>
  <x:tableStyleInfo name="TableStyleLight1" showFirstColumn="0" showLastColumn="0" showRowStripes="1" showColumnStripes="0"/>
</x:table>
</file>

<file path=xl/tables/table3.xml><?xml version="1.0" encoding="utf-8"?>
<x:table xmlns:x="http://schemas.openxmlformats.org/spreadsheetml/2006/main" id="3" name="Tabelle3" displayName="Tabelle3" ref="A1:H3" totalsRowShown="0">
  <x:autoFilter ref="A1:H3"/>
  <x:tableColumns count="8">
    <x:tableColumn id="1" name="MID" dataDxfId="3">
      <x:calculatedColumnFormula>ROW(A2)-1</x:calculatedColumnFormula>
    </x:tableColumn>
    <x:tableColumn id="2" name="KID" dataDxfId="3"/>
    <x:tableColumn id="3" name="Fahrzeugtypen" dataDxfId="3"/>
    <x:tableColumn id="4" name="Anzahl VerbrennerFahrzeuge" dataDxfId="3"/>
    <x:tableColumn id="5" name="Anzahl EFahrzeuge" dataDxfId="3"/>
    <x:tableColumn id="6" name="gefahrene Kilometer pro Fahrzeug" dataDxfId="3"/>
    <x:tableColumn id="7" name="Treibstoff [Liter]" dataDxfId="3"/>
    <x:tableColumn id="8" name="Strom [kWh]" dataDxfId="3"/>
  </x:tableColumns>
  <x:tableStyleInfo name="TableStyleLight1" showFirstColumn="0" showLastColumn="0" showRowStripes="1" showColumnStripes="0"/>
</x:table>
</file>

<file path=xl/tables/table4.xml><?xml version="1.0" encoding="utf-8"?>
<x:table xmlns:x="http://schemas.openxmlformats.org/spreadsheetml/2006/main" id="4" name="Tabelle4" displayName="Tabelle4" ref="A1:O4" totalsRowShown="0">
  <x:autoFilter ref="A1:O4"/>
  <x:tableColumns count="15">
    <x:tableColumn id="1" name="EEGID" dataDxfId="3">
      <x:calculatedColumnFormula>ROW(A2)-1</x:calculatedColumnFormula>
    </x:tableColumn>
    <x:tableColumn id="2" name="Name" dataDxfId="3"/>
    <x:tableColumn id="3" name="Modell (BEG,EEG,..)" dataDxfId="3"/>
    <x:tableColumn id="4" name="WebSite"/>
    <x:tableColumn id="5" name="Obmann" dataDxfId="3"/>
    <x:tableColumn id="6" name="Telefon" dataDxfId="3"/>
    <x:tableColumn id="7" name="E-Mail Adresse" dataDxfId="5"/>
    <x:tableColumn id="8" name="Erzeugertypen" dataDxfId="3"/>
    <x:tableColumn id="9" name="UW" dataDxfId="2"/>
    <x:tableColumn id="10" name="Trafostation" dataDxfId="3"/>
    <x:tableColumn id="11" name="ZPNs" dataDxfId="3"/>
    <x:tableColumn id="12" name="Abrechnungstool" dataDxfId="3"/>
    <x:tableColumn id="13" name="Einzugsgebiet (Bezirk)" dataDxfId="3"/>
    <x:tableColumn id="14" name="aktuelles Interesse (Förderbedarf)" dataDxfId="3"/>
    <x:tableColumn id="15" name="Notiz" dataDxfId="3"/>
  </x:tableColumns>
  <x:tableStyleInfo name="TableStyleLight1" showFirstColumn="0" showLastColumn="0" showRowStripes="1" showColumnStripes="0"/>
</x:table>
</file>

<file path=xl/tables/table5.xml><?xml version="1.0" encoding="utf-8"?>
<x:table xmlns:x="http://schemas.openxmlformats.org/spreadsheetml/2006/main" id="5" name="Tabelle5" displayName="Tabelle5" ref="A1:E2" totalsRowShown="0">
  <x:autoFilter ref="A1:E2"/>
  <x:tableColumns count="5">
    <x:tableColumn id="1" name="EEGTID" dataDxfId="3">
      <x:calculatedColumnFormula>ROW(A2)-1</x:calculatedColumnFormula>
    </x:tableColumn>
    <x:tableColumn id="2" name="KID" dataDxfId="3"/>
    <x:tableColumn id="3" name="EEGID" dataDxfId="3"/>
    <x:tableColumn id="4" name="Rolle" dataDxfId="3"/>
    <x:tableColumn id="5" name="Zählpunkt" dataDxfId="3"/>
  </x:tableColumns>
  <x:tableStyleInfo name="TableStyleLight1" showFirstColumn="0" showLastColumn="0" showRowStripes="1" showColumnStripes="0"/>
</x:table>
</file>

<file path=xl/tables/table6.xml><?xml version="1.0" encoding="utf-8"?>
<x:table xmlns:x="http://schemas.openxmlformats.org/spreadsheetml/2006/main" id="6" name="Tabelle6" displayName="Tabelle6" ref="A1:K4" totalsRowShown="0">
  <x:autoFilter ref="A1:K4"/>
  <x:tableColumns count="11">
    <x:tableColumn id="1" name="ExternalMeterId" dataDxfId="6"/>
    <x:tableColumn id="2" name="ExternalBuildingId" dataDxfId="6"/>
    <x:tableColumn id="3" name="MeterName" dataDxfId="3"/>
    <x:tableColumn id="4" name="MeterType" dataDxfId="3"/>
    <x:tableColumn id="5" name="Medium" dataDxfId="3"/>
    <x:tableColumn id="6" name="Unit" dataDxfId="3"/>
    <x:tableColumn id="7" name="Direction" dataDxfId="3"/>
    <x:tableColumn id="8" name="IntervalMinutes" dataDxfId="3"/>
    <x:tableColumn id="9" name="IsVirtual" dataDxfId="3"/>
    <x:tableColumn id="10" name="AggregationType" dataDxfId="3"/>
    <x:tableColumn id="11" name="Description" dataDxfId="3"/>
  </x:tableColumns>
  <x:tableStyleInfo name="TableStyleLight1" showFirstColumn="0" showLastColumn="0" showRowStripes="1" showColumnStripes="0"/>
</x: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../tables/table4.xml" Id="rId6" /><Relationship Type="http://schemas.openxmlformats.org/officeDocument/2006/relationships/printerSettings" Target="../printerSettings/printerSettings3.bin" Id="rId5" /><Relationship Type="http://schemas.openxmlformats.org/officeDocument/2006/relationships/hyperlink" Target="mailto:eeg@japons.info" TargetMode="External" Id="rId19" /><Relationship Type="http://schemas.openxmlformats.org/officeDocument/2006/relationships/hyperlink" Target="mailto:info@weinstrom.at" TargetMode="External" Id="rId20" /><Relationship Type="http://schemas.openxmlformats.org/officeDocument/2006/relationships/hyperlink" Target="http://www.eeg-kamp-taffa.at/" TargetMode="External" Id="rId21" /><Relationship Type="http://schemas.openxmlformats.org/officeDocument/2006/relationships/hyperlink" Target="mailto:info@eeg-kamp-taffa.at" TargetMode="External" Id="rId22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E1B7960-7A40-40DF-9611-2DCED84A3BC4}" mc:Ignorable="x14ac xr xr2 xr3">
  <x:sheetPr codeName="Tabelle1">
    <x:outlinePr summaryBelow="1" summaryRight="1"/>
  </x:sheetPr>
  <x:dimension ref="A1:AN209"/>
  <x:sheetViews>
    <x:sheetView showGridLines="0" topLeftCell="B1" zoomScaleNormal="85" workbookViewId="0">
      <x:selection activeCell="N16" sqref="N16"/>
    </x:sheetView>
  </x:sheetViews>
  <x:sheetFormatPr baseColWidth="10" defaultColWidth="11.090625" defaultRowHeight="15" x14ac:dyDescent="0.25"/>
  <x:cols>
    <x:col min="1" max="1" width="11.570312" style="0" hidden="1" customWidth="1"/>
    <x:col min="2" max="2" width="31.855469" style="0" customWidth="1"/>
    <x:col min="3" max="3" width="10.140625" style="0" customWidth="1"/>
    <x:col min="4" max="4" width="19.140625" style="5" customWidth="1"/>
    <x:col min="5" max="5" width="13.570312" style="5" customWidth="1"/>
    <x:col min="6" max="6" width="6.570312" style="5" customWidth="1"/>
    <x:col min="7" max="7" width="32.855469" style="5" customWidth="1"/>
    <x:col min="8" max="8" width="17.285156" style="5" customWidth="1"/>
    <x:col min="9" max="9" width="10" style="5" bestFit="1" customWidth="1"/>
    <x:col min="10" max="10" width="9.710938" style="5" bestFit="1" customWidth="1"/>
    <x:col min="11" max="11" width="13.570312" style="5" bestFit="1" customWidth="1"/>
    <x:col min="12" max="12" width="5.710938" style="5" bestFit="1" customWidth="1"/>
    <x:col min="13" max="13" width="11.140625" style="5" bestFit="1" customWidth="1"/>
    <x:col min="14" max="14" width="4.570312" style="5" bestFit="1" customWidth="1"/>
    <x:col min="15" max="15" width="6.285156" style="5" bestFit="1" customWidth="1"/>
    <x:col min="16" max="16" width="13.710938" style="5" bestFit="1" customWidth="1"/>
    <x:col min="17" max="17" width="14.855469" style="5" bestFit="1" customWidth="1"/>
    <x:col min="18" max="18" width="9.425781" style="5" bestFit="1" customWidth="1"/>
    <x:col min="19" max="19" width="14.285156" style="5" bestFit="1" customWidth="1"/>
    <x:col min="20" max="20" width="25.285156" style="5" bestFit="1" customWidth="1"/>
    <x:col min="21" max="21" width="24.425781" style="5" bestFit="1" customWidth="1"/>
    <x:col min="22" max="22" width="15" style="5" bestFit="1" customWidth="1"/>
    <x:col min="23" max="23" width="17.710938" style="0" bestFit="1" customWidth="1"/>
    <x:col min="24" max="24" width="9.570312" style="0" bestFit="1" customWidth="1"/>
  </x:cols>
  <x:sheetData>
    <x:row r="1" spans="1:40" ht="12.6" customHeight="1" s="5" customFormat="1" x14ac:dyDescent="0.25"/>
    <x:row r="2" spans="1:40" ht="14.45" customHeight="1" x14ac:dyDescent="0.25">
      <x:c r="D2" s="26"/>
      <x:c r="E2" s="26"/>
      <x:c r="F2" s="26"/>
      <x:c r="G2" s="26" t="s">
        <x:v>0</x:v>
      </x:c>
      <x:c r="H2" s="26"/>
      <x:c r="I2" s="26"/>
      <x:c r="J2" s="16" t="s">
        <x:v>1</x:v>
      </x:c>
      <x:c r="K2" s="29" cm="1">
        <x:f t="array" ref="K2:K2">AktiverWert()</x:f>
      </x:c>
      <x:c r="L2" s="29"/>
      <x:c r="M2" s="29"/>
      <x:c r="N2" s="29"/>
      <x:c r="O2" s="29"/>
      <x:c r="P2" s="29"/>
      <x:c r="Q2" s="29"/>
    </x:row>
    <x:row r="3" spans="1:40" ht="14.45" customHeight="1" x14ac:dyDescent="0.25">
      <x:c r="D3" s="26"/>
      <x:c r="E3" s="26"/>
      <x:c r="F3" s="26"/>
      <x:c r="G3" s="26"/>
      <x:c r="H3" s="26"/>
      <x:c r="I3" s="26"/>
    </x:row>
    <x:row r="4" spans="1:40" x14ac:dyDescent="0.25">
      <x:c r="D4" s="7"/>
      <x:c r="E4" s="7"/>
      <x:c r="F4" s="7"/>
    </x:row>
    <x:row r="5" spans="1:40" ht="24" customHeight="1" x14ac:dyDescent="0.25">
      <x:c r="D5" s="30" t="s">
        <x:v>2</x:v>
      </x:c>
      <x:c r="E5" s="30"/>
      <x:c r="F5" s="31">
        <x:f>IF(D5="Buildings",A34,A27)</x:f>
      </x:c>
      <x:c r="G5" s="32"/>
      <x:c r="H5" s="32"/>
      <x:c r="I5" s="32"/>
      <x:c r="J5" s="32"/>
      <x:c r="K5" s="32"/>
      <x:c r="L5" s="32"/>
      <x:c r="M5" s="32"/>
      <x:c r="N5" s="32"/>
      <x:c r="O5" s="32"/>
      <x:c r="P5" s="32"/>
      <x:c r="Q5" s="32"/>
      <x:c r="R5" s="32"/>
      <x:c r="S5" s="32"/>
      <x:c r="T5" s="32"/>
      <x:c r="U5" s="32"/>
      <x:c r="V5" s="32"/>
      <x:c r="W5" s="32"/>
      <x:c r="X5" s="32"/>
      <x:c r="Y5" s="32"/>
      <x:c r="Z5" s="32"/>
      <x:c r="AA5" s="32"/>
      <x:c r="AB5" s="32"/>
      <x:c r="AC5" s="32"/>
      <x:c r="AD5" s="32"/>
      <x:c r="AE5" s="32"/>
      <x:c r="AF5" s="32"/>
      <x:c r="AG5" s="32"/>
      <x:c r="AH5" s="32"/>
      <x:c r="AI5" s="32"/>
      <x:c r="AJ5" s="32"/>
      <x:c r="AK5" s="32"/>
      <x:c r="AL5" s="32"/>
      <x:c r="AM5" s="32"/>
      <x:c r="AN5" s="32"/>
    </x:row>
    <x:row r="6" spans="1:40" x14ac:dyDescent="0.25">
      <x:c r="C6" s="33" t="s">
        <x:v>3</x:v>
      </x:c>
      <x:c r="D6" s="34" cm="1">
        <x:f t="array" ref="D6:Z6">INDEX(INDIRECT($D$5),1,0)</x:f>
      </x:c>
      <x:c r="E6" s="34">
        <x:f/>
      </x:c>
      <x:c r="F6" s="34">
        <x:f/>
      </x:c>
      <x:c r="G6" s="34">
        <x:f/>
      </x:c>
      <x:c r="H6" s="34">
        <x:f/>
      </x:c>
      <x:c r="I6" s="34">
        <x:f/>
      </x:c>
      <x:c r="J6" s="34">
        <x:f/>
      </x:c>
      <x:c r="K6" s="34">
        <x:f/>
      </x:c>
      <x:c r="L6" s="34">
        <x:f/>
      </x:c>
      <x:c r="M6" s="34">
        <x:f/>
      </x:c>
      <x:c r="N6" s="34">
        <x:f/>
      </x:c>
      <x:c r="O6" s="34">
        <x:f/>
      </x:c>
      <x:c r="P6" s="34">
        <x:f/>
      </x:c>
      <x:c r="Q6" s="34">
        <x:f/>
      </x:c>
      <x:c r="R6" s="34">
        <x:f/>
      </x:c>
      <x:c r="S6" s="34">
        <x:f/>
      </x:c>
      <x:c r="T6" s="34">
        <x:f/>
      </x:c>
      <x:c r="U6" s="34">
        <x:f/>
      </x:c>
      <x:c r="V6" s="34">
        <x:f/>
      </x:c>
      <x:c r="W6" s="34">
        <x:f/>
      </x:c>
      <x:c r="X6" s="34">
        <x:f/>
      </x:c>
      <x:c r="Y6" s="34">
        <x:f/>
      </x:c>
      <x:c r="Z6" s="34">
        <x:f/>
      </x:c>
      <x:c r="AA6" s="34"/>
      <x:c r="AB6" s="34"/>
      <x:c r="AC6" s="34"/>
      <x:c r="AD6" s="34"/>
      <x:c r="AE6" s="34"/>
      <x:c r="AF6" s="34"/>
      <x:c r="AG6" s="34"/>
      <x:c r="AH6" s="34"/>
      <x:c r="AI6" s="34"/>
      <x:c r="AJ6" s="34"/>
      <x:c r="AK6" s="34"/>
      <x:c r="AL6" s="34"/>
      <x:c r="AM6" s="34"/>
      <x:c r="AN6" s="34"/>
    </x:row>
    <x:row r="7" spans="1:40" ht="16.15" customHeight="1" hidden="1" x14ac:dyDescent="0.25">
      <x:c r="C7" s="35">
        <x:f>IF(E7=0,"",HYPERLINK("H:\Projekte\Projekte aktuell\Sonstige Projekte\1139 - ENSET\AP09_Innolab\Akquise\Datenbank &amp; Liste\"&amp;E7&amp;"_"&amp;G7,E7&amp;"_"&amp;G7))</x:f>
      </x:c>
      <x:c r="D7" s="5" cm="1">
        <x:f t="array" ref="D7:Z209">_xlfn._xlws.FILTER(INDIRECT($D$5),ISNUMBER(SEARCH($D$2,INDEX(INDIRECT($D$5),0,MATCH($G$2,INDEX(INDIRECT($D$5),1,0),0)))),"Kein Ergebnis gefunden.")</x:f>
      </x:c>
      <x:c r="E7" s="8">
        <x:f/>
      </x:c>
      <x:c r="F7" s="8">
        <x:f/>
      </x:c>
      <x:c r="G7" s="8">
        <x:f/>
      </x:c>
      <x:c r="H7" s="8">
        <x:f/>
      </x:c>
      <x:c r="I7" s="8">
        <x:f/>
      </x:c>
      <x:c r="J7" s="8">
        <x:f/>
      </x:c>
      <x:c r="K7" s="8">
        <x:f/>
      </x:c>
      <x:c r="L7" s="8">
        <x:f/>
      </x:c>
      <x:c r="M7" s="8">
        <x:f/>
      </x:c>
      <x:c r="N7" s="8">
        <x:f/>
      </x:c>
      <x:c r="O7" s="8">
        <x:f/>
      </x:c>
      <x:c r="P7" s="8">
        <x:f/>
      </x:c>
      <x:c r="Q7" s="8">
        <x:f/>
      </x:c>
      <x:c r="R7" s="8">
        <x:f/>
      </x:c>
      <x:c r="S7" s="8">
        <x:f/>
      </x:c>
      <x:c r="T7" s="8">
        <x:f/>
      </x:c>
      <x:c r="U7" s="8">
        <x:f/>
      </x:c>
      <x:c r="V7" s="8">
        <x:f/>
      </x:c>
      <x:c r="W7" s="0">
        <x:f/>
      </x:c>
      <x:c r="X7" s="0">
        <x:f/>
      </x:c>
      <x:c r="Y7" s="0">
        <x:f/>
      </x:c>
      <x:c r="Z7" s="0">
        <x:f/>
      </x:c>
    </x:row>
    <x:row r="8" spans="1:40" ht="16.15" customHeight="1" x14ac:dyDescent="0.25">
      <x:c r="C8" s="35">
        <x:f>IF(E8=0,"",HYPERLINK("H:\Projekte\Projekte aktuell\Sonstige Projekte\1139 - ENSET\AP09_Innolab\Akquise\Datenbank &amp; Liste\"&amp;E8&amp;"_"&amp;G8,E8&amp;"_"&amp;G8))</x:f>
      </x:c>
      <x:c r="D8" s="5">
        <x:f/>
      </x:c>
      <x:c r="E8" s="5">
        <x:f/>
      </x:c>
      <x:c r="F8" s="5">
        <x:f/>
      </x:c>
      <x:c r="G8" s="5">
        <x:f/>
      </x:c>
      <x:c r="H8" s="5">
        <x:f/>
      </x:c>
      <x:c r="I8" s="5">
        <x:f/>
      </x:c>
      <x:c r="J8" s="5">
        <x:f/>
      </x:c>
      <x:c r="K8" s="5">
        <x:f/>
      </x:c>
      <x:c r="L8" s="5">
        <x:f/>
      </x:c>
      <x:c r="M8" s="5">
        <x:f/>
      </x:c>
      <x:c r="N8" s="5">
        <x:f/>
      </x:c>
      <x:c r="O8" s="5">
        <x:f/>
      </x:c>
      <x:c r="P8" s="5">
        <x:f/>
      </x:c>
      <x:c r="Q8" s="5">
        <x:f/>
      </x:c>
      <x:c r="R8" s="5">
        <x:f/>
      </x:c>
      <x:c r="S8" s="5">
        <x:f/>
      </x:c>
      <x:c r="T8" s="5">
        <x:f/>
      </x:c>
      <x:c r="U8" s="5">
        <x:f/>
      </x:c>
      <x:c r="V8" s="5">
        <x:f/>
      </x:c>
      <x:c r="W8" s="0">
        <x:f/>
      </x:c>
      <x:c r="X8" s="0">
        <x:f/>
      </x:c>
      <x:c r="Y8" s="0">
        <x:f/>
      </x:c>
      <x:c r="Z8" s="0">
        <x:f/>
      </x:c>
    </x:row>
    <x:row r="9" spans="1:40" ht="16.15" customHeight="1" x14ac:dyDescent="0.25">
      <x:c r="A9" s="17" t="s">
        <x:v>4</x:v>
      </x:c>
      <x:c r="C9" s="35">
        <x:f>IF(E9=0,"",HYPERLINK("H:\Projekte\Projekte aktuell\Sonstige Projekte\1139 - ENSET\AP09_Innolab\Akquise\Datenbank &amp; Liste\"&amp;E9&amp;"_"&amp;G9,E9&amp;"_"&amp;G9))</x:f>
      </x:c>
      <x:c r="D9" s="5">
        <x:f/>
      </x:c>
      <x:c r="E9" s="5">
        <x:f/>
      </x:c>
      <x:c r="F9" s="5">
        <x:f/>
      </x:c>
      <x:c r="G9" s="5">
        <x:f/>
      </x:c>
      <x:c r="H9" s="5">
        <x:f/>
      </x:c>
      <x:c r="I9" s="5">
        <x:f/>
      </x:c>
      <x:c r="J9" s="5">
        <x:f/>
      </x:c>
      <x:c r="K9" s="5">
        <x:f/>
      </x:c>
      <x:c r="L9" s="5">
        <x:f/>
      </x:c>
      <x:c r="M9" s="5">
        <x:f/>
      </x:c>
      <x:c r="N9" s="5">
        <x:f/>
      </x:c>
      <x:c r="O9" s="5">
        <x:f/>
      </x:c>
      <x:c r="P9" s="5">
        <x:f/>
      </x:c>
      <x:c r="Q9" s="5">
        <x:f/>
      </x:c>
      <x:c r="R9" s="5">
        <x:f/>
      </x:c>
      <x:c r="S9" s="5">
        <x:f/>
      </x:c>
      <x:c r="T9" s="5">
        <x:f/>
      </x:c>
      <x:c r="U9" s="5">
        <x:f/>
      </x:c>
      <x:c r="V9" s="5">
        <x:f/>
      </x:c>
      <x:c r="W9" s="0">
        <x:f/>
      </x:c>
      <x:c r="X9" s="0">
        <x:f/>
      </x:c>
      <x:c r="Y9" s="0">
        <x:f/>
      </x:c>
      <x:c r="Z9" s="0">
        <x:f/>
      </x:c>
    </x:row>
    <x:row r="10" spans="1:40" ht="16.15" customHeight="1" x14ac:dyDescent="0.25">
      <x:c r="A10" s="0" t="s">
        <x:v>2</x:v>
      </x:c>
      <x:c r="C10" s="35">
        <x:f>IF(E10=0,"",HYPERLINK("H:\Projekte\Projekte aktuell\Sonstige Projekte\1139 - ENSET\AP09_Innolab\Akquise\Datenbank &amp; Liste\"&amp;E10&amp;"_"&amp;G10,E10&amp;"_"&amp;G10))</x:f>
      </x:c>
      <x:c r="D10" s="5">
        <x:f/>
      </x:c>
      <x:c r="E10" s="5">
        <x:f/>
      </x:c>
      <x:c r="F10" s="5">
        <x:f/>
      </x:c>
      <x:c r="G10" s="5">
        <x:f/>
      </x:c>
      <x:c r="H10" s="5">
        <x:f/>
      </x:c>
      <x:c r="I10" s="5">
        <x:f/>
      </x:c>
      <x:c r="J10" s="5">
        <x:f/>
      </x:c>
      <x:c r="K10" s="5">
        <x:f/>
      </x:c>
      <x:c r="L10" s="5">
        <x:f/>
      </x:c>
      <x:c r="M10" s="5">
        <x:f/>
      </x:c>
      <x:c r="N10" s="5">
        <x:f/>
      </x:c>
      <x:c r="O10" s="5">
        <x:f/>
      </x:c>
      <x:c r="P10" s="5">
        <x:f/>
      </x:c>
      <x:c r="Q10" s="5">
        <x:f/>
      </x:c>
      <x:c r="R10" s="5">
        <x:f/>
      </x:c>
      <x:c r="S10" s="5">
        <x:f/>
      </x:c>
      <x:c r="T10" s="5">
        <x:f/>
      </x:c>
      <x:c r="U10" s="5">
        <x:f/>
      </x:c>
      <x:c r="V10" s="5">
        <x:f/>
      </x:c>
      <x:c r="W10" s="0">
        <x:f/>
      </x:c>
      <x:c r="X10" s="0">
        <x:f/>
      </x:c>
      <x:c r="Y10" s="0">
        <x:f/>
      </x:c>
      <x:c r="Z10" s="0">
        <x:f/>
      </x:c>
    </x:row>
    <x:row r="11" spans="1:40" ht="16.15" customHeight="1" x14ac:dyDescent="0.25">
      <x:c r="A11" s="0" t="s">
        <x:v>5</x:v>
      </x:c>
      <x:c r="C11" s="35">
        <x:f>IF(E11=0,"",HYPERLINK("H:\Projekte\Projekte aktuell\Sonstige Projekte\1139 - ENSET\AP09_Innolab\Akquise\Datenbank &amp; Liste\"&amp;E11&amp;"_"&amp;G11,E11&amp;"_"&amp;G11))</x:f>
      </x:c>
      <x:c r="D11" s="5">
        <x:f/>
      </x:c>
      <x:c r="E11" s="5">
        <x:f/>
      </x:c>
      <x:c r="F11" s="5">
        <x:f/>
      </x:c>
      <x:c r="G11" s="5">
        <x:f/>
      </x:c>
      <x:c r="H11" s="5">
        <x:f/>
      </x:c>
      <x:c r="I11" s="5">
        <x:f/>
      </x:c>
      <x:c r="J11" s="5">
        <x:f/>
      </x:c>
      <x:c r="K11" s="5">
        <x:f/>
      </x:c>
      <x:c r="L11" s="5">
        <x:f/>
      </x:c>
      <x:c r="M11" s="5">
        <x:f/>
      </x:c>
      <x:c r="N11" s="5">
        <x:f/>
      </x:c>
      <x:c r="O11" s="5">
        <x:f/>
      </x:c>
      <x:c r="P11" s="5">
        <x:f/>
      </x:c>
      <x:c r="Q11" s="5">
        <x:f/>
      </x:c>
      <x:c r="R11" s="5">
        <x:f/>
      </x:c>
      <x:c r="S11" s="5">
        <x:f/>
      </x:c>
      <x:c r="T11" s="5">
        <x:f/>
      </x:c>
      <x:c r="U11" s="5">
        <x:f/>
      </x:c>
      <x:c r="V11" s="5">
        <x:f/>
      </x:c>
      <x:c r="W11" s="0">
        <x:f/>
      </x:c>
      <x:c r="X11" s="0">
        <x:f/>
      </x:c>
      <x:c r="Y11" s="0">
        <x:f/>
      </x:c>
      <x:c r="Z11" s="0">
        <x:f/>
      </x:c>
    </x:row>
    <x:row r="12" spans="1:40" ht="16.15" customHeight="1" x14ac:dyDescent="0.25">
      <x:c r="A12" s="0" t="s">
        <x:v>6</x:v>
      </x:c>
      <x:c r="C12" s="35">
        <x:f>IF(E12=0,"",HYPERLINK("H:\Projekte\Projekte aktuell\Sonstige Projekte\1139 - ENSET\AP09_Innolab\Akquise\Datenbank &amp; Liste\"&amp;E12&amp;"_"&amp;G12,E12&amp;"_"&amp;G12))</x:f>
      </x:c>
      <x:c r="D12" s="5">
        <x:f/>
      </x:c>
      <x:c r="E12" s="5">
        <x:f/>
      </x:c>
      <x:c r="F12" s="5">
        <x:f/>
      </x:c>
      <x:c r="G12" s="5">
        <x:f/>
      </x:c>
      <x:c r="H12" s="5">
        <x:f/>
      </x:c>
      <x:c r="I12" s="5">
        <x:f/>
      </x:c>
      <x:c r="J12" s="5">
        <x:f/>
      </x:c>
      <x:c r="K12" s="5">
        <x:f/>
      </x:c>
      <x:c r="L12" s="5">
        <x:f/>
      </x:c>
      <x:c r="M12" s="5">
        <x:f/>
      </x:c>
      <x:c r="N12" s="5">
        <x:f/>
      </x:c>
      <x:c r="O12" s="5">
        <x:f/>
      </x:c>
      <x:c r="P12" s="5">
        <x:f/>
      </x:c>
      <x:c r="Q12" s="5">
        <x:f/>
      </x:c>
      <x:c r="R12" s="5">
        <x:f/>
      </x:c>
      <x:c r="S12" s="5">
        <x:f/>
      </x:c>
      <x:c r="T12" s="5">
        <x:f/>
      </x:c>
      <x:c r="U12" s="5">
        <x:f/>
      </x:c>
      <x:c r="V12" s="5">
        <x:f/>
      </x:c>
      <x:c r="W12" s="0">
        <x:f/>
      </x:c>
      <x:c r="X12" s="0">
        <x:f/>
      </x:c>
      <x:c r="Y12" s="0">
        <x:f/>
      </x:c>
      <x:c r="Z12" s="0">
        <x:f/>
      </x:c>
    </x:row>
    <x:row r="13" spans="1:40" ht="16.15" customHeight="1" x14ac:dyDescent="0.25">
      <x:c r="A13" s="0" t="s">
        <x:v>7</x:v>
      </x:c>
      <x:c r="C13" s="35">
        <x:f>IF(E13=0,"",HYPERLINK("H:\Projekte\Projekte aktuell\Sonstige Projekte\1139 - ENSET\AP09_Innolab\Akquise\Datenbank &amp; Liste\"&amp;E13&amp;"_"&amp;G13,E13&amp;"_"&amp;G13))</x:f>
      </x:c>
      <x:c r="D13" s="5">
        <x:f/>
      </x:c>
      <x:c r="E13" s="5">
        <x:f/>
      </x:c>
      <x:c r="F13" s="5">
        <x:f/>
      </x:c>
      <x:c r="G13" s="5">
        <x:f/>
      </x:c>
      <x:c r="H13" s="5">
        <x:f/>
      </x:c>
      <x:c r="I13" s="5">
        <x:f/>
      </x:c>
      <x:c r="J13" s="5">
        <x:f/>
      </x:c>
      <x:c r="K13" s="5">
        <x:f/>
      </x:c>
      <x:c r="L13" s="5">
        <x:f/>
      </x:c>
      <x:c r="M13" s="5">
        <x:f/>
      </x:c>
      <x:c r="N13" s="5">
        <x:f/>
      </x:c>
      <x:c r="O13" s="5">
        <x:f/>
      </x:c>
      <x:c r="P13" s="5">
        <x:f/>
      </x:c>
      <x:c r="Q13" s="5">
        <x:f/>
      </x:c>
      <x:c r="R13" s="5">
        <x:f/>
      </x:c>
      <x:c r="S13" s="5">
        <x:f/>
      </x:c>
      <x:c r="T13" s="5">
        <x:f/>
      </x:c>
      <x:c r="U13" s="5">
        <x:f/>
      </x:c>
      <x:c r="V13" s="5">
        <x:f/>
      </x:c>
      <x:c r="W13" s="0">
        <x:f/>
      </x:c>
      <x:c r="X13" s="0">
        <x:f/>
      </x:c>
      <x:c r="Y13" s="0">
        <x:f/>
      </x:c>
      <x:c r="Z13" s="0">
        <x:f/>
      </x:c>
    </x:row>
    <x:row r="14" spans="1:40" ht="16.15" customHeight="1" x14ac:dyDescent="0.25">
      <x:c r="A14" s="0" t="s">
        <x:v>8</x:v>
      </x:c>
      <x:c r="C14" s="35">
        <x:f>IF(E14=0,"",HYPERLINK("H:\Projekte\Projekte aktuell\Sonstige Projekte\1139 - ENSET\AP09_Innolab\Akquise\Datenbank &amp; Liste\"&amp;E14&amp;"_"&amp;G14,E14&amp;"_"&amp;G14))</x:f>
      </x:c>
      <x:c r="D14" s="5">
        <x:f/>
      </x:c>
      <x:c r="E14" s="5">
        <x:f/>
      </x:c>
      <x:c r="F14" s="5">
        <x:f/>
      </x:c>
      <x:c r="G14" s="5">
        <x:f/>
      </x:c>
      <x:c r="H14" s="5">
        <x:f/>
      </x:c>
      <x:c r="I14" s="5">
        <x:f/>
      </x:c>
      <x:c r="J14" s="5">
        <x:f/>
      </x:c>
      <x:c r="K14" s="5">
        <x:f/>
      </x:c>
      <x:c r="L14" s="5">
        <x:f/>
      </x:c>
      <x:c r="M14" s="5">
        <x:f/>
      </x:c>
      <x:c r="N14" s="5">
        <x:f/>
      </x:c>
      <x:c r="O14" s="5">
        <x:f/>
      </x:c>
      <x:c r="P14" s="5">
        <x:f/>
      </x:c>
      <x:c r="Q14" s="5">
        <x:f/>
      </x:c>
      <x:c r="R14" s="5">
        <x:f/>
      </x:c>
      <x:c r="S14" s="5">
        <x:f/>
      </x:c>
      <x:c r="T14" s="5">
        <x:f/>
      </x:c>
      <x:c r="U14" s="5">
        <x:f/>
      </x:c>
      <x:c r="V14" s="5">
        <x:f/>
      </x:c>
      <x:c r="W14" s="0">
        <x:f/>
      </x:c>
      <x:c r="X14" s="0">
        <x:f/>
      </x:c>
      <x:c r="Y14" s="0">
        <x:f/>
      </x:c>
      <x:c r="Z14" s="0">
        <x:f/>
      </x:c>
    </x:row>
    <x:row r="15" spans="1:40" ht="16.15" customHeight="1" x14ac:dyDescent="0.25">
      <x:c r="A15" s="0" t="s">
        <x:v>9</x:v>
      </x:c>
      <x:c r="C15" s="35">
        <x:f>IF(E15=0,"",HYPERLINK("H:\Projekte\Projekte aktuell\Sonstige Projekte\1139 - ENSET\AP09_Innolab\Akquise\Datenbank &amp; Liste\"&amp;E15&amp;"_"&amp;G15,E15&amp;"_"&amp;G15))</x:f>
      </x:c>
      <x:c r="D15" s="5">
        <x:f/>
      </x:c>
      <x:c r="E15" s="5">
        <x:f/>
      </x:c>
      <x:c r="F15" s="5">
        <x:f/>
      </x:c>
      <x:c r="G15" s="5">
        <x:f/>
      </x:c>
      <x:c r="H15" s="5">
        <x:f/>
      </x:c>
      <x:c r="I15" s="5">
        <x:f/>
      </x:c>
      <x:c r="J15" s="5">
        <x:f/>
      </x:c>
      <x:c r="K15" s="5">
        <x:f/>
      </x:c>
      <x:c r="L15" s="5">
        <x:f/>
      </x:c>
      <x:c r="M15" s="5">
        <x:f/>
      </x:c>
      <x:c r="N15" s="5">
        <x:f/>
      </x:c>
      <x:c r="O15" s="5">
        <x:f/>
      </x:c>
      <x:c r="P15" s="5">
        <x:f/>
      </x:c>
      <x:c r="Q15" s="5">
        <x:f/>
      </x:c>
      <x:c r="R15" s="5">
        <x:f/>
      </x:c>
      <x:c r="S15" s="5">
        <x:f/>
      </x:c>
      <x:c r="T15" s="5">
        <x:f/>
      </x:c>
      <x:c r="U15" s="5">
        <x:f/>
      </x:c>
      <x:c r="V15" s="5">
        <x:f/>
      </x:c>
      <x:c r="W15" s="0">
        <x:f/>
      </x:c>
      <x:c r="X15" s="0">
        <x:f/>
      </x:c>
      <x:c r="Y15" s="0">
        <x:f/>
      </x:c>
      <x:c r="Z15" s="0">
        <x:f/>
      </x:c>
    </x:row>
    <x:row r="16" spans="1:40" ht="16.15" customHeight="1" x14ac:dyDescent="0.25">
      <x:c r="A16" s="0" t="s">
        <x:v>10</x:v>
      </x:c>
      <x:c r="C16" s="35">
        <x:f>IF(E16=0,"",HYPERLINK("H:\Projekte\Projekte aktuell\Sonstige Projekte\1139 - ENSET\AP09_Innolab\Akquise\Datenbank &amp; Liste\"&amp;E16&amp;"_"&amp;G16,E16&amp;"_"&amp;G16))</x:f>
      </x:c>
      <x:c r="D16" s="5">
        <x:f/>
      </x:c>
      <x:c r="E16" s="5">
        <x:f/>
      </x:c>
      <x:c r="F16" s="5">
        <x:f/>
      </x:c>
      <x:c r="G16" s="5">
        <x:f/>
      </x:c>
      <x:c r="H16" s="5">
        <x:f/>
      </x:c>
      <x:c r="I16" s="5">
        <x:f/>
      </x:c>
      <x:c r="J16" s="5">
        <x:f/>
      </x:c>
      <x:c r="K16" s="5">
        <x:f/>
      </x:c>
      <x:c r="L16" s="5">
        <x:f/>
      </x:c>
      <x:c r="M16" s="5">
        <x:f/>
      </x:c>
      <x:c r="N16" s="5">
        <x:f/>
      </x:c>
      <x:c r="O16" s="5">
        <x:f/>
      </x:c>
      <x:c r="P16" s="5">
        <x:f/>
      </x:c>
      <x:c r="Q16" s="5">
        <x:f/>
      </x:c>
      <x:c r="R16" s="5">
        <x:f/>
      </x:c>
      <x:c r="S16" s="5">
        <x:f/>
      </x:c>
      <x:c r="T16" s="5">
        <x:f/>
      </x:c>
      <x:c r="U16" s="5">
        <x:f/>
      </x:c>
      <x:c r="V16" s="5">
        <x:f/>
      </x:c>
      <x:c r="W16" s="0">
        <x:f/>
      </x:c>
      <x:c r="X16" s="0">
        <x:f/>
      </x:c>
      <x:c r="Y16" s="0">
        <x:f/>
      </x:c>
      <x:c r="Z16" s="0">
        <x:f/>
      </x:c>
    </x:row>
    <x:row r="17" spans="1:40" ht="16.15" customHeight="1" x14ac:dyDescent="0.25">
      <x:c r="A17" s="0" t="s">
        <x:v>11</x:v>
      </x:c>
      <x:c r="C17" s="35">
        <x:f>IF(E17=0,"",HYPERLINK("H:\Projekte\Projekte aktuell\Sonstige Projekte\1139 - ENSET\AP09_Innolab\Akquise\Datenbank &amp; Liste\"&amp;E17&amp;"_"&amp;G17,E17&amp;"_"&amp;G17))</x:f>
      </x:c>
      <x:c r="D17" s="5">
        <x:f/>
      </x:c>
      <x:c r="E17" s="5">
        <x:f/>
      </x:c>
      <x:c r="F17" s="5">
        <x:f/>
      </x:c>
      <x:c r="G17" s="5">
        <x:f/>
      </x:c>
      <x:c r="H17" s="5">
        <x:f/>
      </x:c>
      <x:c r="I17" s="5">
        <x:f/>
      </x:c>
      <x:c r="J17" s="5">
        <x:f/>
      </x:c>
      <x:c r="K17" s="5">
        <x:f/>
      </x:c>
      <x:c r="L17" s="5">
        <x:f/>
      </x:c>
      <x:c r="M17" s="5">
        <x:f/>
      </x:c>
      <x:c r="N17" s="5">
        <x:f/>
      </x:c>
      <x:c r="O17" s="5">
        <x:f/>
      </x:c>
      <x:c r="P17" s="5">
        <x:f/>
      </x:c>
      <x:c r="Q17" s="5">
        <x:f/>
      </x:c>
      <x:c r="R17" s="5">
        <x:f/>
      </x:c>
      <x:c r="S17" s="5">
        <x:f/>
      </x:c>
      <x:c r="T17" s="5">
        <x:f/>
      </x:c>
      <x:c r="U17" s="5">
        <x:f/>
      </x:c>
      <x:c r="V17" s="5">
        <x:f/>
      </x:c>
      <x:c r="W17" s="0">
        <x:f/>
      </x:c>
      <x:c r="X17" s="0">
        <x:f/>
      </x:c>
      <x:c r="Y17" s="0">
        <x:f/>
      </x:c>
      <x:c r="Z17" s="0">
        <x:f/>
      </x:c>
    </x:row>
    <x:row r="18" spans="1:40" ht="16.15" customHeight="1" x14ac:dyDescent="0.25">
      <x:c r="A18" s="0" t="s">
        <x:v>12</x:v>
      </x:c>
      <x:c r="C18" s="35">
        <x:f>IF(E18=0,"",HYPERLINK("H:\Projekte\Projekte aktuell\Sonstige Projekte\1139 - ENSET\AP09_Innolab\Akquise\Datenbank &amp; Liste\"&amp;E18&amp;"_"&amp;G18,E18&amp;"_"&amp;G18))</x:f>
      </x:c>
      <x:c r="D18" s="5">
        <x:f/>
      </x:c>
      <x:c r="E18" s="5">
        <x:f/>
      </x:c>
      <x:c r="F18" s="5">
        <x:f/>
      </x:c>
      <x:c r="G18" s="5">
        <x:f/>
      </x:c>
      <x:c r="H18" s="5">
        <x:f/>
      </x:c>
      <x:c r="I18" s="5">
        <x:f/>
      </x:c>
      <x:c r="J18" s="5">
        <x:f/>
      </x:c>
      <x:c r="K18" s="5">
        <x:f/>
      </x:c>
      <x:c r="L18" s="5">
        <x:f/>
      </x:c>
      <x:c r="M18" s="5">
        <x:f/>
      </x:c>
      <x:c r="N18" s="5">
        <x:f/>
      </x:c>
      <x:c r="O18" s="5">
        <x:f/>
      </x:c>
      <x:c r="P18" s="5">
        <x:f/>
      </x:c>
      <x:c r="Q18" s="5">
        <x:f/>
      </x:c>
      <x:c r="R18" s="5">
        <x:f/>
      </x:c>
      <x:c r="S18" s="5">
        <x:f/>
      </x:c>
      <x:c r="T18" s="5">
        <x:f/>
      </x:c>
      <x:c r="U18" s="5">
        <x:f/>
      </x:c>
      <x:c r="V18" s="5">
        <x:f/>
      </x:c>
      <x:c r="W18" s="0">
        <x:f/>
      </x:c>
      <x:c r="X18" s="0">
        <x:f/>
      </x:c>
      <x:c r="Y18" s="0">
        <x:f/>
      </x:c>
      <x:c r="Z18" s="0">
        <x:f/>
      </x:c>
    </x:row>
    <x:row r="19" spans="1:40" ht="16.15" customHeight="1" x14ac:dyDescent="0.25">
      <x:c r="C19" s="35">
        <x:f>IF(E19=0,"",HYPERLINK("H:\Projekte\Projekte aktuell\Sonstige Projekte\1139 - ENSET\AP09_Innolab\Akquise\Datenbank &amp; Liste\"&amp;E19&amp;"_"&amp;G19,E19&amp;"_"&amp;G19))</x:f>
      </x:c>
      <x:c r="D19" s="5">
        <x:f/>
      </x:c>
      <x:c r="E19" s="5">
        <x:f/>
      </x:c>
      <x:c r="F19" s="5">
        <x:f/>
      </x:c>
      <x:c r="G19" s="5">
        <x:f/>
      </x:c>
      <x:c r="H19" s="5">
        <x:f/>
      </x:c>
      <x:c r="I19" s="5">
        <x:f/>
      </x:c>
      <x:c r="J19" s="5">
        <x:f/>
      </x:c>
      <x:c r="K19" s="5">
        <x:f/>
      </x:c>
      <x:c r="L19" s="5">
        <x:f/>
      </x:c>
      <x:c r="M19" s="5">
        <x:f/>
      </x:c>
      <x:c r="N19" s="5">
        <x:f/>
      </x:c>
      <x:c r="O19" s="5">
        <x:f/>
      </x:c>
      <x:c r="P19" s="5">
        <x:f/>
      </x:c>
      <x:c r="Q19" s="5">
        <x:f/>
      </x:c>
      <x:c r="R19" s="5">
        <x:f/>
      </x:c>
      <x:c r="S19" s="5">
        <x:f/>
      </x:c>
      <x:c r="T19" s="5">
        <x:f/>
      </x:c>
      <x:c r="U19" s="5">
        <x:f/>
      </x:c>
      <x:c r="V19" s="5">
        <x:f/>
      </x:c>
      <x:c r="W19" s="0">
        <x:f/>
      </x:c>
      <x:c r="X19" s="0">
        <x:f/>
      </x:c>
      <x:c r="Y19" s="0">
        <x:f/>
      </x:c>
      <x:c r="Z19" s="0">
        <x:f/>
      </x:c>
    </x:row>
    <x:row r="20" spans="1:40" ht="16.15" customHeight="1" x14ac:dyDescent="0.25">
      <x:c r="A20" s="17" t="s">
        <x:v>13</x:v>
      </x:c>
      <x:c r="C20" s="35">
        <x:f>IF(E20=0,"",HYPERLINK("H:\Projekte\Projekte aktuell\Sonstige Projekte\1139 - ENSET\AP09_Innolab\Akquise\Datenbank &amp; Liste\"&amp;E20&amp;"_"&amp;G20,E20&amp;"_"&amp;G20))</x:f>
      </x:c>
      <x:c r="D20" s="5">
        <x:f/>
      </x:c>
      <x:c r="E20" s="5">
        <x:f/>
      </x:c>
      <x:c r="F20" s="5">
        <x:f/>
      </x:c>
      <x:c r="G20" s="5">
        <x:f/>
      </x:c>
      <x:c r="H20" s="5">
        <x:f/>
      </x:c>
      <x:c r="I20" s="5">
        <x:f/>
      </x:c>
      <x:c r="J20" s="5">
        <x:f/>
      </x:c>
      <x:c r="K20" s="5">
        <x:f/>
      </x:c>
      <x:c r="L20" s="5">
        <x:f/>
      </x:c>
      <x:c r="M20" s="5">
        <x:f/>
      </x:c>
      <x:c r="N20" s="5">
        <x:f/>
      </x:c>
      <x:c r="O20" s="5">
        <x:f/>
      </x:c>
      <x:c r="P20" s="5">
        <x:f/>
      </x:c>
      <x:c r="Q20" s="5">
        <x:f/>
      </x:c>
      <x:c r="R20" s="5">
        <x:f/>
      </x:c>
      <x:c r="S20" s="5">
        <x:f/>
      </x:c>
      <x:c r="T20" s="5">
        <x:f/>
      </x:c>
      <x:c r="U20" s="5">
        <x:f/>
      </x:c>
      <x:c r="V20" s="5">
        <x:f/>
      </x:c>
      <x:c r="W20" s="0">
        <x:f/>
      </x:c>
      <x:c r="X20" s="0">
        <x:f/>
      </x:c>
      <x:c r="Y20" s="0">
        <x:f/>
      </x:c>
      <x:c r="Z20" s="0">
        <x:f/>
      </x:c>
    </x:row>
    <x:row r="21" spans="1:40" ht="16.15" customHeight="1" x14ac:dyDescent="0.25">
      <x:c r="A21" s="13" t="s">
        <x:v>14</x:v>
      </x:c>
      <x:c r="C21" s="35">
        <x:f>IF(E21=0,"",HYPERLINK("H:\Projekte\Projekte aktuell\Sonstige Projekte\1139 - ENSET\AP09_Innolab\Akquise\Datenbank &amp; Liste\"&amp;E21&amp;"_"&amp;G21,E21&amp;"_"&amp;G21))</x:f>
      </x:c>
      <x:c r="D21" s="5">
        <x:f/>
      </x:c>
      <x:c r="E21" s="5">
        <x:f/>
      </x:c>
      <x:c r="F21" s="5">
        <x:f/>
      </x:c>
      <x:c r="G21" s="5">
        <x:f/>
      </x:c>
      <x:c r="H21" s="5">
        <x:f/>
      </x:c>
      <x:c r="I21" s="5">
        <x:f/>
      </x:c>
      <x:c r="J21" s="5">
        <x:f/>
      </x:c>
      <x:c r="K21" s="5">
        <x:f/>
      </x:c>
      <x:c r="L21" s="5">
        <x:f/>
      </x:c>
      <x:c r="M21" s="5">
        <x:f/>
      </x:c>
      <x:c r="N21" s="5">
        <x:f/>
      </x:c>
      <x:c r="O21" s="5">
        <x:f/>
      </x:c>
      <x:c r="P21" s="5">
        <x:f/>
      </x:c>
      <x:c r="Q21" s="5">
        <x:f/>
      </x:c>
      <x:c r="R21" s="5">
        <x:f/>
      </x:c>
      <x:c r="S21" s="5">
        <x:f/>
      </x:c>
      <x:c r="T21" s="5">
        <x:f/>
      </x:c>
      <x:c r="U21" s="5">
        <x:f/>
      </x:c>
      <x:c r="V21" s="5">
        <x:f/>
      </x:c>
      <x:c r="W21" s="0">
        <x:f/>
      </x:c>
      <x:c r="X21" s="0">
        <x:f/>
      </x:c>
      <x:c r="Y21" s="0">
        <x:f/>
      </x:c>
      <x:c r="Z21" s="0">
        <x:f/>
      </x:c>
    </x:row>
    <x:row r="22" spans="1:40" ht="16.15" customHeight="1" x14ac:dyDescent="0.25">
      <x:c r="C22" s="35">
        <x:f>IF(E22=0,"",HYPERLINK("H:\Projekte\Projekte aktuell\Sonstige Projekte\1139 - ENSET\AP09_Innolab\Akquise\Datenbank &amp; Liste\"&amp;E22&amp;"_"&amp;G22,E22&amp;"_"&amp;G22))</x:f>
      </x:c>
      <x:c r="D22" s="5">
        <x:f/>
      </x:c>
      <x:c r="E22" s="5">
        <x:f/>
      </x:c>
      <x:c r="F22" s="5">
        <x:f/>
      </x:c>
      <x:c r="G22" s="5">
        <x:f/>
      </x:c>
      <x:c r="H22" s="5">
        <x:f/>
      </x:c>
      <x:c r="I22" s="5">
        <x:f/>
      </x:c>
      <x:c r="J22" s="5">
        <x:f/>
      </x:c>
      <x:c r="K22" s="5">
        <x:f/>
      </x:c>
      <x:c r="L22" s="5">
        <x:f/>
      </x:c>
      <x:c r="M22" s="5">
        <x:f/>
      </x:c>
      <x:c r="N22" s="5">
        <x:f/>
      </x:c>
      <x:c r="O22" s="5">
        <x:f/>
      </x:c>
      <x:c r="P22" s="5">
        <x:f/>
      </x:c>
      <x:c r="Q22" s="5">
        <x:f/>
      </x:c>
      <x:c r="R22" s="5">
        <x:f/>
      </x:c>
      <x:c r="S22" s="5">
        <x:f/>
      </x:c>
      <x:c r="T22" s="5">
        <x:f/>
      </x:c>
      <x:c r="U22" s="5">
        <x:f/>
      </x:c>
      <x:c r="V22" s="5">
        <x:f/>
      </x:c>
      <x:c r="W22" s="0">
        <x:f/>
      </x:c>
      <x:c r="X22" s="0">
        <x:f/>
      </x:c>
      <x:c r="Y22" s="0">
        <x:f/>
      </x:c>
      <x:c r="Z22" s="0">
        <x:f/>
      </x:c>
    </x:row>
    <x:row r="23" spans="1:40" ht="16.15" customHeight="1" x14ac:dyDescent="0.25">
      <x:c r="A23" s="17" t="s">
        <x:v>15</x:v>
      </x:c>
      <x:c r="C23" s="35">
        <x:f>IF(E23=0,"",HYPERLINK("H:\Projekte\Projekte aktuell\Sonstige Projekte\1139 - ENSET\AP09_Innolab\Akquise\Datenbank &amp; Liste\"&amp;E23&amp;"_"&amp;G23,E23&amp;"_"&amp;G23))</x:f>
      </x:c>
      <x:c r="D23" s="5">
        <x:f/>
      </x:c>
      <x:c r="E23" s="5">
        <x:f/>
      </x:c>
      <x:c r="F23" s="5">
        <x:f/>
      </x:c>
      <x:c r="G23" s="5">
        <x:f/>
      </x:c>
      <x:c r="H23" s="5">
        <x:f/>
      </x:c>
      <x:c r="I23" s="5">
        <x:f/>
      </x:c>
      <x:c r="J23" s="5">
        <x:f/>
      </x:c>
      <x:c r="K23" s="5">
        <x:f/>
      </x:c>
      <x:c r="L23" s="5">
        <x:f/>
      </x:c>
      <x:c r="M23" s="5">
        <x:f/>
      </x:c>
      <x:c r="N23" s="5">
        <x:f/>
      </x:c>
      <x:c r="O23" s="5">
        <x:f/>
      </x:c>
      <x:c r="P23" s="5">
        <x:f/>
      </x:c>
      <x:c r="Q23" s="5">
        <x:f/>
      </x:c>
      <x:c r="R23" s="5">
        <x:f/>
      </x:c>
      <x:c r="S23" s="5">
        <x:f/>
      </x:c>
      <x:c r="T23" s="5">
        <x:f/>
      </x:c>
      <x:c r="U23" s="5">
        <x:f/>
      </x:c>
      <x:c r="V23" s="5">
        <x:f/>
      </x:c>
      <x:c r="W23" s="0">
        <x:f/>
      </x:c>
      <x:c r="X23" s="0">
        <x:f/>
      </x:c>
      <x:c r="Y23" s="0">
        <x:f/>
      </x:c>
      <x:c r="Z23" s="0">
        <x:f/>
      </x:c>
    </x:row>
    <x:row r="24" spans="1:40" ht="16.15" customHeight="1" x14ac:dyDescent="0.25">
      <x:c r="A24" s="0" t="s">
        <x:v>16</x:v>
      </x:c>
      <x:c r="C24" s="35">
        <x:f>IF(E24=0,"",HYPERLINK("H:\Projekte\Projekte aktuell\Sonstige Projekte\1139 - ENSET\AP09_Innolab\Akquise\Datenbank &amp; Liste\"&amp;E24&amp;"_"&amp;G24,E24&amp;"_"&amp;G24))</x:f>
      </x:c>
      <x:c r="D24" s="5">
        <x:f/>
      </x:c>
      <x:c r="E24" s="5">
        <x:f/>
      </x:c>
      <x:c r="F24" s="5">
        <x:f/>
      </x:c>
      <x:c r="G24" s="5">
        <x:f/>
      </x:c>
      <x:c r="H24" s="5">
        <x:f/>
      </x:c>
      <x:c r="I24" s="5">
        <x:f/>
      </x:c>
      <x:c r="J24" s="5">
        <x:f/>
      </x:c>
      <x:c r="K24" s="5">
        <x:f/>
      </x:c>
      <x:c r="L24" s="5">
        <x:f/>
      </x:c>
      <x:c r="M24" s="5">
        <x:f/>
      </x:c>
      <x:c r="N24" s="5">
        <x:f/>
      </x:c>
      <x:c r="O24" s="5">
        <x:f/>
      </x:c>
      <x:c r="P24" s="5">
        <x:f/>
      </x:c>
      <x:c r="Q24" s="5">
        <x:f/>
      </x:c>
      <x:c r="R24" s="5">
        <x:f/>
      </x:c>
      <x:c r="S24" s="5">
        <x:f/>
      </x:c>
      <x:c r="T24" s="5">
        <x:f/>
      </x:c>
      <x:c r="U24" s="5">
        <x:f/>
      </x:c>
      <x:c r="V24" s="5">
        <x:f/>
      </x:c>
      <x:c r="W24" s="0">
        <x:f/>
      </x:c>
      <x:c r="X24" s="0">
        <x:f/>
      </x:c>
      <x:c r="Y24" s="0">
        <x:f/>
      </x:c>
      <x:c r="Z24" s="0">
        <x:f/>
      </x:c>
    </x:row>
    <x:row r="25" spans="1:40" ht="16.15" customHeight="1" x14ac:dyDescent="0.25">
      <x:c r="A25" s="0" t="s">
        <x:v>17</x:v>
      </x:c>
      <x:c r="C25" s="35">
        <x:f>IF(E25=0,"",HYPERLINK("H:\Projekte\Projekte aktuell\Sonstige Projekte\1139 - ENSET\AP09_Innolab\Akquise\Datenbank &amp; Liste\"&amp;E25&amp;"_"&amp;G25,E25&amp;"_"&amp;G25))</x:f>
      </x:c>
      <x:c r="D25" s="5">
        <x:f/>
      </x:c>
      <x:c r="E25" s="5">
        <x:f/>
      </x:c>
      <x:c r="F25" s="5">
        <x:f/>
      </x:c>
      <x:c r="G25" s="5">
        <x:f/>
      </x:c>
      <x:c r="H25" s="5">
        <x:f/>
      </x:c>
      <x:c r="I25" s="5">
        <x:f/>
      </x:c>
      <x:c r="J25" s="5">
        <x:f/>
      </x:c>
      <x:c r="K25" s="5">
        <x:f/>
      </x:c>
      <x:c r="L25" s="5">
        <x:f/>
      </x:c>
      <x:c r="M25" s="5">
        <x:f/>
      </x:c>
      <x:c r="N25" s="5">
        <x:f/>
      </x:c>
      <x:c r="O25" s="5">
        <x:f/>
      </x:c>
      <x:c r="P25" s="5">
        <x:f/>
      </x:c>
      <x:c r="Q25" s="5">
        <x:f/>
      </x:c>
      <x:c r="R25" s="5">
        <x:f/>
      </x:c>
      <x:c r="S25" s="5">
        <x:f/>
      </x:c>
      <x:c r="T25" s="5">
        <x:f/>
      </x:c>
      <x:c r="U25" s="5">
        <x:f/>
      </x:c>
      <x:c r="V25" s="5">
        <x:f/>
      </x:c>
      <x:c r="W25" s="0">
        <x:f/>
      </x:c>
      <x:c r="X25" s="0">
        <x:f/>
      </x:c>
      <x:c r="Y25" s="0">
        <x:f/>
      </x:c>
      <x:c r="Z25" s="0">
        <x:f/>
      </x:c>
    </x:row>
    <x:row r="26" spans="1:40" ht="16.15" customHeight="1" x14ac:dyDescent="0.25">
      <x:c r="C26" s="35">
        <x:f>IF(E26=0,"",HYPERLINK("H:\Projekte\Projekte aktuell\Sonstige Projekte\1139 - ENSET\AP09_Innolab\Akquise\Datenbank &amp; Liste\"&amp;E26&amp;"_"&amp;G26,E26&amp;"_"&amp;G26))</x:f>
      </x:c>
      <x:c r="D26" s="5">
        <x:f/>
      </x:c>
      <x:c r="E26" s="5">
        <x:f/>
      </x:c>
      <x:c r="F26" s="5">
        <x:f/>
      </x:c>
      <x:c r="G26" s="5">
        <x:f/>
      </x:c>
      <x:c r="H26" s="5">
        <x:f/>
      </x:c>
      <x:c r="I26" s="5">
        <x:f/>
      </x:c>
      <x:c r="J26" s="5">
        <x:f/>
      </x:c>
      <x:c r="K26" s="5">
        <x:f/>
      </x:c>
      <x:c r="L26" s="5">
        <x:f/>
      </x:c>
      <x:c r="M26" s="5">
        <x:f/>
      </x:c>
      <x:c r="N26" s="5">
        <x:f/>
      </x:c>
      <x:c r="O26" s="5">
        <x:f/>
      </x:c>
      <x:c r="P26" s="5">
        <x:f/>
      </x:c>
      <x:c r="Q26" s="5">
        <x:f/>
      </x:c>
      <x:c r="R26" s="5">
        <x:f/>
      </x:c>
      <x:c r="S26" s="5">
        <x:f/>
      </x:c>
      <x:c r="T26" s="5">
        <x:f/>
      </x:c>
      <x:c r="U26" s="5">
        <x:f/>
      </x:c>
      <x:c r="V26" s="5">
        <x:f/>
      </x:c>
      <x:c r="W26" s="0">
        <x:f/>
      </x:c>
      <x:c r="X26" s="0">
        <x:f/>
      </x:c>
      <x:c r="Y26" s="0">
        <x:f/>
      </x:c>
      <x:c r="Z26" s="0">
        <x:f/>
      </x:c>
    </x:row>
    <x:row r="27" spans="1:40" ht="16.15" customHeight="1" x14ac:dyDescent="0.25">
      <x:c r="A27" s="17" t="s">
        <x:v>16</x:v>
      </x:c>
      <x:c r="C27" s="35">
        <x:f>IF(E27=0,"",HYPERLINK("H:\Projekte\Projekte aktuell\Sonstige Projekte\1139 - ENSET\AP09_Innolab\Akquise\Datenbank &amp; Liste\"&amp;E27&amp;"_"&amp;G27,E27&amp;"_"&amp;G27))</x:f>
      </x:c>
      <x:c r="D27" s="5">
        <x:f/>
      </x:c>
      <x:c r="E27" s="5">
        <x:f/>
      </x:c>
      <x:c r="F27" s="5">
        <x:f/>
      </x:c>
      <x:c r="G27" s="5">
        <x:f/>
      </x:c>
      <x:c r="H27" s="5">
        <x:f/>
      </x:c>
      <x:c r="I27" s="5">
        <x:f/>
      </x:c>
      <x:c r="J27" s="5">
        <x:f/>
      </x:c>
      <x:c r="K27" s="5">
        <x:f/>
      </x:c>
      <x:c r="L27" s="5">
        <x:f/>
      </x:c>
      <x:c r="M27" s="5">
        <x:f/>
      </x:c>
      <x:c r="N27" s="5">
        <x:f/>
      </x:c>
      <x:c r="O27" s="5">
        <x:f/>
      </x:c>
      <x:c r="P27" s="5">
        <x:f/>
      </x:c>
      <x:c r="Q27" s="5">
        <x:f/>
      </x:c>
      <x:c r="R27" s="5">
        <x:f/>
      </x:c>
      <x:c r="S27" s="5">
        <x:f/>
      </x:c>
      <x:c r="T27" s="5">
        <x:f/>
      </x:c>
      <x:c r="U27" s="5">
        <x:f/>
      </x:c>
      <x:c r="V27" s="5">
        <x:f/>
      </x:c>
      <x:c r="W27" s="0">
        <x:f/>
      </x:c>
      <x:c r="X27" s="0">
        <x:f/>
      </x:c>
      <x:c r="Y27" s="0">
        <x:f/>
      </x:c>
      <x:c r="Z27" s="0">
        <x:f/>
      </x:c>
    </x:row>
    <x:row r="28" spans="1:40" ht="16.15" customHeight="1" x14ac:dyDescent="0.25">
      <x:c r="A28" s="0" t="s">
        <x:v>18</x:v>
      </x:c>
      <x:c r="C28" s="35">
        <x:f>IF(E28=0,"",HYPERLINK("H:\Projekte\Projekte aktuell\Sonstige Projekte\1139 - ENSET\AP09_Innolab\Akquise\Datenbank &amp; Liste\"&amp;E28&amp;"_"&amp;G28,E28&amp;"_"&amp;G28))</x:f>
      </x:c>
      <x:c r="D28" s="5">
        <x:f/>
      </x:c>
      <x:c r="E28" s="5">
        <x:f/>
      </x:c>
      <x:c r="F28" s="5">
        <x:f/>
      </x:c>
      <x:c r="G28" s="5">
        <x:f/>
      </x:c>
      <x:c r="H28" s="5">
        <x:f/>
      </x:c>
      <x:c r="I28" s="5">
        <x:f/>
      </x:c>
      <x:c r="J28" s="5">
        <x:f/>
      </x:c>
      <x:c r="K28" s="5">
        <x:f/>
      </x:c>
      <x:c r="L28" s="5">
        <x:f/>
      </x:c>
      <x:c r="M28" s="5">
        <x:f/>
      </x:c>
      <x:c r="N28" s="5">
        <x:f/>
      </x:c>
      <x:c r="O28" s="5">
        <x:f/>
      </x:c>
      <x:c r="P28" s="5">
        <x:f/>
      </x:c>
      <x:c r="Q28" s="5">
        <x:f/>
      </x:c>
      <x:c r="R28" s="5">
        <x:f/>
      </x:c>
      <x:c r="S28" s="5">
        <x:f/>
      </x:c>
      <x:c r="T28" s="5">
        <x:f/>
      </x:c>
      <x:c r="U28" s="5">
        <x:f/>
      </x:c>
      <x:c r="V28" s="5">
        <x:f/>
      </x:c>
      <x:c r="W28" s="0">
        <x:f/>
      </x:c>
      <x:c r="X28" s="0">
        <x:f/>
      </x:c>
      <x:c r="Y28" s="0">
        <x:f/>
      </x:c>
      <x:c r="Z28" s="0">
        <x:f/>
      </x:c>
    </x:row>
    <x:row r="29" spans="1:40" ht="16.15" customHeight="1" x14ac:dyDescent="0.25">
      <x:c r="A29" s="0" t="s">
        <x:v>19</x:v>
      </x:c>
      <x:c r="C29" s="35">
        <x:f>IF(E29=0,"",HYPERLINK("H:\Projekte\Projekte aktuell\Sonstige Projekte\1139 - ENSET\AP09_Innolab\Akquise\Datenbank &amp; Liste\"&amp;E29&amp;"_"&amp;G29,E29&amp;"_"&amp;G29))</x:f>
      </x:c>
      <x:c r="D29" s="5">
        <x:f/>
      </x:c>
      <x:c r="E29" s="5">
        <x:f/>
      </x:c>
      <x:c r="F29" s="5">
        <x:f/>
      </x:c>
      <x:c r="G29" s="5">
        <x:f/>
      </x:c>
      <x:c r="H29" s="5">
        <x:f/>
      </x:c>
      <x:c r="I29" s="5">
        <x:f/>
      </x:c>
      <x:c r="J29" s="5">
        <x:f/>
      </x:c>
      <x:c r="K29" s="5">
        <x:f/>
      </x:c>
      <x:c r="L29" s="5">
        <x:f/>
      </x:c>
      <x:c r="M29" s="5">
        <x:f/>
      </x:c>
      <x:c r="N29" s="5">
        <x:f/>
      </x:c>
      <x:c r="O29" s="5">
        <x:f/>
      </x:c>
      <x:c r="P29" s="5">
        <x:f/>
      </x:c>
      <x:c r="Q29" s="5">
        <x:f/>
      </x:c>
      <x:c r="R29" s="5">
        <x:f/>
      </x:c>
      <x:c r="S29" s="5">
        <x:f/>
      </x:c>
      <x:c r="T29" s="5">
        <x:f/>
      </x:c>
      <x:c r="U29" s="5">
        <x:f/>
      </x:c>
      <x:c r="V29" s="5">
        <x:f/>
      </x:c>
      <x:c r="W29" s="0">
        <x:f/>
      </x:c>
      <x:c r="X29" s="0">
        <x:f/>
      </x:c>
      <x:c r="Y29" s="0">
        <x:f/>
      </x:c>
      <x:c r="Z29" s="0">
        <x:f/>
      </x:c>
    </x:row>
    <x:row r="30" spans="1:40" ht="16.15" customHeight="1" x14ac:dyDescent="0.25">
      <x:c r="A30" s="0" t="s">
        <x:v>20</x:v>
      </x:c>
      <x:c r="C30" s="35">
        <x:f>IF(E30=0,"",HYPERLINK("H:\Projekte\Projekte aktuell\Sonstige Projekte\1139 - ENSET\AP09_Innolab\Akquise\Datenbank &amp; Liste\"&amp;E30&amp;"_"&amp;G30,E30&amp;"_"&amp;G30))</x:f>
      </x:c>
      <x:c r="D30" s="5">
        <x:f/>
      </x:c>
      <x:c r="E30" s="5">
        <x:f/>
      </x:c>
      <x:c r="F30" s="5">
        <x:f/>
      </x:c>
      <x:c r="G30" s="5">
        <x:f/>
      </x:c>
      <x:c r="H30" s="5">
        <x:f/>
      </x:c>
      <x:c r="I30" s="5">
        <x:f/>
      </x:c>
      <x:c r="J30" s="5">
        <x:f/>
      </x:c>
      <x:c r="K30" s="5">
        <x:f/>
      </x:c>
      <x:c r="L30" s="5">
        <x:f/>
      </x:c>
      <x:c r="M30" s="5">
        <x:f/>
      </x:c>
      <x:c r="N30" s="5">
        <x:f/>
      </x:c>
      <x:c r="O30" s="5">
        <x:f/>
      </x:c>
      <x:c r="P30" s="5">
        <x:f/>
      </x:c>
      <x:c r="Q30" s="5">
        <x:f/>
      </x:c>
      <x:c r="R30" s="5">
        <x:f/>
      </x:c>
      <x:c r="S30" s="5">
        <x:f/>
      </x:c>
      <x:c r="T30" s="5">
        <x:f/>
      </x:c>
      <x:c r="U30" s="5">
        <x:f/>
      </x:c>
      <x:c r="V30" s="5">
        <x:f/>
      </x:c>
      <x:c r="W30" s="0">
        <x:f/>
      </x:c>
      <x:c r="X30" s="0">
        <x:f/>
      </x:c>
      <x:c r="Y30" s="0">
        <x:f/>
      </x:c>
      <x:c r="Z30" s="0">
        <x:f/>
      </x:c>
    </x:row>
    <x:row r="31" spans="1:40" ht="16.15" customHeight="1" x14ac:dyDescent="0.25">
      <x:c r="A31" s="0" t="s">
        <x:v>0</x:v>
      </x:c>
      <x:c r="C31" s="35">
        <x:f>IF(E31=0,"",HYPERLINK("H:\Projekte\Projekte aktuell\Sonstige Projekte\1139 - ENSET\AP09_Innolab\Akquise\Datenbank &amp; Liste\"&amp;E31&amp;"_"&amp;G31,E31&amp;"_"&amp;G31))</x:f>
      </x:c>
      <x:c r="D31" s="5">
        <x:f/>
      </x:c>
      <x:c r="E31" s="5">
        <x:f/>
      </x:c>
      <x:c r="F31" s="5">
        <x:f/>
      </x:c>
      <x:c r="G31" s="5">
        <x:f/>
      </x:c>
      <x:c r="H31" s="5">
        <x:f/>
      </x:c>
      <x:c r="I31" s="5">
        <x:f/>
      </x:c>
      <x:c r="J31" s="5">
        <x:f/>
      </x:c>
      <x:c r="K31" s="5">
        <x:f/>
      </x:c>
      <x:c r="L31" s="5">
        <x:f/>
      </x:c>
      <x:c r="M31" s="5">
        <x:f/>
      </x:c>
      <x:c r="N31" s="5">
        <x:f/>
      </x:c>
      <x:c r="O31" s="5">
        <x:f/>
      </x:c>
      <x:c r="P31" s="5">
        <x:f/>
      </x:c>
      <x:c r="Q31" s="5">
        <x:f/>
      </x:c>
      <x:c r="R31" s="5">
        <x:f/>
      </x:c>
      <x:c r="S31" s="5">
        <x:f/>
      </x:c>
      <x:c r="T31" s="5">
        <x:f/>
      </x:c>
      <x:c r="U31" s="5">
        <x:f/>
      </x:c>
      <x:c r="V31" s="5">
        <x:f/>
      </x:c>
      <x:c r="W31" s="0">
        <x:f/>
      </x:c>
      <x:c r="X31" s="0">
        <x:f/>
      </x:c>
      <x:c r="Y31" s="0">
        <x:f/>
      </x:c>
      <x:c r="Z31" s="0">
        <x:f/>
      </x:c>
    </x:row>
    <x:row r="32" spans="1:40" ht="16.15" customHeight="1" x14ac:dyDescent="0.25">
      <x:c r="A32" s="0" t="s">
        <x:v>21</x:v>
      </x:c>
      <x:c r="C32" s="35">
        <x:f>IF(E32=0,"",HYPERLINK("H:\Projekte\Projekte aktuell\Sonstige Projekte\1139 - ENSET\AP09_Innolab\Akquise\Datenbank &amp; Liste\"&amp;E32&amp;"_"&amp;G32,E32&amp;"_"&amp;G32))</x:f>
      </x:c>
      <x:c r="D32" s="5">
        <x:f/>
      </x:c>
      <x:c r="E32" s="5">
        <x:f/>
      </x:c>
      <x:c r="F32" s="5">
        <x:f/>
      </x:c>
      <x:c r="G32" s="5">
        <x:f/>
      </x:c>
      <x:c r="H32" s="5">
        <x:f/>
      </x:c>
      <x:c r="I32" s="5">
        <x:f/>
      </x:c>
      <x:c r="J32" s="5">
        <x:f/>
      </x:c>
      <x:c r="K32" s="5">
        <x:f/>
      </x:c>
      <x:c r="L32" s="5">
        <x:f/>
      </x:c>
      <x:c r="M32" s="5">
        <x:f/>
      </x:c>
      <x:c r="N32" s="5">
        <x:f/>
      </x:c>
      <x:c r="O32" s="5">
        <x:f/>
      </x:c>
      <x:c r="P32" s="5">
        <x:f/>
      </x:c>
      <x:c r="Q32" s="5">
        <x:f/>
      </x:c>
      <x:c r="R32" s="5">
        <x:f/>
      </x:c>
      <x:c r="S32" s="5">
        <x:f/>
      </x:c>
      <x:c r="T32" s="5">
        <x:f/>
      </x:c>
      <x:c r="U32" s="5">
        <x:f/>
      </x:c>
      <x:c r="V32" s="5">
        <x:f/>
      </x:c>
      <x:c r="W32" s="0">
        <x:f/>
      </x:c>
      <x:c r="X32" s="0">
        <x:f/>
      </x:c>
      <x:c r="Y32" s="0">
        <x:f/>
      </x:c>
      <x:c r="Z32" s="0">
        <x:f/>
      </x:c>
    </x:row>
    <x:row r="33" spans="1:40" ht="16.15" customHeight="1" x14ac:dyDescent="0.25">
      <x:c r="C33" s="35">
        <x:f>IF(E33=0,"",HYPERLINK("H:\Projekte\Projekte aktuell\Sonstige Projekte\1139 - ENSET\AP09_Innolab\Akquise\Datenbank &amp; Liste\"&amp;E33&amp;"_"&amp;G33,E33&amp;"_"&amp;G33))</x:f>
      </x:c>
      <x:c r="D33" s="5">
        <x:f/>
      </x:c>
      <x:c r="E33" s="5">
        <x:f/>
      </x:c>
      <x:c r="F33" s="5">
        <x:f/>
      </x:c>
      <x:c r="G33" s="5">
        <x:f/>
      </x:c>
      <x:c r="H33" s="5">
        <x:f/>
      </x:c>
      <x:c r="I33" s="5">
        <x:f/>
      </x:c>
      <x:c r="J33" s="5">
        <x:f/>
      </x:c>
      <x:c r="K33" s="5">
        <x:f/>
      </x:c>
      <x:c r="L33" s="5">
        <x:f/>
      </x:c>
      <x:c r="M33" s="5">
        <x:f/>
      </x:c>
      <x:c r="N33" s="5">
        <x:f/>
      </x:c>
      <x:c r="O33" s="5">
        <x:f/>
      </x:c>
      <x:c r="P33" s="5">
        <x:f/>
      </x:c>
      <x:c r="Q33" s="5">
        <x:f/>
      </x:c>
      <x:c r="R33" s="5">
        <x:f/>
      </x:c>
      <x:c r="S33" s="5">
        <x:f/>
      </x:c>
      <x:c r="T33" s="5">
        <x:f/>
      </x:c>
      <x:c r="U33" s="5">
        <x:f/>
      </x:c>
      <x:c r="V33" s="5">
        <x:f/>
      </x:c>
      <x:c r="W33" s="0">
        <x:f/>
      </x:c>
      <x:c r="X33" s="0">
        <x:f/>
      </x:c>
      <x:c r="Y33" s="0">
        <x:f/>
      </x:c>
      <x:c r="Z33" s="0">
        <x:f/>
      </x:c>
    </x:row>
    <x:row r="34" spans="1:40" ht="16.15" customHeight="1" x14ac:dyDescent="0.25">
      <x:c r="A34" s="17" t="s">
        <x:v>17</x:v>
      </x:c>
      <x:c r="C34" s="35">
        <x:f>IF(E34=0,"",HYPERLINK("H:\Projekte\Projekte aktuell\Sonstige Projekte\1139 - ENSET\AP09_Innolab\Akquise\Datenbank &amp; Liste\"&amp;E34&amp;"_"&amp;G34,E34&amp;"_"&amp;G34))</x:f>
      </x:c>
      <x:c r="D34" s="5">
        <x:f/>
      </x:c>
      <x:c r="E34" s="5">
        <x:f/>
      </x:c>
      <x:c r="F34" s="5">
        <x:f/>
      </x:c>
      <x:c r="G34" s="5">
        <x:f/>
      </x:c>
      <x:c r="H34" s="5">
        <x:f/>
      </x:c>
      <x:c r="I34" s="5">
        <x:f/>
      </x:c>
      <x:c r="J34" s="5">
        <x:f/>
      </x:c>
      <x:c r="K34" s="5">
        <x:f/>
      </x:c>
      <x:c r="L34" s="5">
        <x:f/>
      </x:c>
      <x:c r="M34" s="5">
        <x:f/>
      </x:c>
      <x:c r="N34" s="5">
        <x:f/>
      </x:c>
      <x:c r="O34" s="5">
        <x:f/>
      </x:c>
      <x:c r="P34" s="5">
        <x:f/>
      </x:c>
      <x:c r="Q34" s="5">
        <x:f/>
      </x:c>
      <x:c r="R34" s="5">
        <x:f/>
      </x:c>
      <x:c r="S34" s="5">
        <x:f/>
      </x:c>
      <x:c r="T34" s="5">
        <x:f/>
      </x:c>
      <x:c r="U34" s="5">
        <x:f/>
      </x:c>
      <x:c r="V34" s="5">
        <x:f/>
      </x:c>
      <x:c r="W34" s="0">
        <x:f/>
      </x:c>
      <x:c r="X34" s="0">
        <x:f/>
      </x:c>
      <x:c r="Y34" s="0">
        <x:f/>
      </x:c>
      <x:c r="Z34" s="0">
        <x:f/>
      </x:c>
    </x:row>
    <x:row r="35" spans="1:40" ht="16.15" customHeight="1" x14ac:dyDescent="0.25">
      <x:c r="A35" s="0" t="s">
        <x:v>22</x:v>
      </x:c>
      <x:c r="C35" s="35">
        <x:f>IF(E35=0,"",HYPERLINK("H:\Projekte\Projekte aktuell\Sonstige Projekte\1139 - ENSET\AP09_Innolab\Akquise\Datenbank &amp; Liste\"&amp;E35&amp;"_"&amp;G35,E35&amp;"_"&amp;G35))</x:f>
      </x:c>
      <x:c r="D35" s="5">
        <x:f/>
      </x:c>
      <x:c r="E35" s="5">
        <x:f/>
      </x:c>
      <x:c r="F35" s="5">
        <x:f/>
      </x:c>
      <x:c r="G35" s="5">
        <x:f/>
      </x:c>
      <x:c r="H35" s="5">
        <x:f/>
      </x:c>
      <x:c r="I35" s="5">
        <x:f/>
      </x:c>
      <x:c r="J35" s="5">
        <x:f/>
      </x:c>
      <x:c r="K35" s="5">
        <x:f/>
      </x:c>
      <x:c r="L35" s="5">
        <x:f/>
      </x:c>
      <x:c r="M35" s="5">
        <x:f/>
      </x:c>
      <x:c r="N35" s="5">
        <x:f/>
      </x:c>
      <x:c r="O35" s="5">
        <x:f/>
      </x:c>
      <x:c r="P35" s="5">
        <x:f/>
      </x:c>
      <x:c r="Q35" s="5">
        <x:f/>
      </x:c>
      <x:c r="R35" s="5">
        <x:f/>
      </x:c>
      <x:c r="S35" s="5">
        <x:f/>
      </x:c>
      <x:c r="T35" s="5">
        <x:f/>
      </x:c>
      <x:c r="U35" s="5">
        <x:f/>
      </x:c>
      <x:c r="V35" s="5">
        <x:f/>
      </x:c>
      <x:c r="W35" s="0">
        <x:f/>
      </x:c>
      <x:c r="X35" s="0">
        <x:f/>
      </x:c>
      <x:c r="Y35" s="0">
        <x:f/>
      </x:c>
      <x:c r="Z35" s="0">
        <x:f/>
      </x:c>
    </x:row>
    <x:row r="36" spans="1:40" ht="16.15" customHeight="1" x14ac:dyDescent="0.25">
      <x:c r="A36" s="0" t="s">
        <x:v>0</x:v>
      </x:c>
      <x:c r="C36" s="35">
        <x:f>IF(E36=0,"",HYPERLINK("H:\Projekte\Projekte aktuell\Sonstige Projekte\1139 - ENSET\AP09_Innolab\Akquise\Datenbank &amp; Liste\"&amp;E36&amp;"_"&amp;G36,E36&amp;"_"&amp;G36))</x:f>
      </x:c>
      <x:c r="D36" s="5">
        <x:f/>
      </x:c>
      <x:c r="E36" s="5">
        <x:f/>
      </x:c>
      <x:c r="F36" s="5">
        <x:f/>
      </x:c>
      <x:c r="G36" s="5">
        <x:f/>
      </x:c>
      <x:c r="H36" s="5">
        <x:f/>
      </x:c>
      <x:c r="I36" s="5">
        <x:f/>
      </x:c>
      <x:c r="J36" s="5">
        <x:f/>
      </x:c>
      <x:c r="K36" s="5">
        <x:f/>
      </x:c>
      <x:c r="L36" s="5">
        <x:f/>
      </x:c>
      <x:c r="M36" s="5">
        <x:f/>
      </x:c>
      <x:c r="N36" s="5">
        <x:f/>
      </x:c>
      <x:c r="O36" s="5">
        <x:f/>
      </x:c>
      <x:c r="P36" s="5">
        <x:f/>
      </x:c>
      <x:c r="Q36" s="5">
        <x:f/>
      </x:c>
      <x:c r="R36" s="5">
        <x:f/>
      </x:c>
      <x:c r="S36" s="5">
        <x:f/>
      </x:c>
      <x:c r="T36" s="5">
        <x:f/>
      </x:c>
      <x:c r="U36" s="5">
        <x:f/>
      </x:c>
      <x:c r="V36" s="5">
        <x:f/>
      </x:c>
      <x:c r="W36" s="0">
        <x:f/>
      </x:c>
      <x:c r="X36" s="0">
        <x:f/>
      </x:c>
      <x:c r="Y36" s="0">
        <x:f/>
      </x:c>
      <x:c r="Z36" s="0">
        <x:f/>
      </x:c>
    </x:row>
    <x:row r="37" spans="1:40" ht="16.15" customHeight="1" x14ac:dyDescent="0.25">
      <x:c r="A37" s="0" t="s">
        <x:v>21</x:v>
      </x:c>
      <x:c r="C37" s="35">
        <x:f>IF(E37=0,"",HYPERLINK("H:\Projekte\Projekte aktuell\Sonstige Projekte\1139 - ENSET\AP09_Innolab\Akquise\Datenbank &amp; Liste\"&amp;E37&amp;"_"&amp;G37,E37&amp;"_"&amp;G37))</x:f>
      </x:c>
      <x:c r="D37" s="5">
        <x:f/>
      </x:c>
      <x:c r="E37" s="5">
        <x:f/>
      </x:c>
      <x:c r="F37" s="5">
        <x:f/>
      </x:c>
      <x:c r="G37" s="5">
        <x:f/>
      </x:c>
      <x:c r="H37" s="5">
        <x:f/>
      </x:c>
      <x:c r="I37" s="5">
        <x:f/>
      </x:c>
      <x:c r="J37" s="5">
        <x:f/>
      </x:c>
      <x:c r="K37" s="5">
        <x:f/>
      </x:c>
      <x:c r="L37" s="5">
        <x:f/>
      </x:c>
      <x:c r="M37" s="5">
        <x:f/>
      </x:c>
      <x:c r="N37" s="5">
        <x:f/>
      </x:c>
      <x:c r="O37" s="5">
        <x:f/>
      </x:c>
      <x:c r="P37" s="5">
        <x:f/>
      </x:c>
      <x:c r="Q37" s="5">
        <x:f/>
      </x:c>
      <x:c r="R37" s="5">
        <x:f/>
      </x:c>
      <x:c r="S37" s="5">
        <x:f/>
      </x:c>
      <x:c r="T37" s="5">
        <x:f/>
      </x:c>
      <x:c r="U37" s="5">
        <x:f/>
      </x:c>
      <x:c r="V37" s="5">
        <x:f/>
      </x:c>
      <x:c r="W37" s="0">
        <x:f/>
      </x:c>
      <x:c r="X37" s="0">
        <x:f/>
      </x:c>
      <x:c r="Y37" s="0">
        <x:f/>
      </x:c>
      <x:c r="Z37" s="0">
        <x:f/>
      </x:c>
    </x:row>
    <x:row r="38" spans="1:40" ht="16.15" customHeight="1" x14ac:dyDescent="0.25">
      <x:c r="A38" s="0" t="s">
        <x:v>23</x:v>
      </x:c>
      <x:c r="C38" s="35">
        <x:f>IF(E38=0,"",HYPERLINK("H:\Projekte\Projekte aktuell\Sonstige Projekte\1139 - ENSET\AP09_Innolab\Akquise\Datenbank &amp; Liste\"&amp;E38&amp;"_"&amp;G38,E38&amp;"_"&amp;G38))</x:f>
      </x:c>
      <x:c r="D38" s="5">
        <x:f/>
      </x:c>
      <x:c r="E38" s="5">
        <x:f/>
      </x:c>
      <x:c r="F38" s="5">
        <x:f/>
      </x:c>
      <x:c r="G38" s="5">
        <x:f/>
      </x:c>
      <x:c r="H38" s="5">
        <x:f/>
      </x:c>
      <x:c r="I38" s="5">
        <x:f/>
      </x:c>
      <x:c r="J38" s="5">
        <x:f/>
      </x:c>
      <x:c r="K38" s="5">
        <x:f/>
      </x:c>
      <x:c r="L38" s="5">
        <x:f/>
      </x:c>
      <x:c r="M38" s="5">
        <x:f/>
      </x:c>
      <x:c r="N38" s="5">
        <x:f/>
      </x:c>
      <x:c r="O38" s="5">
        <x:f/>
      </x:c>
      <x:c r="P38" s="5">
        <x:f/>
      </x:c>
      <x:c r="Q38" s="5">
        <x:f/>
      </x:c>
      <x:c r="R38" s="5">
        <x:f/>
      </x:c>
      <x:c r="S38" s="5">
        <x:f/>
      </x:c>
      <x:c r="T38" s="5">
        <x:f/>
      </x:c>
      <x:c r="U38" s="5">
        <x:f/>
      </x:c>
      <x:c r="V38" s="5">
        <x:f/>
      </x:c>
      <x:c r="W38" s="0">
        <x:f/>
      </x:c>
      <x:c r="X38" s="0">
        <x:f/>
      </x:c>
      <x:c r="Y38" s="0">
        <x:f/>
      </x:c>
      <x:c r="Z38" s="0">
        <x:f/>
      </x:c>
    </x:row>
    <x:row r="39" spans="1:40" ht="16.15" customHeight="1" x14ac:dyDescent="0.25">
      <x:c r="A39" s="0" t="s">
        <x:v>24</x:v>
      </x:c>
      <x:c r="C39" s="35">
        <x:f>IF(E39=0,"",HYPERLINK("H:\Projekte\Projekte aktuell\Sonstige Projekte\1139 - ENSET\AP09_Innolab\Akquise\Datenbank &amp; Liste\"&amp;E39&amp;"_"&amp;G39,E39&amp;"_"&amp;G39))</x:f>
      </x:c>
      <x:c r="D39" s="5">
        <x:f/>
      </x:c>
      <x:c r="E39" s="5">
        <x:f/>
      </x:c>
      <x:c r="F39" s="5">
        <x:f/>
      </x:c>
      <x:c r="G39" s="5">
        <x:f/>
      </x:c>
      <x:c r="H39" s="5">
        <x:f/>
      </x:c>
      <x:c r="I39" s="5">
        <x:f/>
      </x:c>
      <x:c r="J39" s="5">
        <x:f/>
      </x:c>
      <x:c r="K39" s="5">
        <x:f/>
      </x:c>
      <x:c r="L39" s="5">
        <x:f/>
      </x:c>
      <x:c r="M39" s="5">
        <x:f/>
      </x:c>
      <x:c r="N39" s="5">
        <x:f/>
      </x:c>
      <x:c r="O39" s="5">
        <x:f/>
      </x:c>
      <x:c r="P39" s="5">
        <x:f/>
      </x:c>
      <x:c r="Q39" s="5">
        <x:f/>
      </x:c>
      <x:c r="R39" s="5">
        <x:f/>
      </x:c>
      <x:c r="S39" s="5">
        <x:f/>
      </x:c>
      <x:c r="T39" s="5">
        <x:f/>
      </x:c>
      <x:c r="U39" s="5">
        <x:f/>
      </x:c>
      <x:c r="V39" s="5">
        <x:f/>
      </x:c>
      <x:c r="W39" s="0">
        <x:f/>
      </x:c>
      <x:c r="X39" s="0">
        <x:f/>
      </x:c>
      <x:c r="Y39" s="0">
        <x:f/>
      </x:c>
      <x:c r="Z39" s="0">
        <x:f/>
      </x:c>
    </x:row>
    <x:row r="40" spans="1:40" ht="16.15" customHeight="1" x14ac:dyDescent="0.25">
      <x:c r="A40" s="0" t="s">
        <x:v>25</x:v>
      </x:c>
      <x:c r="C40" s="35">
        <x:f>IF(E40=0,"",HYPERLINK("H:\Projekte\Projekte aktuell\Sonstige Projekte\1139 - ENSET\AP09_Innolab\Akquise\Datenbank &amp; Liste\"&amp;E40&amp;"_"&amp;G40,E40&amp;"_"&amp;G40))</x:f>
      </x:c>
      <x:c r="D40" s="5">
        <x:f/>
      </x:c>
      <x:c r="E40" s="5">
        <x:f/>
      </x:c>
      <x:c r="F40" s="5">
        <x:f/>
      </x:c>
      <x:c r="G40" s="5">
        <x:f/>
      </x:c>
      <x:c r="H40" s="5">
        <x:f/>
      </x:c>
      <x:c r="I40" s="5">
        <x:f/>
      </x:c>
      <x:c r="J40" s="5">
        <x:f/>
      </x:c>
      <x:c r="K40" s="5">
        <x:f/>
      </x:c>
      <x:c r="L40" s="5">
        <x:f/>
      </x:c>
      <x:c r="M40" s="5">
        <x:f/>
      </x:c>
      <x:c r="N40" s="5">
        <x:f/>
      </x:c>
      <x:c r="O40" s="5">
        <x:f/>
      </x:c>
      <x:c r="P40" s="5">
        <x:f/>
      </x:c>
      <x:c r="Q40" s="5">
        <x:f/>
      </x:c>
      <x:c r="R40" s="5">
        <x:f/>
      </x:c>
      <x:c r="S40" s="5">
        <x:f/>
      </x:c>
      <x:c r="T40" s="5">
        <x:f/>
      </x:c>
      <x:c r="U40" s="5">
        <x:f/>
      </x:c>
      <x:c r="V40" s="5">
        <x:f/>
      </x:c>
      <x:c r="W40" s="0">
        <x:f/>
      </x:c>
      <x:c r="X40" s="0">
        <x:f/>
      </x:c>
      <x:c r="Y40" s="0">
        <x:f/>
      </x:c>
      <x:c r="Z40" s="0">
        <x:f/>
      </x:c>
    </x:row>
    <x:row r="41" spans="1:40" ht="16.15" customHeight="1" x14ac:dyDescent="0.25">
      <x:c r="C41" s="35">
        <x:f>IF(E41=0,"",HYPERLINK("H:\Projekte\Projekte aktuell\Sonstige Projekte\1139 - ENSET\AP09_Innolab\Akquise\Datenbank &amp; Liste\"&amp;E41&amp;"_"&amp;G41,E41&amp;"_"&amp;G41))</x:f>
      </x:c>
      <x:c r="D41" s="5">
        <x:f/>
      </x:c>
      <x:c r="E41" s="5">
        <x:f/>
      </x:c>
      <x:c r="F41" s="5">
        <x:f/>
      </x:c>
      <x:c r="G41" s="5">
        <x:f/>
      </x:c>
      <x:c r="H41" s="5">
        <x:f/>
      </x:c>
      <x:c r="I41" s="5">
        <x:f/>
      </x:c>
      <x:c r="J41" s="5">
        <x:f/>
      </x:c>
      <x:c r="K41" s="5">
        <x:f/>
      </x:c>
      <x:c r="L41" s="5">
        <x:f/>
      </x:c>
      <x:c r="M41" s="5">
        <x:f/>
      </x:c>
      <x:c r="N41" s="5">
        <x:f/>
      </x:c>
      <x:c r="O41" s="5">
        <x:f/>
      </x:c>
      <x:c r="P41" s="5">
        <x:f/>
      </x:c>
      <x:c r="Q41" s="5">
        <x:f/>
      </x:c>
      <x:c r="R41" s="5">
        <x:f/>
      </x:c>
      <x:c r="S41" s="5">
        <x:f/>
      </x:c>
      <x:c r="T41" s="5">
        <x:f/>
      </x:c>
      <x:c r="U41" s="5">
        <x:f/>
      </x:c>
      <x:c r="V41" s="5">
        <x:f/>
      </x:c>
      <x:c r="W41" s="0">
        <x:f/>
      </x:c>
      <x:c r="X41" s="0">
        <x:f/>
      </x:c>
      <x:c r="Y41" s="0">
        <x:f/>
      </x:c>
      <x:c r="Z41" s="0">
        <x:f/>
      </x:c>
    </x:row>
    <x:row r="42" spans="1:40" ht="16.15" customHeight="1" x14ac:dyDescent="0.25">
      <x:c r="C42" s="35">
        <x:f>IF(E42=0,"",HYPERLINK("H:\Projekte\Projekte aktuell\Sonstige Projekte\1139 - ENSET\AP09_Innolab\Akquise\Datenbank &amp; Liste\"&amp;E42&amp;"_"&amp;G42,E42&amp;"_"&amp;G42))</x:f>
      </x:c>
      <x:c r="D42" s="5">
        <x:f/>
      </x:c>
      <x:c r="E42" s="5">
        <x:f/>
      </x:c>
      <x:c r="F42" s="5">
        <x:f/>
      </x:c>
      <x:c r="G42" s="5">
        <x:f/>
      </x:c>
      <x:c r="H42" s="5">
        <x:f/>
      </x:c>
      <x:c r="I42" s="5">
        <x:f/>
      </x:c>
      <x:c r="J42" s="5">
        <x:f/>
      </x:c>
      <x:c r="K42" s="5">
        <x:f/>
      </x:c>
      <x:c r="L42" s="5">
        <x:f/>
      </x:c>
      <x:c r="M42" s="5">
        <x:f/>
      </x:c>
      <x:c r="N42" s="5">
        <x:f/>
      </x:c>
      <x:c r="O42" s="5">
        <x:f/>
      </x:c>
      <x:c r="P42" s="5">
        <x:f/>
      </x:c>
      <x:c r="Q42" s="5">
        <x:f/>
      </x:c>
      <x:c r="R42" s="5">
        <x:f/>
      </x:c>
      <x:c r="S42" s="5">
        <x:f/>
      </x:c>
      <x:c r="T42" s="5">
        <x:f/>
      </x:c>
      <x:c r="U42" s="5">
        <x:f/>
      </x:c>
      <x:c r="V42" s="5">
        <x:f/>
      </x:c>
      <x:c r="W42" s="0">
        <x:f/>
      </x:c>
      <x:c r="X42" s="0">
        <x:f/>
      </x:c>
      <x:c r="Y42" s="0">
        <x:f/>
      </x:c>
      <x:c r="Z42" s="0">
        <x:f/>
      </x:c>
    </x:row>
    <x:row r="43" spans="1:40" ht="16.15" customHeight="1" x14ac:dyDescent="0.25">
      <x:c r="C43" s="35">
        <x:f>IF(E43=0,"",HYPERLINK("H:\Projekte\Projekte aktuell\Sonstige Projekte\1139 - ENSET\AP09_Innolab\Akquise\Datenbank &amp; Liste\"&amp;E43&amp;"_"&amp;G43,E43&amp;"_"&amp;G43))</x:f>
      </x:c>
      <x:c r="D43" s="5">
        <x:f/>
      </x:c>
      <x:c r="E43" s="5">
        <x:f/>
      </x:c>
      <x:c r="F43" s="5">
        <x:f/>
      </x:c>
      <x:c r="G43" s="5">
        <x:f/>
      </x:c>
      <x:c r="H43" s="5">
        <x:f/>
      </x:c>
      <x:c r="I43" s="5">
        <x:f/>
      </x:c>
      <x:c r="J43" s="5">
        <x:f/>
      </x:c>
      <x:c r="K43" s="5">
        <x:f/>
      </x:c>
      <x:c r="L43" s="5">
        <x:f/>
      </x:c>
      <x:c r="M43" s="5">
        <x:f/>
      </x:c>
      <x:c r="N43" s="5">
        <x:f/>
      </x:c>
      <x:c r="O43" s="5">
        <x:f/>
      </x:c>
      <x:c r="P43" s="5">
        <x:f/>
      </x:c>
      <x:c r="Q43" s="5">
        <x:f/>
      </x:c>
      <x:c r="R43" s="5">
        <x:f/>
      </x:c>
      <x:c r="S43" s="5">
        <x:f/>
      </x:c>
      <x:c r="T43" s="5">
        <x:f/>
      </x:c>
      <x:c r="U43" s="5">
        <x:f/>
      </x:c>
      <x:c r="V43" s="5">
        <x:f/>
      </x:c>
      <x:c r="W43" s="0">
        <x:f/>
      </x:c>
      <x:c r="X43" s="0">
        <x:f/>
      </x:c>
      <x:c r="Y43" s="0">
        <x:f/>
      </x:c>
      <x:c r="Z43" s="0">
        <x:f/>
      </x:c>
    </x:row>
    <x:row r="44" spans="1:40" ht="16.15" customHeight="1" x14ac:dyDescent="0.25">
      <x:c r="C44" s="35">
        <x:f>IF(E44=0,"",HYPERLINK("H:\Projekte\Projekte aktuell\Sonstige Projekte\1139 - ENSET\AP09_Innolab\Akquise\Datenbank &amp; Liste\"&amp;E44&amp;"_"&amp;G44,E44&amp;"_"&amp;G44))</x:f>
      </x:c>
      <x:c r="D44" s="5">
        <x:f/>
      </x:c>
      <x:c r="E44" s="5">
        <x:f/>
      </x:c>
      <x:c r="F44" s="5">
        <x:f/>
      </x:c>
      <x:c r="G44" s="5">
        <x:f/>
      </x:c>
      <x:c r="H44" s="5">
        <x:f/>
      </x:c>
      <x:c r="I44" s="5">
        <x:f/>
      </x:c>
      <x:c r="J44" s="5">
        <x:f/>
      </x:c>
      <x:c r="K44" s="5">
        <x:f/>
      </x:c>
      <x:c r="L44" s="5">
        <x:f/>
      </x:c>
      <x:c r="M44" s="5">
        <x:f/>
      </x:c>
      <x:c r="N44" s="5">
        <x:f/>
      </x:c>
      <x:c r="O44" s="5">
        <x:f/>
      </x:c>
      <x:c r="P44" s="5">
        <x:f/>
      </x:c>
      <x:c r="Q44" s="5">
        <x:f/>
      </x:c>
      <x:c r="R44" s="5">
        <x:f/>
      </x:c>
      <x:c r="S44" s="5">
        <x:f/>
      </x:c>
      <x:c r="T44" s="5">
        <x:f/>
      </x:c>
      <x:c r="U44" s="5">
        <x:f/>
      </x:c>
      <x:c r="V44" s="5">
        <x:f/>
      </x:c>
      <x:c r="W44" s="0">
        <x:f/>
      </x:c>
      <x:c r="X44" s="0">
        <x:f/>
      </x:c>
      <x:c r="Y44" s="0">
        <x:f/>
      </x:c>
      <x:c r="Z44" s="0">
        <x:f/>
      </x:c>
    </x:row>
    <x:row r="45" spans="1:40" ht="16.15" customHeight="1" x14ac:dyDescent="0.25">
      <x:c r="C45" s="35">
        <x:f>IF(E45=0,"",HYPERLINK("H:\Projekte\Projekte aktuell\Sonstige Projekte\1139 - ENSET\AP09_Innolab\Akquise\Datenbank &amp; Liste\"&amp;E45&amp;"_"&amp;G45,E45&amp;"_"&amp;G45))</x:f>
      </x:c>
      <x:c r="D45" s="5">
        <x:f/>
      </x:c>
      <x:c r="E45" s="5">
        <x:f/>
      </x:c>
      <x:c r="F45" s="5">
        <x:f/>
      </x:c>
      <x:c r="G45" s="5">
        <x:f/>
      </x:c>
      <x:c r="H45" s="5">
        <x:f/>
      </x:c>
      <x:c r="I45" s="5">
        <x:f/>
      </x:c>
      <x:c r="J45" s="5">
        <x:f/>
      </x:c>
      <x:c r="K45" s="5">
        <x:f/>
      </x:c>
      <x:c r="L45" s="5">
        <x:f/>
      </x:c>
      <x:c r="M45" s="5">
        <x:f/>
      </x:c>
      <x:c r="N45" s="5">
        <x:f/>
      </x:c>
      <x:c r="O45" s="5">
        <x:f/>
      </x:c>
      <x:c r="P45" s="5">
        <x:f/>
      </x:c>
      <x:c r="Q45" s="5">
        <x:f/>
      </x:c>
      <x:c r="R45" s="5">
        <x:f/>
      </x:c>
      <x:c r="S45" s="5">
        <x:f/>
      </x:c>
      <x:c r="T45" s="5">
        <x:f/>
      </x:c>
      <x:c r="U45" s="5">
        <x:f/>
      </x:c>
      <x:c r="V45" s="5">
        <x:f/>
      </x:c>
      <x:c r="W45" s="0">
        <x:f/>
      </x:c>
      <x:c r="X45" s="0">
        <x:f/>
      </x:c>
      <x:c r="Y45" s="0">
        <x:f/>
      </x:c>
      <x:c r="Z45" s="0">
        <x:f/>
      </x:c>
    </x:row>
    <x:row r="46" spans="1:40" ht="16.15" customHeight="1" x14ac:dyDescent="0.25">
      <x:c r="C46" s="35">
        <x:f>IF(E46=0,"",HYPERLINK("H:\Projekte\Projekte aktuell\Sonstige Projekte\1139 - ENSET\AP09_Innolab\Akquise\Datenbank &amp; Liste\"&amp;E46&amp;"_"&amp;G46,E46&amp;"_"&amp;G46))</x:f>
      </x:c>
      <x:c r="D46" s="5">
        <x:f/>
      </x:c>
      <x:c r="E46" s="5">
        <x:f/>
      </x:c>
      <x:c r="F46" s="5">
        <x:f/>
      </x:c>
      <x:c r="G46" s="5">
        <x:f/>
      </x:c>
      <x:c r="H46" s="5">
        <x:f/>
      </x:c>
      <x:c r="I46" s="5">
        <x:f/>
      </x:c>
      <x:c r="J46" s="5">
        <x:f/>
      </x:c>
      <x:c r="K46" s="5">
        <x:f/>
      </x:c>
      <x:c r="L46" s="5">
        <x:f/>
      </x:c>
      <x:c r="M46" s="5">
        <x:f/>
      </x:c>
      <x:c r="N46" s="5">
        <x:f/>
      </x:c>
      <x:c r="O46" s="5">
        <x:f/>
      </x:c>
      <x:c r="P46" s="5">
        <x:f/>
      </x:c>
      <x:c r="Q46" s="5">
        <x:f/>
      </x:c>
      <x:c r="R46" s="5">
        <x:f/>
      </x:c>
      <x:c r="S46" s="5">
        <x:f/>
      </x:c>
      <x:c r="T46" s="5">
        <x:f/>
      </x:c>
      <x:c r="U46" s="5">
        <x:f/>
      </x:c>
      <x:c r="V46" s="5">
        <x:f/>
      </x:c>
      <x:c r="W46" s="0">
        <x:f/>
      </x:c>
      <x:c r="X46" s="0">
        <x:f/>
      </x:c>
      <x:c r="Y46" s="0">
        <x:f/>
      </x:c>
      <x:c r="Z46" s="0">
        <x:f/>
      </x:c>
    </x:row>
    <x:row r="47" spans="1:40" ht="16.15" customHeight="1" x14ac:dyDescent="0.25">
      <x:c r="C47" s="35">
        <x:f>IF(E47=0,"",HYPERLINK("H:\Projekte\Projekte aktuell\Sonstige Projekte\1139 - ENSET\AP09_Innolab\Akquise\Datenbank &amp; Liste\"&amp;E47&amp;"_"&amp;G47,E47&amp;"_"&amp;G47))</x:f>
      </x:c>
      <x:c r="D47" s="5">
        <x:f/>
      </x:c>
      <x:c r="E47" s="5">
        <x:f/>
      </x:c>
      <x:c r="F47" s="5">
        <x:f/>
      </x:c>
      <x:c r="G47" s="5">
        <x:f/>
      </x:c>
      <x:c r="H47" s="5">
        <x:f/>
      </x:c>
      <x:c r="I47" s="5">
        <x:f/>
      </x:c>
      <x:c r="J47" s="5">
        <x:f/>
      </x:c>
      <x:c r="K47" s="5">
        <x:f/>
      </x:c>
      <x:c r="L47" s="5">
        <x:f/>
      </x:c>
      <x:c r="M47" s="5">
        <x:f/>
      </x:c>
      <x:c r="N47" s="5">
        <x:f/>
      </x:c>
      <x:c r="O47" s="5">
        <x:f/>
      </x:c>
      <x:c r="P47" s="5">
        <x:f/>
      </x:c>
      <x:c r="Q47" s="5">
        <x:f/>
      </x:c>
      <x:c r="R47" s="5">
        <x:f/>
      </x:c>
      <x:c r="S47" s="5">
        <x:f/>
      </x:c>
      <x:c r="T47" s="5">
        <x:f/>
      </x:c>
      <x:c r="U47" s="5">
        <x:f/>
      </x:c>
      <x:c r="V47" s="5">
        <x:f/>
      </x:c>
      <x:c r="W47" s="0">
        <x:f/>
      </x:c>
      <x:c r="X47" s="0">
        <x:f/>
      </x:c>
      <x:c r="Y47" s="0">
        <x:f/>
      </x:c>
      <x:c r="Z47" s="0">
        <x:f/>
      </x:c>
    </x:row>
    <x:row r="48" spans="1:40" ht="16.15" customHeight="1" x14ac:dyDescent="0.25">
      <x:c r="C48" s="35">
        <x:f>IF(E48=0,"",HYPERLINK("H:\Projekte\Projekte aktuell\Sonstige Projekte\1139 - ENSET\AP09_Innolab\Akquise\Datenbank &amp; Liste\"&amp;E48&amp;"_"&amp;G48,E48&amp;"_"&amp;G48))</x:f>
      </x:c>
      <x:c r="D48" s="5">
        <x:f/>
      </x:c>
      <x:c r="E48" s="5">
        <x:f/>
      </x:c>
      <x:c r="F48" s="5">
        <x:f/>
      </x:c>
      <x:c r="G48" s="5">
        <x:f/>
      </x:c>
      <x:c r="H48" s="5">
        <x:f/>
      </x:c>
      <x:c r="I48" s="5">
        <x:f/>
      </x:c>
      <x:c r="J48" s="5">
        <x:f/>
      </x:c>
      <x:c r="K48" s="5">
        <x:f/>
      </x:c>
      <x:c r="L48" s="5">
        <x:f/>
      </x:c>
      <x:c r="M48" s="5">
        <x:f/>
      </x:c>
      <x:c r="N48" s="5">
        <x:f/>
      </x:c>
      <x:c r="O48" s="5">
        <x:f/>
      </x:c>
      <x:c r="P48" s="5">
        <x:f/>
      </x:c>
      <x:c r="Q48" s="5">
        <x:f/>
      </x:c>
      <x:c r="R48" s="5">
        <x:f/>
      </x:c>
      <x:c r="S48" s="5">
        <x:f/>
      </x:c>
      <x:c r="T48" s="5">
        <x:f/>
      </x:c>
      <x:c r="U48" s="5">
        <x:f/>
      </x:c>
      <x:c r="V48" s="5">
        <x:f/>
      </x:c>
      <x:c r="W48" s="0">
        <x:f/>
      </x:c>
      <x:c r="X48" s="0">
        <x:f/>
      </x:c>
      <x:c r="Y48" s="0">
        <x:f/>
      </x:c>
      <x:c r="Z48" s="0">
        <x:f/>
      </x:c>
    </x:row>
    <x:row r="49" spans="1:40" ht="16.15" customHeight="1" x14ac:dyDescent="0.25">
      <x:c r="C49" s="35">
        <x:f>IF(E49=0,"",HYPERLINK("H:\Projekte\Projekte aktuell\Sonstige Projekte\1139 - ENSET\AP09_Innolab\Akquise\Datenbank &amp; Liste\"&amp;E49&amp;"_"&amp;G49,E49&amp;"_"&amp;G49))</x:f>
      </x:c>
      <x:c r="D49" s="5">
        <x:f/>
      </x:c>
      <x:c r="E49" s="5">
        <x:f/>
      </x:c>
      <x:c r="F49" s="5">
        <x:f/>
      </x:c>
      <x:c r="G49" s="5">
        <x:f/>
      </x:c>
      <x:c r="H49" s="5">
        <x:f/>
      </x:c>
      <x:c r="I49" s="5">
        <x:f/>
      </x:c>
      <x:c r="J49" s="5">
        <x:f/>
      </x:c>
      <x:c r="K49" s="5">
        <x:f/>
      </x:c>
      <x:c r="L49" s="5">
        <x:f/>
      </x:c>
      <x:c r="M49" s="5">
        <x:f/>
      </x:c>
      <x:c r="N49" s="5">
        <x:f/>
      </x:c>
      <x:c r="O49" s="5">
        <x:f/>
      </x:c>
      <x:c r="P49" s="5">
        <x:f/>
      </x:c>
      <x:c r="Q49" s="5">
        <x:f/>
      </x:c>
      <x:c r="R49" s="5">
        <x:f/>
      </x:c>
      <x:c r="S49" s="5">
        <x:f/>
      </x:c>
      <x:c r="T49" s="5">
        <x:f/>
      </x:c>
      <x:c r="U49" s="5">
        <x:f/>
      </x:c>
      <x:c r="V49" s="5">
        <x:f/>
      </x:c>
      <x:c r="W49" s="0">
        <x:f/>
      </x:c>
      <x:c r="X49" s="0">
        <x:f/>
      </x:c>
      <x:c r="Y49" s="0">
        <x:f/>
      </x:c>
      <x:c r="Z49" s="0">
        <x:f/>
      </x:c>
    </x:row>
    <x:row r="50" spans="1:40" ht="16.15" customHeight="1" x14ac:dyDescent="0.25">
      <x:c r="C50" s="35">
        <x:f>IF(E50=0,"",HYPERLINK("H:\Projekte\Projekte aktuell\Sonstige Projekte\1139 - ENSET\AP09_Innolab\Akquise\Datenbank &amp; Liste\"&amp;E50&amp;"_"&amp;G50,E50&amp;"_"&amp;G50))</x:f>
      </x:c>
      <x:c r="D50" s="5">
        <x:f/>
      </x:c>
      <x:c r="E50" s="5">
        <x:f/>
      </x:c>
      <x:c r="F50" s="5">
        <x:f/>
      </x:c>
      <x:c r="G50" s="5">
        <x:f/>
      </x:c>
      <x:c r="H50" s="5">
        <x:f/>
      </x:c>
      <x:c r="I50" s="5">
        <x:f/>
      </x:c>
      <x:c r="J50" s="5">
        <x:f/>
      </x:c>
      <x:c r="K50" s="5">
        <x:f/>
      </x:c>
      <x:c r="L50" s="5">
        <x:f/>
      </x:c>
      <x:c r="M50" s="5">
        <x:f/>
      </x:c>
      <x:c r="N50" s="5">
        <x:f/>
      </x:c>
      <x:c r="O50" s="5">
        <x:f/>
      </x:c>
      <x:c r="P50" s="5">
        <x:f/>
      </x:c>
      <x:c r="Q50" s="5">
        <x:f/>
      </x:c>
      <x:c r="R50" s="5">
        <x:f/>
      </x:c>
      <x:c r="S50" s="5">
        <x:f/>
      </x:c>
      <x:c r="T50" s="5">
        <x:f/>
      </x:c>
      <x:c r="U50" s="5">
        <x:f/>
      </x:c>
      <x:c r="V50" s="5">
        <x:f/>
      </x:c>
      <x:c r="W50" s="0">
        <x:f/>
      </x:c>
      <x:c r="X50" s="0">
        <x:f/>
      </x:c>
      <x:c r="Y50" s="0">
        <x:f/>
      </x:c>
      <x:c r="Z50" s="0">
        <x:f/>
      </x:c>
    </x:row>
    <x:row r="51" spans="1:40" ht="16.15" customHeight="1" x14ac:dyDescent="0.25">
      <x:c r="C51" s="35">
        <x:f>IF(E51=0,"",HYPERLINK("H:\Projekte\Projekte aktuell\Sonstige Projekte\1139 - ENSET\AP09_Innolab\Akquise\Datenbank &amp; Liste\"&amp;E51&amp;"_"&amp;G51,E51&amp;"_"&amp;G51))</x:f>
      </x:c>
      <x:c r="D51" s="5">
        <x:f/>
      </x:c>
      <x:c r="E51" s="5">
        <x:f/>
      </x:c>
      <x:c r="F51" s="5">
        <x:f/>
      </x:c>
      <x:c r="G51" s="5">
        <x:f/>
      </x:c>
      <x:c r="H51" s="5">
        <x:f/>
      </x:c>
      <x:c r="I51" s="5">
        <x:f/>
      </x:c>
      <x:c r="J51" s="5">
        <x:f/>
      </x:c>
      <x:c r="K51" s="5">
        <x:f/>
      </x:c>
      <x:c r="L51" s="5">
        <x:f/>
      </x:c>
      <x:c r="M51" s="5">
        <x:f/>
      </x:c>
      <x:c r="N51" s="5">
        <x:f/>
      </x:c>
      <x:c r="O51" s="5">
        <x:f/>
      </x:c>
      <x:c r="P51" s="5">
        <x:f/>
      </x:c>
      <x:c r="Q51" s="5">
        <x:f/>
      </x:c>
      <x:c r="R51" s="5">
        <x:f/>
      </x:c>
      <x:c r="S51" s="5">
        <x:f/>
      </x:c>
      <x:c r="T51" s="5">
        <x:f/>
      </x:c>
      <x:c r="U51" s="5">
        <x:f/>
      </x:c>
      <x:c r="V51" s="5">
        <x:f/>
      </x:c>
      <x:c r="W51" s="0">
        <x:f/>
      </x:c>
      <x:c r="X51" s="0">
        <x:f/>
      </x:c>
      <x:c r="Y51" s="0">
        <x:f/>
      </x:c>
      <x:c r="Z51" s="0">
        <x:f/>
      </x:c>
    </x:row>
    <x:row r="52" spans="1:40" ht="16.15" customHeight="1" x14ac:dyDescent="0.25">
      <x:c r="C52" s="35">
        <x:f>IF(E52=0,"",HYPERLINK("H:\Projekte\Projekte aktuell\Sonstige Projekte\1139 - ENSET\AP09_Innolab\Akquise\Datenbank &amp; Liste\"&amp;E52&amp;"_"&amp;G52,E52&amp;"_"&amp;G52))</x:f>
      </x:c>
      <x:c r="D52" s="5">
        <x:f/>
      </x:c>
      <x:c r="E52" s="5">
        <x:f/>
      </x:c>
      <x:c r="F52" s="5">
        <x:f/>
      </x:c>
      <x:c r="G52" s="5">
        <x:f/>
      </x:c>
      <x:c r="H52" s="5">
        <x:f/>
      </x:c>
      <x:c r="I52" s="5">
        <x:f/>
      </x:c>
      <x:c r="J52" s="5">
        <x:f/>
      </x:c>
      <x:c r="K52" s="5">
        <x:f/>
      </x:c>
      <x:c r="L52" s="5">
        <x:f/>
      </x:c>
      <x:c r="M52" s="5">
        <x:f/>
      </x:c>
      <x:c r="N52" s="5">
        <x:f/>
      </x:c>
      <x:c r="O52" s="5">
        <x:f/>
      </x:c>
      <x:c r="P52" s="5">
        <x:f/>
      </x:c>
      <x:c r="Q52" s="5">
        <x:f/>
      </x:c>
      <x:c r="R52" s="5">
        <x:f/>
      </x:c>
      <x:c r="S52" s="5">
        <x:f/>
      </x:c>
      <x:c r="T52" s="5">
        <x:f/>
      </x:c>
      <x:c r="U52" s="5">
        <x:f/>
      </x:c>
      <x:c r="V52" s="5">
        <x:f/>
      </x:c>
      <x:c r="W52" s="0">
        <x:f/>
      </x:c>
      <x:c r="X52" s="0">
        <x:f/>
      </x:c>
      <x:c r="Y52" s="0">
        <x:f/>
      </x:c>
      <x:c r="Z52" s="0">
        <x:f/>
      </x:c>
    </x:row>
    <x:row r="53" spans="1:40" ht="16.15" customHeight="1" x14ac:dyDescent="0.25">
      <x:c r="C53" s="35">
        <x:f>IF(E53=0,"",HYPERLINK("H:\Projekte\Projekte aktuell\Sonstige Projekte\1139 - ENSET\AP09_Innolab\Akquise\Datenbank &amp; Liste\"&amp;E53&amp;"_"&amp;G53,E53&amp;"_"&amp;G53))</x:f>
      </x:c>
      <x:c r="D53" s="5">
        <x:f/>
      </x:c>
      <x:c r="E53" s="5">
        <x:f/>
      </x:c>
      <x:c r="F53" s="5">
        <x:f/>
      </x:c>
      <x:c r="G53" s="5">
        <x:f/>
      </x:c>
      <x:c r="H53" s="5">
        <x:f/>
      </x:c>
      <x:c r="I53" s="5">
        <x:f/>
      </x:c>
      <x:c r="J53" s="5">
        <x:f/>
      </x:c>
      <x:c r="K53" s="5">
        <x:f/>
      </x:c>
      <x:c r="L53" s="5">
        <x:f/>
      </x:c>
      <x:c r="M53" s="5">
        <x:f/>
      </x:c>
      <x:c r="N53" s="5">
        <x:f/>
      </x:c>
      <x:c r="O53" s="5">
        <x:f/>
      </x:c>
      <x:c r="P53" s="5">
        <x:f/>
      </x:c>
      <x:c r="Q53" s="5">
        <x:f/>
      </x:c>
      <x:c r="R53" s="5">
        <x:f/>
      </x:c>
      <x:c r="S53" s="5">
        <x:f/>
      </x:c>
      <x:c r="T53" s="5">
        <x:f/>
      </x:c>
      <x:c r="U53" s="5">
        <x:f/>
      </x:c>
      <x:c r="V53" s="5">
        <x:f/>
      </x:c>
      <x:c r="W53" s="0">
        <x:f/>
      </x:c>
      <x:c r="X53" s="0">
        <x:f/>
      </x:c>
      <x:c r="Y53" s="0">
        <x:f/>
      </x:c>
      <x:c r="Z53" s="0">
        <x:f/>
      </x:c>
    </x:row>
    <x:row r="54" spans="1:40" ht="16.15" customHeight="1" x14ac:dyDescent="0.25">
      <x:c r="C54" s="35">
        <x:f>IF(E54=0,"",HYPERLINK("H:\Projekte\Projekte aktuell\Sonstige Projekte\1139 - ENSET\AP09_Innolab\Akquise\Datenbank &amp; Liste\"&amp;E54&amp;"_"&amp;G54,E54&amp;"_"&amp;G54))</x:f>
      </x:c>
      <x:c r="D54" s="5">
        <x:f/>
      </x:c>
      <x:c r="E54" s="5">
        <x:f/>
      </x:c>
      <x:c r="F54" s="5">
        <x:f/>
      </x:c>
      <x:c r="G54" s="5">
        <x:f/>
      </x:c>
      <x:c r="H54" s="5">
        <x:f/>
      </x:c>
      <x:c r="I54" s="5">
        <x:f/>
      </x:c>
      <x:c r="J54" s="5">
        <x:f/>
      </x:c>
      <x:c r="K54" s="5">
        <x:f/>
      </x:c>
      <x:c r="L54" s="5">
        <x:f/>
      </x:c>
      <x:c r="M54" s="5">
        <x:f/>
      </x:c>
      <x:c r="N54" s="5">
        <x:f/>
      </x:c>
      <x:c r="O54" s="5">
        <x:f/>
      </x:c>
      <x:c r="P54" s="5">
        <x:f/>
      </x:c>
      <x:c r="Q54" s="5">
        <x:f/>
      </x:c>
      <x:c r="R54" s="5">
        <x:f/>
      </x:c>
      <x:c r="S54" s="5">
        <x:f/>
      </x:c>
      <x:c r="T54" s="5">
        <x:f/>
      </x:c>
      <x:c r="U54" s="5">
        <x:f/>
      </x:c>
      <x:c r="V54" s="5">
        <x:f/>
      </x:c>
      <x:c r="W54" s="0">
        <x:f/>
      </x:c>
      <x:c r="X54" s="0">
        <x:f/>
      </x:c>
      <x:c r="Y54" s="0">
        <x:f/>
      </x:c>
      <x:c r="Z54" s="0">
        <x:f/>
      </x:c>
    </x:row>
    <x:row r="55" spans="1:40" ht="16.15" customHeight="1" x14ac:dyDescent="0.25">
      <x:c r="C55" s="35">
        <x:f>IF(E55=0,"",HYPERLINK("H:\Projekte\Projekte aktuell\Sonstige Projekte\1139 - ENSET\AP09_Innolab\Akquise\Datenbank &amp; Liste\"&amp;E55&amp;"_"&amp;G55,E55&amp;"_"&amp;G55))</x:f>
      </x:c>
      <x:c r="D55" s="5">
        <x:f/>
      </x:c>
      <x:c r="E55" s="5">
        <x:f/>
      </x:c>
      <x:c r="F55" s="5">
        <x:f/>
      </x:c>
      <x:c r="G55" s="5">
        <x:f/>
      </x:c>
      <x:c r="H55" s="5">
        <x:f/>
      </x:c>
      <x:c r="I55" s="5">
        <x:f/>
      </x:c>
      <x:c r="J55" s="5">
        <x:f/>
      </x:c>
      <x:c r="K55" s="5">
        <x:f/>
      </x:c>
      <x:c r="L55" s="5">
        <x:f/>
      </x:c>
      <x:c r="M55" s="5">
        <x:f/>
      </x:c>
      <x:c r="N55" s="5">
        <x:f/>
      </x:c>
      <x:c r="O55" s="5">
        <x:f/>
      </x:c>
      <x:c r="P55" s="5">
        <x:f/>
      </x:c>
      <x:c r="Q55" s="5">
        <x:f/>
      </x:c>
      <x:c r="R55" s="5">
        <x:f/>
      </x:c>
      <x:c r="S55" s="5">
        <x:f/>
      </x:c>
      <x:c r="T55" s="5">
        <x:f/>
      </x:c>
      <x:c r="U55" s="5">
        <x:f/>
      </x:c>
      <x:c r="V55" s="5">
        <x:f/>
      </x:c>
      <x:c r="W55" s="0">
        <x:f/>
      </x:c>
      <x:c r="X55" s="0">
        <x:f/>
      </x:c>
      <x:c r="Y55" s="0">
        <x:f/>
      </x:c>
      <x:c r="Z55" s="0">
        <x:f/>
      </x:c>
    </x:row>
    <x:row r="56" spans="1:40" ht="16.15" customHeight="1" x14ac:dyDescent="0.25">
      <x:c r="C56" s="35">
        <x:f>IF(E56=0,"",HYPERLINK("H:\Projekte\Projekte aktuell\Sonstige Projekte\1139 - ENSET\AP09_Innolab\Akquise\Datenbank &amp; Liste\"&amp;E56&amp;"_"&amp;G56,E56&amp;"_"&amp;G56))</x:f>
      </x:c>
      <x:c r="D56" s="5">
        <x:f/>
      </x:c>
      <x:c r="E56" s="5">
        <x:f/>
      </x:c>
      <x:c r="F56" s="5">
        <x:f/>
      </x:c>
      <x:c r="G56" s="5">
        <x:f/>
      </x:c>
      <x:c r="H56" s="5">
        <x:f/>
      </x:c>
      <x:c r="I56" s="5">
        <x:f/>
      </x:c>
      <x:c r="J56" s="5">
        <x:f/>
      </x:c>
      <x:c r="K56" s="5">
        <x:f/>
      </x:c>
      <x:c r="L56" s="5">
        <x:f/>
      </x:c>
      <x:c r="M56" s="5">
        <x:f/>
      </x:c>
      <x:c r="N56" s="5">
        <x:f/>
      </x:c>
      <x:c r="O56" s="5">
        <x:f/>
      </x:c>
      <x:c r="P56" s="5">
        <x:f/>
      </x:c>
      <x:c r="Q56" s="5">
        <x:f/>
      </x:c>
      <x:c r="R56" s="5">
        <x:f/>
      </x:c>
      <x:c r="S56" s="5">
        <x:f/>
      </x:c>
      <x:c r="T56" s="5">
        <x:f/>
      </x:c>
      <x:c r="U56" s="5">
        <x:f/>
      </x:c>
      <x:c r="V56" s="5">
        <x:f/>
      </x:c>
      <x:c r="W56" s="0">
        <x:f/>
      </x:c>
      <x:c r="X56" s="0">
        <x:f/>
      </x:c>
      <x:c r="Y56" s="0">
        <x:f/>
      </x:c>
      <x:c r="Z56" s="0">
        <x:f/>
      </x:c>
    </x:row>
    <x:row r="57" spans="1:40" ht="16.15" customHeight="1" x14ac:dyDescent="0.25">
      <x:c r="C57" s="35">
        <x:f>IF(E57=0,"",HYPERLINK("H:\Projekte\Projekte aktuell\Sonstige Projekte\1139 - ENSET\AP09_Innolab\Akquise\Datenbank &amp; Liste\"&amp;E57&amp;"_"&amp;G57,E57&amp;"_"&amp;G57))</x:f>
      </x:c>
      <x:c r="D57" s="5">
        <x:f/>
      </x:c>
      <x:c r="E57" s="5">
        <x:f/>
      </x:c>
      <x:c r="F57" s="5">
        <x:f/>
      </x:c>
      <x:c r="G57" s="5">
        <x:f/>
      </x:c>
      <x:c r="H57" s="5">
        <x:f/>
      </x:c>
      <x:c r="I57" s="5">
        <x:f/>
      </x:c>
      <x:c r="J57" s="5">
        <x:f/>
      </x:c>
      <x:c r="K57" s="5">
        <x:f/>
      </x:c>
      <x:c r="L57" s="5">
        <x:f/>
      </x:c>
      <x:c r="M57" s="5">
        <x:f/>
      </x:c>
      <x:c r="N57" s="5">
        <x:f/>
      </x:c>
      <x:c r="O57" s="5">
        <x:f/>
      </x:c>
      <x:c r="P57" s="5">
        <x:f/>
      </x:c>
      <x:c r="Q57" s="5">
        <x:f/>
      </x:c>
      <x:c r="R57" s="5">
        <x:f/>
      </x:c>
      <x:c r="S57" s="5">
        <x:f/>
      </x:c>
      <x:c r="T57" s="5">
        <x:f/>
      </x:c>
      <x:c r="U57" s="5">
        <x:f/>
      </x:c>
      <x:c r="V57" s="5">
        <x:f/>
      </x:c>
      <x:c r="W57" s="0">
        <x:f/>
      </x:c>
      <x:c r="X57" s="0">
        <x:f/>
      </x:c>
      <x:c r="Y57" s="0">
        <x:f/>
      </x:c>
      <x:c r="Z57" s="0">
        <x:f/>
      </x:c>
    </x:row>
    <x:row r="58" spans="1:40" ht="16.15" customHeight="1" x14ac:dyDescent="0.25">
      <x:c r="C58" s="35">
        <x:f>IF(E58=0,"",HYPERLINK("H:\Projekte\Projekte aktuell\Sonstige Projekte\1139 - ENSET\AP09_Innolab\Akquise\Datenbank &amp; Liste\"&amp;E58&amp;"_"&amp;G58,E58&amp;"_"&amp;G58))</x:f>
      </x:c>
      <x:c r="D58" s="5">
        <x:f/>
      </x:c>
      <x:c r="E58" s="5">
        <x:f/>
      </x:c>
      <x:c r="F58" s="5">
        <x:f/>
      </x:c>
      <x:c r="G58" s="5">
        <x:f/>
      </x:c>
      <x:c r="H58" s="5">
        <x:f/>
      </x:c>
      <x:c r="I58" s="5">
        <x:f/>
      </x:c>
      <x:c r="J58" s="5">
        <x:f/>
      </x:c>
      <x:c r="K58" s="5">
        <x:f/>
      </x:c>
      <x:c r="L58" s="5">
        <x:f/>
      </x:c>
      <x:c r="M58" s="5">
        <x:f/>
      </x:c>
      <x:c r="N58" s="5">
        <x:f/>
      </x:c>
      <x:c r="O58" s="5">
        <x:f/>
      </x:c>
      <x:c r="P58" s="5">
        <x:f/>
      </x:c>
      <x:c r="Q58" s="5">
        <x:f/>
      </x:c>
      <x:c r="R58" s="5">
        <x:f/>
      </x:c>
      <x:c r="S58" s="5">
        <x:f/>
      </x:c>
      <x:c r="T58" s="5">
        <x:f/>
      </x:c>
      <x:c r="U58" s="5">
        <x:f/>
      </x:c>
      <x:c r="V58" s="5">
        <x:f/>
      </x:c>
      <x:c r="W58" s="0">
        <x:f/>
      </x:c>
      <x:c r="X58" s="0">
        <x:f/>
      </x:c>
      <x:c r="Y58" s="0">
        <x:f/>
      </x:c>
      <x:c r="Z58" s="0">
        <x:f/>
      </x:c>
    </x:row>
    <x:row r="59" spans="1:40" ht="16.15" customHeight="1" x14ac:dyDescent="0.25">
      <x:c r="C59" s="35">
        <x:f>IF(E59=0,"",HYPERLINK("H:\Projekte\Projekte aktuell\Sonstige Projekte\1139 - ENSET\AP09_Innolab\Akquise\Datenbank &amp; Liste\"&amp;E59&amp;"_"&amp;G59,E59&amp;"_"&amp;G59))</x:f>
      </x:c>
      <x:c r="D59" s="5">
        <x:f/>
      </x:c>
      <x:c r="E59" s="5">
        <x:f/>
      </x:c>
      <x:c r="F59" s="5">
        <x:f/>
      </x:c>
      <x:c r="G59" s="5">
        <x:f/>
      </x:c>
      <x:c r="H59" s="5">
        <x:f/>
      </x:c>
      <x:c r="I59" s="5">
        <x:f/>
      </x:c>
      <x:c r="J59" s="5">
        <x:f/>
      </x:c>
      <x:c r="K59" s="5">
        <x:f/>
      </x:c>
      <x:c r="L59" s="5">
        <x:f/>
      </x:c>
      <x:c r="M59" s="5">
        <x:f/>
      </x:c>
      <x:c r="N59" s="5">
        <x:f/>
      </x:c>
      <x:c r="O59" s="5">
        <x:f/>
      </x:c>
      <x:c r="P59" s="5">
        <x:f/>
      </x:c>
      <x:c r="Q59" s="5">
        <x:f/>
      </x:c>
      <x:c r="R59" s="5">
        <x:f/>
      </x:c>
      <x:c r="S59" s="5">
        <x:f/>
      </x:c>
      <x:c r="T59" s="5">
        <x:f/>
      </x:c>
      <x:c r="U59" s="5">
        <x:f/>
      </x:c>
      <x:c r="V59" s="5">
        <x:f/>
      </x:c>
      <x:c r="W59" s="0">
        <x:f/>
      </x:c>
      <x:c r="X59" s="0">
        <x:f/>
      </x:c>
      <x:c r="Y59" s="0">
        <x:f/>
      </x:c>
      <x:c r="Z59" s="0">
        <x:f/>
      </x:c>
    </x:row>
    <x:row r="60" spans="1:40" ht="16.15" customHeight="1" x14ac:dyDescent="0.25">
      <x:c r="C60" s="35">
        <x:f>IF(E60=0,"",HYPERLINK("H:\Projekte\Projekte aktuell\Sonstige Projekte\1139 - ENSET\AP09_Innolab\Akquise\Datenbank &amp; Liste\"&amp;E60&amp;"_"&amp;G60,E60&amp;"_"&amp;G60))</x:f>
      </x:c>
      <x:c r="D60" s="5">
        <x:f/>
      </x:c>
      <x:c r="E60" s="5">
        <x:f/>
      </x:c>
      <x:c r="F60" s="5">
        <x:f/>
      </x:c>
      <x:c r="G60" s="5">
        <x:f/>
      </x:c>
      <x:c r="H60" s="5">
        <x:f/>
      </x:c>
      <x:c r="I60" s="5">
        <x:f/>
      </x:c>
      <x:c r="J60" s="5">
        <x:f/>
      </x:c>
      <x:c r="K60" s="5">
        <x:f/>
      </x:c>
      <x:c r="L60" s="5">
        <x:f/>
      </x:c>
      <x:c r="M60" s="5">
        <x:f/>
      </x:c>
      <x:c r="N60" s="5">
        <x:f/>
      </x:c>
      <x:c r="O60" s="5">
        <x:f/>
      </x:c>
      <x:c r="P60" s="5">
        <x:f/>
      </x:c>
      <x:c r="Q60" s="5">
        <x:f/>
      </x:c>
      <x:c r="R60" s="5">
        <x:f/>
      </x:c>
      <x:c r="S60" s="5">
        <x:f/>
      </x:c>
      <x:c r="T60" s="5">
        <x:f/>
      </x:c>
      <x:c r="U60" s="5">
        <x:f/>
      </x:c>
      <x:c r="V60" s="5">
        <x:f/>
      </x:c>
      <x:c r="W60" s="0">
        <x:f/>
      </x:c>
      <x:c r="X60" s="0">
        <x:f/>
      </x:c>
      <x:c r="Y60" s="0">
        <x:f/>
      </x:c>
      <x:c r="Z60" s="0">
        <x:f/>
      </x:c>
    </x:row>
    <x:row r="61" spans="1:40" ht="16.15" customHeight="1" x14ac:dyDescent="0.25">
      <x:c r="C61" s="35">
        <x:f>IF(E61=0,"",HYPERLINK("H:\Projekte\Projekte aktuell\Sonstige Projekte\1139 - ENSET\AP09_Innolab\Akquise\Datenbank &amp; Liste\"&amp;E61&amp;"_"&amp;G61,E61&amp;"_"&amp;G61))</x:f>
      </x:c>
      <x:c r="D61" s="5">
        <x:f/>
      </x:c>
      <x:c r="E61" s="5">
        <x:f/>
      </x:c>
      <x:c r="F61" s="5">
        <x:f/>
      </x:c>
      <x:c r="G61" s="5">
        <x:f/>
      </x:c>
      <x:c r="H61" s="5">
        <x:f/>
      </x:c>
      <x:c r="I61" s="5">
        <x:f/>
      </x:c>
      <x:c r="J61" s="5">
        <x:f/>
      </x:c>
      <x:c r="K61" s="5">
        <x:f/>
      </x:c>
      <x:c r="L61" s="5">
        <x:f/>
      </x:c>
      <x:c r="M61" s="5">
        <x:f/>
      </x:c>
      <x:c r="N61" s="5">
        <x:f/>
      </x:c>
      <x:c r="O61" s="5">
        <x:f/>
      </x:c>
      <x:c r="P61" s="5">
        <x:f/>
      </x:c>
      <x:c r="Q61" s="5">
        <x:f/>
      </x:c>
      <x:c r="R61" s="5">
        <x:f/>
      </x:c>
      <x:c r="S61" s="5">
        <x:f/>
      </x:c>
      <x:c r="T61" s="5">
        <x:f/>
      </x:c>
      <x:c r="U61" s="5">
        <x:f/>
      </x:c>
      <x:c r="V61" s="5">
        <x:f/>
      </x:c>
      <x:c r="W61" s="0">
        <x:f/>
      </x:c>
      <x:c r="X61" s="0">
        <x:f/>
      </x:c>
      <x:c r="Y61" s="0">
        <x:f/>
      </x:c>
      <x:c r="Z61" s="0">
        <x:f/>
      </x:c>
    </x:row>
    <x:row r="62" spans="1:40" ht="16.15" customHeight="1" x14ac:dyDescent="0.25">
      <x:c r="C62" s="35">
        <x:f>IF(E62=0,"",HYPERLINK("H:\Projekte\Projekte aktuell\Sonstige Projekte\1139 - ENSET\AP09_Innolab\Akquise\Datenbank &amp; Liste\"&amp;E62&amp;"_"&amp;G62,E62&amp;"_"&amp;G62))</x:f>
      </x:c>
      <x:c r="D62" s="5">
        <x:f/>
      </x:c>
      <x:c r="E62" s="5">
        <x:f/>
      </x:c>
      <x:c r="F62" s="5">
        <x:f/>
      </x:c>
      <x:c r="G62" s="5">
        <x:f/>
      </x:c>
      <x:c r="H62" s="5">
        <x:f/>
      </x:c>
      <x:c r="I62" s="5">
        <x:f/>
      </x:c>
      <x:c r="J62" s="5">
        <x:f/>
      </x:c>
      <x:c r="K62" s="5">
        <x:f/>
      </x:c>
      <x:c r="L62" s="5">
        <x:f/>
      </x:c>
      <x:c r="M62" s="5">
        <x:f/>
      </x:c>
      <x:c r="N62" s="5">
        <x:f/>
      </x:c>
      <x:c r="O62" s="5">
        <x:f/>
      </x:c>
      <x:c r="P62" s="5">
        <x:f/>
      </x:c>
      <x:c r="Q62" s="5">
        <x:f/>
      </x:c>
      <x:c r="R62" s="5">
        <x:f/>
      </x:c>
      <x:c r="S62" s="5">
        <x:f/>
      </x:c>
      <x:c r="T62" s="5">
        <x:f/>
      </x:c>
      <x:c r="U62" s="5">
        <x:f/>
      </x:c>
      <x:c r="V62" s="5">
        <x:f/>
      </x:c>
      <x:c r="W62" s="0">
        <x:f/>
      </x:c>
      <x:c r="X62" s="0">
        <x:f/>
      </x:c>
      <x:c r="Y62" s="0">
        <x:f/>
      </x:c>
      <x:c r="Z62" s="0">
        <x:f/>
      </x:c>
    </x:row>
    <x:row r="63" spans="1:40" ht="16.15" customHeight="1" x14ac:dyDescent="0.25">
      <x:c r="C63" s="35">
        <x:f>IF(E63=0,"",HYPERLINK("H:\Projekte\Projekte aktuell\Sonstige Projekte\1139 - ENSET\AP09_Innolab\Akquise\Datenbank &amp; Liste\"&amp;E63&amp;"_"&amp;G63,E63&amp;"_"&amp;G63))</x:f>
      </x:c>
      <x:c r="D63" s="5">
        <x:f/>
      </x:c>
      <x:c r="E63" s="5">
        <x:f/>
      </x:c>
      <x:c r="F63" s="5">
        <x:f/>
      </x:c>
      <x:c r="G63" s="5">
        <x:f/>
      </x:c>
      <x:c r="H63" s="5">
        <x:f/>
      </x:c>
      <x:c r="I63" s="5">
        <x:f/>
      </x:c>
      <x:c r="J63" s="5">
        <x:f/>
      </x:c>
      <x:c r="K63" s="5">
        <x:f/>
      </x:c>
      <x:c r="L63" s="5">
        <x:f/>
      </x:c>
      <x:c r="M63" s="5">
        <x:f/>
      </x:c>
      <x:c r="N63" s="5">
        <x:f/>
      </x:c>
      <x:c r="O63" s="5">
        <x:f/>
      </x:c>
      <x:c r="P63" s="5">
        <x:f/>
      </x:c>
      <x:c r="Q63" s="5">
        <x:f/>
      </x:c>
      <x:c r="R63" s="5">
        <x:f/>
      </x:c>
      <x:c r="S63" s="5">
        <x:f/>
      </x:c>
      <x:c r="T63" s="5">
        <x:f/>
      </x:c>
      <x:c r="U63" s="5">
        <x:f/>
      </x:c>
      <x:c r="V63" s="5">
        <x:f/>
      </x:c>
      <x:c r="W63" s="0">
        <x:f/>
      </x:c>
      <x:c r="X63" s="0">
        <x:f/>
      </x:c>
      <x:c r="Y63" s="0">
        <x:f/>
      </x:c>
      <x:c r="Z63" s="0">
        <x:f/>
      </x:c>
    </x:row>
    <x:row r="64" spans="1:40" ht="16.15" customHeight="1" x14ac:dyDescent="0.25">
      <x:c r="C64" s="35">
        <x:f>IF(E64=0,"",HYPERLINK("H:\Projekte\Projekte aktuell\Sonstige Projekte\1139 - ENSET\AP09_Innolab\Akquise\Datenbank &amp; Liste\"&amp;E64&amp;"_"&amp;G64,E64&amp;"_"&amp;G64))</x:f>
      </x:c>
      <x:c r="D64" s="5">
        <x:f/>
      </x:c>
      <x:c r="E64" s="5">
        <x:f/>
      </x:c>
      <x:c r="F64" s="5">
        <x:f/>
      </x:c>
      <x:c r="G64" s="5">
        <x:f/>
      </x:c>
      <x:c r="H64" s="5">
        <x:f/>
      </x:c>
      <x:c r="I64" s="5">
        <x:f/>
      </x:c>
      <x:c r="J64" s="5">
        <x:f/>
      </x:c>
      <x:c r="K64" s="5">
        <x:f/>
      </x:c>
      <x:c r="L64" s="5">
        <x:f/>
      </x:c>
      <x:c r="M64" s="5">
        <x:f/>
      </x:c>
      <x:c r="N64" s="5">
        <x:f/>
      </x:c>
      <x:c r="O64" s="5">
        <x:f/>
      </x:c>
      <x:c r="P64" s="5">
        <x:f/>
      </x:c>
      <x:c r="Q64" s="5">
        <x:f/>
      </x:c>
      <x:c r="R64" s="5">
        <x:f/>
      </x:c>
      <x:c r="S64" s="5">
        <x:f/>
      </x:c>
      <x:c r="T64" s="5">
        <x:f/>
      </x:c>
      <x:c r="U64" s="5">
        <x:f/>
      </x:c>
      <x:c r="V64" s="5">
        <x:f/>
      </x:c>
      <x:c r="W64" s="0">
        <x:f/>
      </x:c>
      <x:c r="X64" s="0">
        <x:f/>
      </x:c>
      <x:c r="Y64" s="0">
        <x:f/>
      </x:c>
      <x:c r="Z64" s="0">
        <x:f/>
      </x:c>
    </x:row>
    <x:row r="65" spans="1:40" ht="16.15" customHeight="1" x14ac:dyDescent="0.25">
      <x:c r="C65" s="35">
        <x:f>IF(E65=0,"",HYPERLINK("H:\Projekte\Projekte aktuell\Sonstige Projekte\1139 - ENSET\AP09_Innolab\Akquise\Datenbank &amp; Liste\"&amp;E65&amp;"_"&amp;G65,E65&amp;"_"&amp;G65))</x:f>
      </x:c>
      <x:c r="D65" s="5">
        <x:f/>
      </x:c>
      <x:c r="E65" s="5">
        <x:f/>
      </x:c>
      <x:c r="F65" s="5">
        <x:f/>
      </x:c>
      <x:c r="G65" s="5">
        <x:f/>
      </x:c>
      <x:c r="H65" s="5">
        <x:f/>
      </x:c>
      <x:c r="I65" s="5">
        <x:f/>
      </x:c>
      <x:c r="J65" s="5">
        <x:f/>
      </x:c>
      <x:c r="K65" s="5">
        <x:f/>
      </x:c>
      <x:c r="L65" s="5">
        <x:f/>
      </x:c>
      <x:c r="M65" s="5">
        <x:f/>
      </x:c>
      <x:c r="N65" s="5">
        <x:f/>
      </x:c>
      <x:c r="O65" s="5">
        <x:f/>
      </x:c>
      <x:c r="P65" s="5">
        <x:f/>
      </x:c>
      <x:c r="Q65" s="5">
        <x:f/>
      </x:c>
      <x:c r="R65" s="5">
        <x:f/>
      </x:c>
      <x:c r="S65" s="5">
        <x:f/>
      </x:c>
      <x:c r="T65" s="5">
        <x:f/>
      </x:c>
      <x:c r="U65" s="5">
        <x:f/>
      </x:c>
      <x:c r="V65" s="5">
        <x:f/>
      </x:c>
      <x:c r="W65" s="0">
        <x:f/>
      </x:c>
      <x:c r="X65" s="0">
        <x:f/>
      </x:c>
      <x:c r="Y65" s="0">
        <x:f/>
      </x:c>
      <x:c r="Z65" s="0">
        <x:f/>
      </x:c>
    </x:row>
    <x:row r="66" spans="1:40" ht="16.15" customHeight="1" x14ac:dyDescent="0.25">
      <x:c r="C66" s="35">
        <x:f>IF(E66=0,"",HYPERLINK("H:\Projekte\Projekte aktuell\Sonstige Projekte\1139 - ENSET\AP09_Innolab\Akquise\Datenbank &amp; Liste\"&amp;E66&amp;"_"&amp;G66,E66&amp;"_"&amp;G66))</x:f>
      </x:c>
      <x:c r="D66" s="5">
        <x:f/>
      </x:c>
      <x:c r="E66" s="5">
        <x:f/>
      </x:c>
      <x:c r="F66" s="5">
        <x:f/>
      </x:c>
      <x:c r="G66" s="5">
        <x:f/>
      </x:c>
      <x:c r="H66" s="5">
        <x:f/>
      </x:c>
      <x:c r="I66" s="5">
        <x:f/>
      </x:c>
      <x:c r="J66" s="5">
        <x:f/>
      </x:c>
      <x:c r="K66" s="5">
        <x:f/>
      </x:c>
      <x:c r="L66" s="5">
        <x:f/>
      </x:c>
      <x:c r="M66" s="5">
        <x:f/>
      </x:c>
      <x:c r="N66" s="5">
        <x:f/>
      </x:c>
      <x:c r="O66" s="5">
        <x:f/>
      </x:c>
      <x:c r="P66" s="5">
        <x:f/>
      </x:c>
      <x:c r="Q66" s="5">
        <x:f/>
      </x:c>
      <x:c r="R66" s="5">
        <x:f/>
      </x:c>
      <x:c r="S66" s="5">
        <x:f/>
      </x:c>
      <x:c r="T66" s="5">
        <x:f/>
      </x:c>
      <x:c r="U66" s="5">
        <x:f/>
      </x:c>
      <x:c r="V66" s="5">
        <x:f/>
      </x:c>
      <x:c r="W66" s="0">
        <x:f/>
      </x:c>
      <x:c r="X66" s="0">
        <x:f/>
      </x:c>
      <x:c r="Y66" s="0">
        <x:f/>
      </x:c>
      <x:c r="Z66" s="0">
        <x:f/>
      </x:c>
    </x:row>
    <x:row r="67" spans="1:40" ht="16.15" customHeight="1" x14ac:dyDescent="0.25">
      <x:c r="C67" s="35">
        <x:f>IF(E67=0,"",HYPERLINK("H:\Projekte\Projekte aktuell\Sonstige Projekte\1139 - ENSET\AP09_Innolab\Akquise\Datenbank &amp; Liste\"&amp;E67&amp;"_"&amp;G67,E67&amp;"_"&amp;G67))</x:f>
      </x:c>
      <x:c r="D67" s="5">
        <x:f/>
      </x:c>
      <x:c r="E67" s="5">
        <x:f/>
      </x:c>
      <x:c r="F67" s="5">
        <x:f/>
      </x:c>
      <x:c r="G67" s="5">
        <x:f/>
      </x:c>
      <x:c r="H67" s="5">
        <x:f/>
      </x:c>
      <x:c r="I67" s="5">
        <x:f/>
      </x:c>
      <x:c r="J67" s="5">
        <x:f/>
      </x:c>
      <x:c r="K67" s="5">
        <x:f/>
      </x:c>
      <x:c r="L67" s="5">
        <x:f/>
      </x:c>
      <x:c r="M67" s="5">
        <x:f/>
      </x:c>
      <x:c r="N67" s="5">
        <x:f/>
      </x:c>
      <x:c r="O67" s="5">
        <x:f/>
      </x:c>
      <x:c r="P67" s="5">
        <x:f/>
      </x:c>
      <x:c r="Q67" s="5">
        <x:f/>
      </x:c>
      <x:c r="R67" s="5">
        <x:f/>
      </x:c>
      <x:c r="S67" s="5">
        <x:f/>
      </x:c>
      <x:c r="T67" s="5">
        <x:f/>
      </x:c>
      <x:c r="U67" s="5">
        <x:f/>
      </x:c>
      <x:c r="V67" s="5">
        <x:f/>
      </x:c>
      <x:c r="W67" s="0">
        <x:f/>
      </x:c>
      <x:c r="X67" s="0">
        <x:f/>
      </x:c>
      <x:c r="Y67" s="0">
        <x:f/>
      </x:c>
      <x:c r="Z67" s="0">
        <x:f/>
      </x:c>
    </x:row>
    <x:row r="68" spans="1:40" ht="16.15" customHeight="1" x14ac:dyDescent="0.25">
      <x:c r="C68" s="35">
        <x:f>IF(E68=0,"",HYPERLINK("H:\Projekte\Projekte aktuell\Sonstige Projekte\1139 - ENSET\AP09_Innolab\Akquise\Datenbank &amp; Liste\"&amp;E68&amp;"_"&amp;G68,E68&amp;"_"&amp;G68))</x:f>
      </x:c>
      <x:c r="D68" s="5">
        <x:f/>
      </x:c>
      <x:c r="E68" s="5">
        <x:f/>
      </x:c>
      <x:c r="F68" s="5">
        <x:f/>
      </x:c>
      <x:c r="G68" s="5">
        <x:f/>
      </x:c>
      <x:c r="H68" s="5">
        <x:f/>
      </x:c>
      <x:c r="I68" s="5">
        <x:f/>
      </x:c>
      <x:c r="J68" s="5">
        <x:f/>
      </x:c>
      <x:c r="K68" s="5">
        <x:f/>
      </x:c>
      <x:c r="L68" s="5">
        <x:f/>
      </x:c>
      <x:c r="M68" s="5">
        <x:f/>
      </x:c>
      <x:c r="N68" s="5">
        <x:f/>
      </x:c>
      <x:c r="O68" s="5">
        <x:f/>
      </x:c>
      <x:c r="P68" s="5">
        <x:f/>
      </x:c>
      <x:c r="Q68" s="5">
        <x:f/>
      </x:c>
      <x:c r="R68" s="5">
        <x:f/>
      </x:c>
      <x:c r="S68" s="5">
        <x:f/>
      </x:c>
      <x:c r="T68" s="5">
        <x:f/>
      </x:c>
      <x:c r="U68" s="5">
        <x:f/>
      </x:c>
      <x:c r="V68" s="5">
        <x:f/>
      </x:c>
      <x:c r="W68" s="0">
        <x:f/>
      </x:c>
      <x:c r="X68" s="0">
        <x:f/>
      </x:c>
      <x:c r="Y68" s="0">
        <x:f/>
      </x:c>
      <x:c r="Z68" s="0">
        <x:f/>
      </x:c>
    </x:row>
    <x:row r="69" spans="1:40" ht="16.15" customHeight="1" x14ac:dyDescent="0.25">
      <x:c r="C69" s="35">
        <x:f>IF(E69=0,"",HYPERLINK("H:\Projekte\Projekte aktuell\Sonstige Projekte\1139 - ENSET\AP09_Innolab\Akquise\Datenbank &amp; Liste\"&amp;E69&amp;"_"&amp;G69,E69&amp;"_"&amp;G69))</x:f>
      </x:c>
      <x:c r="D69" s="5">
        <x:f/>
      </x:c>
      <x:c r="E69" s="5">
        <x:f/>
      </x:c>
      <x:c r="F69" s="5">
        <x:f/>
      </x:c>
      <x:c r="G69" s="5">
        <x:f/>
      </x:c>
      <x:c r="H69" s="5">
        <x:f/>
      </x:c>
      <x:c r="I69" s="5">
        <x:f/>
      </x:c>
      <x:c r="J69" s="5">
        <x:f/>
      </x:c>
      <x:c r="K69" s="5">
        <x:f/>
      </x:c>
      <x:c r="L69" s="5">
        <x:f/>
      </x:c>
      <x:c r="M69" s="5">
        <x:f/>
      </x:c>
      <x:c r="N69" s="5">
        <x:f/>
      </x:c>
      <x:c r="O69" s="5">
        <x:f/>
      </x:c>
      <x:c r="P69" s="5">
        <x:f/>
      </x:c>
      <x:c r="Q69" s="5">
        <x:f/>
      </x:c>
      <x:c r="R69" s="5">
        <x:f/>
      </x:c>
      <x:c r="S69" s="5">
        <x:f/>
      </x:c>
      <x:c r="T69" s="5">
        <x:f/>
      </x:c>
      <x:c r="U69" s="5">
        <x:f/>
      </x:c>
      <x:c r="V69" s="5">
        <x:f/>
      </x:c>
      <x:c r="W69" s="0">
        <x:f/>
      </x:c>
      <x:c r="X69" s="0">
        <x:f/>
      </x:c>
      <x:c r="Y69" s="0">
        <x:f/>
      </x:c>
      <x:c r="Z69" s="0">
        <x:f/>
      </x:c>
    </x:row>
    <x:row r="70" spans="1:40" ht="16.15" customHeight="1" x14ac:dyDescent="0.25">
      <x:c r="C70" s="35">
        <x:f>IF(E70=0,"",HYPERLINK("H:\Projekte\Projekte aktuell\Sonstige Projekte\1139 - ENSET\AP09_Innolab\Akquise\Datenbank &amp; Liste\"&amp;E70&amp;"_"&amp;G70,E70&amp;"_"&amp;G70))</x:f>
      </x:c>
      <x:c r="D70" s="5">
        <x:f/>
      </x:c>
      <x:c r="E70" s="5">
        <x:f/>
      </x:c>
      <x:c r="F70" s="5">
        <x:f/>
      </x:c>
      <x:c r="G70" s="5">
        <x:f/>
      </x:c>
      <x:c r="H70" s="5">
        <x:f/>
      </x:c>
      <x:c r="I70" s="5">
        <x:f/>
      </x:c>
      <x:c r="J70" s="5">
        <x:f/>
      </x:c>
      <x:c r="K70" s="5">
        <x:f/>
      </x:c>
      <x:c r="L70" s="5">
        <x:f/>
      </x:c>
      <x:c r="M70" s="5">
        <x:f/>
      </x:c>
      <x:c r="N70" s="5">
        <x:f/>
      </x:c>
      <x:c r="O70" s="5">
        <x:f/>
      </x:c>
      <x:c r="P70" s="5">
        <x:f/>
      </x:c>
      <x:c r="Q70" s="5">
        <x:f/>
      </x:c>
      <x:c r="R70" s="5">
        <x:f/>
      </x:c>
      <x:c r="S70" s="5">
        <x:f/>
      </x:c>
      <x:c r="T70" s="5">
        <x:f/>
      </x:c>
      <x:c r="U70" s="5">
        <x:f/>
      </x:c>
      <x:c r="V70" s="5">
        <x:f/>
      </x:c>
      <x:c r="W70" s="0">
        <x:f/>
      </x:c>
      <x:c r="X70" s="0">
        <x:f/>
      </x:c>
      <x:c r="Y70" s="0">
        <x:f/>
      </x:c>
      <x:c r="Z70" s="0">
        <x:f/>
      </x:c>
    </x:row>
    <x:row r="71" spans="1:40" ht="16.15" customHeight="1" x14ac:dyDescent="0.25">
      <x:c r="C71" s="35">
        <x:f>IF(E71=0,"",HYPERLINK("H:\Projekte\Projekte aktuell\Sonstige Projekte\1139 - ENSET\AP09_Innolab\Akquise\Datenbank &amp; Liste\"&amp;E71&amp;"_"&amp;G71,E71&amp;"_"&amp;G71))</x:f>
      </x:c>
      <x:c r="D71" s="5">
        <x:f/>
      </x:c>
      <x:c r="E71" s="5">
        <x:f/>
      </x:c>
      <x:c r="F71" s="5">
        <x:f/>
      </x:c>
      <x:c r="G71" s="5">
        <x:f/>
      </x:c>
      <x:c r="H71" s="5">
        <x:f/>
      </x:c>
      <x:c r="I71" s="5">
        <x:f/>
      </x:c>
      <x:c r="J71" s="5">
        <x:f/>
      </x:c>
      <x:c r="K71" s="5">
        <x:f/>
      </x:c>
      <x:c r="L71" s="5">
        <x:f/>
      </x:c>
      <x:c r="M71" s="5">
        <x:f/>
      </x:c>
      <x:c r="N71" s="5">
        <x:f/>
      </x:c>
      <x:c r="O71" s="5">
        <x:f/>
      </x:c>
      <x:c r="P71" s="5">
        <x:f/>
      </x:c>
      <x:c r="Q71" s="5">
        <x:f/>
      </x:c>
      <x:c r="R71" s="5">
        <x:f/>
      </x:c>
      <x:c r="S71" s="5">
        <x:f/>
      </x:c>
      <x:c r="T71" s="5">
        <x:f/>
      </x:c>
      <x:c r="U71" s="5">
        <x:f/>
      </x:c>
      <x:c r="V71" s="5">
        <x:f/>
      </x:c>
      <x:c r="W71" s="0">
        <x:f/>
      </x:c>
      <x:c r="X71" s="0">
        <x:f/>
      </x:c>
      <x:c r="Y71" s="0">
        <x:f/>
      </x:c>
      <x:c r="Z71" s="0">
        <x:f/>
      </x:c>
    </x:row>
    <x:row r="72" spans="1:40" ht="16.15" customHeight="1" x14ac:dyDescent="0.25">
      <x:c r="C72" s="35">
        <x:f>IF(E72=0,"",HYPERLINK("H:\Projekte\Projekte aktuell\Sonstige Projekte\1139 - ENSET\AP09_Innolab\Akquise\Datenbank &amp; Liste\"&amp;E72&amp;"_"&amp;G72,E72&amp;"_"&amp;G72))</x:f>
      </x:c>
      <x:c r="D72" s="5">
        <x:f/>
      </x:c>
      <x:c r="E72" s="5">
        <x:f/>
      </x:c>
      <x:c r="F72" s="5">
        <x:f/>
      </x:c>
      <x:c r="G72" s="5">
        <x:f/>
      </x:c>
      <x:c r="H72" s="5">
        <x:f/>
      </x:c>
      <x:c r="I72" s="5">
        <x:f/>
      </x:c>
      <x:c r="J72" s="5">
        <x:f/>
      </x:c>
      <x:c r="K72" s="5">
        <x:f/>
      </x:c>
      <x:c r="L72" s="5">
        <x:f/>
      </x:c>
      <x:c r="M72" s="5">
        <x:f/>
      </x:c>
      <x:c r="N72" s="5">
        <x:f/>
      </x:c>
      <x:c r="O72" s="5">
        <x:f/>
      </x:c>
      <x:c r="P72" s="5">
        <x:f/>
      </x:c>
      <x:c r="Q72" s="5">
        <x:f/>
      </x:c>
      <x:c r="R72" s="5">
        <x:f/>
      </x:c>
      <x:c r="S72" s="5">
        <x:f/>
      </x:c>
      <x:c r="T72" s="5">
        <x:f/>
      </x:c>
      <x:c r="U72" s="5">
        <x:f/>
      </x:c>
      <x:c r="V72" s="5">
        <x:f/>
      </x:c>
      <x:c r="W72" s="0">
        <x:f/>
      </x:c>
      <x:c r="X72" s="0">
        <x:f/>
      </x:c>
      <x:c r="Y72" s="0">
        <x:f/>
      </x:c>
      <x:c r="Z72" s="0">
        <x:f/>
      </x:c>
    </x:row>
    <x:row r="73" spans="1:40" ht="16.15" customHeight="1" x14ac:dyDescent="0.25">
      <x:c r="C73" s="35">
        <x:f>IF(E73=0,"",HYPERLINK("H:\Projekte\Projekte aktuell\Sonstige Projekte\1139 - ENSET\AP09_Innolab\Akquise\Datenbank &amp; Liste\"&amp;E73&amp;"_"&amp;G73,E73&amp;"_"&amp;G73))</x:f>
      </x:c>
      <x:c r="D73" s="5">
        <x:f/>
      </x:c>
      <x:c r="E73" s="5">
        <x:f/>
      </x:c>
      <x:c r="F73" s="5">
        <x:f/>
      </x:c>
      <x:c r="G73" s="5">
        <x:f/>
      </x:c>
      <x:c r="H73" s="5">
        <x:f/>
      </x:c>
      <x:c r="I73" s="5">
        <x:f/>
      </x:c>
      <x:c r="J73" s="5">
        <x:f/>
      </x:c>
      <x:c r="K73" s="5">
        <x:f/>
      </x:c>
      <x:c r="L73" s="5">
        <x:f/>
      </x:c>
      <x:c r="M73" s="5">
        <x:f/>
      </x:c>
      <x:c r="N73" s="5">
        <x:f/>
      </x:c>
      <x:c r="O73" s="5">
        <x:f/>
      </x:c>
      <x:c r="P73" s="5">
        <x:f/>
      </x:c>
      <x:c r="Q73" s="5">
        <x:f/>
      </x:c>
      <x:c r="R73" s="5">
        <x:f/>
      </x:c>
      <x:c r="S73" s="5">
        <x:f/>
      </x:c>
      <x:c r="T73" s="5">
        <x:f/>
      </x:c>
      <x:c r="U73" s="5">
        <x:f/>
      </x:c>
      <x:c r="V73" s="5">
        <x:f/>
      </x:c>
      <x:c r="W73" s="0">
        <x:f/>
      </x:c>
      <x:c r="X73" s="0">
        <x:f/>
      </x:c>
      <x:c r="Y73" s="0">
        <x:f/>
      </x:c>
      <x:c r="Z73" s="0">
        <x:f/>
      </x:c>
    </x:row>
    <x:row r="74" spans="1:40" ht="16.15" customHeight="1" x14ac:dyDescent="0.25">
      <x:c r="C74" s="35">
        <x:f>IF(E74=0,"",HYPERLINK("H:\Projekte\Projekte aktuell\Sonstige Projekte\1139 - ENSET\AP09_Innolab\Akquise\Datenbank &amp; Liste\"&amp;E74&amp;"_"&amp;G74,E74&amp;"_"&amp;G74))</x:f>
      </x:c>
      <x:c r="D74" s="5">
        <x:f/>
      </x:c>
      <x:c r="E74" s="5">
        <x:f/>
      </x:c>
      <x:c r="F74" s="5">
        <x:f/>
      </x:c>
      <x:c r="G74" s="5">
        <x:f/>
      </x:c>
      <x:c r="H74" s="5">
        <x:f/>
      </x:c>
      <x:c r="I74" s="5">
        <x:f/>
      </x:c>
      <x:c r="J74" s="5">
        <x:f/>
      </x:c>
      <x:c r="K74" s="5">
        <x:f/>
      </x:c>
      <x:c r="L74" s="5">
        <x:f/>
      </x:c>
      <x:c r="M74" s="5">
        <x:f/>
      </x:c>
      <x:c r="N74" s="5">
        <x:f/>
      </x:c>
      <x:c r="O74" s="5">
        <x:f/>
      </x:c>
      <x:c r="P74" s="5">
        <x:f/>
      </x:c>
      <x:c r="Q74" s="5">
        <x:f/>
      </x:c>
      <x:c r="R74" s="5">
        <x:f/>
      </x:c>
      <x:c r="S74" s="5">
        <x:f/>
      </x:c>
      <x:c r="T74" s="5">
        <x:f/>
      </x:c>
      <x:c r="U74" s="5">
        <x:f/>
      </x:c>
      <x:c r="V74" s="5">
        <x:f/>
      </x:c>
      <x:c r="W74" s="0">
        <x:f/>
      </x:c>
      <x:c r="X74" s="0">
        <x:f/>
      </x:c>
      <x:c r="Y74" s="0">
        <x:f/>
      </x:c>
      <x:c r="Z74" s="0">
        <x:f/>
      </x:c>
    </x:row>
    <x:row r="75" spans="1:40" ht="16.15" customHeight="1" x14ac:dyDescent="0.25">
      <x:c r="C75" s="35">
        <x:f>IF(E75=0,"",HYPERLINK("H:\Projekte\Projekte aktuell\Sonstige Projekte\1139 - ENSET\AP09_Innolab\Akquise\Datenbank &amp; Liste\"&amp;E75&amp;"_"&amp;G75,E75&amp;"_"&amp;G75))</x:f>
      </x:c>
      <x:c r="D75" s="5">
        <x:f/>
      </x:c>
      <x:c r="E75" s="5">
        <x:f/>
      </x:c>
      <x:c r="F75" s="5">
        <x:f/>
      </x:c>
      <x:c r="G75" s="5">
        <x:f/>
      </x:c>
      <x:c r="H75" s="5">
        <x:f/>
      </x:c>
      <x:c r="I75" s="5">
        <x:f/>
      </x:c>
      <x:c r="J75" s="5">
        <x:f/>
      </x:c>
      <x:c r="K75" s="5">
        <x:f/>
      </x:c>
      <x:c r="L75" s="5">
        <x:f/>
      </x:c>
      <x:c r="M75" s="5">
        <x:f/>
      </x:c>
      <x:c r="N75" s="5">
        <x:f/>
      </x:c>
      <x:c r="O75" s="5">
        <x:f/>
      </x:c>
      <x:c r="P75" s="5">
        <x:f/>
      </x:c>
      <x:c r="Q75" s="5">
        <x:f/>
      </x:c>
      <x:c r="R75" s="5">
        <x:f/>
      </x:c>
      <x:c r="S75" s="5">
        <x:f/>
      </x:c>
      <x:c r="T75" s="5">
        <x:f/>
      </x:c>
      <x:c r="U75" s="5">
        <x:f/>
      </x:c>
      <x:c r="V75" s="5">
        <x:f/>
      </x:c>
      <x:c r="W75" s="0">
        <x:f/>
      </x:c>
      <x:c r="X75" s="0">
        <x:f/>
      </x:c>
      <x:c r="Y75" s="0">
        <x:f/>
      </x:c>
      <x:c r="Z75" s="0">
        <x:f/>
      </x:c>
    </x:row>
    <x:row r="76" spans="1:40" ht="16.15" customHeight="1" x14ac:dyDescent="0.25">
      <x:c r="C76" s="35">
        <x:f>IF(E76=0,"",HYPERLINK("H:\Projekte\Projekte aktuell\Sonstige Projekte\1139 - ENSET\AP09_Innolab\Akquise\Datenbank &amp; Liste\"&amp;E76&amp;"_"&amp;G76,E76&amp;"_"&amp;G76))</x:f>
      </x:c>
      <x:c r="D76" s="5">
        <x:f/>
      </x:c>
      <x:c r="E76" s="5">
        <x:f/>
      </x:c>
      <x:c r="F76" s="5">
        <x:f/>
      </x:c>
      <x:c r="G76" s="5">
        <x:f/>
      </x:c>
      <x:c r="H76" s="5">
        <x:f/>
      </x:c>
      <x:c r="I76" s="5">
        <x:f/>
      </x:c>
      <x:c r="J76" s="5">
        <x:f/>
      </x:c>
      <x:c r="K76" s="5">
        <x:f/>
      </x:c>
      <x:c r="L76" s="5">
        <x:f/>
      </x:c>
      <x:c r="M76" s="5">
        <x:f/>
      </x:c>
      <x:c r="N76" s="5">
        <x:f/>
      </x:c>
      <x:c r="O76" s="5">
        <x:f/>
      </x:c>
      <x:c r="P76" s="5">
        <x:f/>
      </x:c>
      <x:c r="Q76" s="5">
        <x:f/>
      </x:c>
      <x:c r="R76" s="5">
        <x:f/>
      </x:c>
      <x:c r="S76" s="5">
        <x:f/>
      </x:c>
      <x:c r="T76" s="5">
        <x:f/>
      </x:c>
      <x:c r="U76" s="5">
        <x:f/>
      </x:c>
      <x:c r="V76" s="5">
        <x:f/>
      </x:c>
      <x:c r="W76" s="0">
        <x:f/>
      </x:c>
      <x:c r="X76" s="0">
        <x:f/>
      </x:c>
      <x:c r="Y76" s="0">
        <x:f/>
      </x:c>
      <x:c r="Z76" s="0">
        <x:f/>
      </x:c>
    </x:row>
    <x:row r="77" spans="1:40" ht="16.15" customHeight="1" x14ac:dyDescent="0.25">
      <x:c r="C77" s="35">
        <x:f>IF(E77=0,"",HYPERLINK("H:\Projekte\Projekte aktuell\Sonstige Projekte\1139 - ENSET\AP09_Innolab\Akquise\Datenbank &amp; Liste\"&amp;E77&amp;"_"&amp;G77,E77&amp;"_"&amp;G77))</x:f>
      </x:c>
      <x:c r="D77" s="5">
        <x:f/>
      </x:c>
      <x:c r="E77" s="5">
        <x:f/>
      </x:c>
      <x:c r="F77" s="5">
        <x:f/>
      </x:c>
      <x:c r="G77" s="5">
        <x:f/>
      </x:c>
      <x:c r="H77" s="5">
        <x:f/>
      </x:c>
      <x:c r="I77" s="5">
        <x:f/>
      </x:c>
      <x:c r="J77" s="5">
        <x:f/>
      </x:c>
      <x:c r="K77" s="5">
        <x:f/>
      </x:c>
      <x:c r="L77" s="5">
        <x:f/>
      </x:c>
      <x:c r="M77" s="5">
        <x:f/>
      </x:c>
      <x:c r="N77" s="5">
        <x:f/>
      </x:c>
      <x:c r="O77" s="5">
        <x:f/>
      </x:c>
      <x:c r="P77" s="5">
        <x:f/>
      </x:c>
      <x:c r="Q77" s="5">
        <x:f/>
      </x:c>
      <x:c r="R77" s="5">
        <x:f/>
      </x:c>
      <x:c r="S77" s="5">
        <x:f/>
      </x:c>
      <x:c r="T77" s="5">
        <x:f/>
      </x:c>
      <x:c r="U77" s="5">
        <x:f/>
      </x:c>
      <x:c r="V77" s="5">
        <x:f/>
      </x:c>
      <x:c r="W77" s="0">
        <x:f/>
      </x:c>
      <x:c r="X77" s="0">
        <x:f/>
      </x:c>
      <x:c r="Y77" s="0">
        <x:f/>
      </x:c>
      <x:c r="Z77" s="0">
        <x:f/>
      </x:c>
    </x:row>
    <x:row r="78" spans="1:40" ht="16.15" customHeight="1" x14ac:dyDescent="0.25">
      <x:c r="C78" s="35">
        <x:f>IF(E78=0,"",HYPERLINK("H:\Projekte\Projekte aktuell\Sonstige Projekte\1139 - ENSET\AP09_Innolab\Akquise\Datenbank &amp; Liste\"&amp;E78&amp;"_"&amp;G78,E78&amp;"_"&amp;G78))</x:f>
      </x:c>
      <x:c r="D78" s="5">
        <x:f/>
      </x:c>
      <x:c r="E78" s="5">
        <x:f/>
      </x:c>
      <x:c r="F78" s="5">
        <x:f/>
      </x:c>
      <x:c r="G78" s="5">
        <x:f/>
      </x:c>
      <x:c r="H78" s="5">
        <x:f/>
      </x:c>
      <x:c r="I78" s="5">
        <x:f/>
      </x:c>
      <x:c r="J78" s="5">
        <x:f/>
      </x:c>
      <x:c r="K78" s="5">
        <x:f/>
      </x:c>
      <x:c r="L78" s="5">
        <x:f/>
      </x:c>
      <x:c r="M78" s="5">
        <x:f/>
      </x:c>
      <x:c r="N78" s="5">
        <x:f/>
      </x:c>
      <x:c r="O78" s="5">
        <x:f/>
      </x:c>
      <x:c r="P78" s="5">
        <x:f/>
      </x:c>
      <x:c r="Q78" s="5">
        <x:f/>
      </x:c>
      <x:c r="R78" s="5">
        <x:f/>
      </x:c>
      <x:c r="S78" s="5">
        <x:f/>
      </x:c>
      <x:c r="T78" s="5">
        <x:f/>
      </x:c>
      <x:c r="U78" s="5">
        <x:f/>
      </x:c>
      <x:c r="V78" s="5">
        <x:f/>
      </x:c>
      <x:c r="W78" s="0">
        <x:f/>
      </x:c>
      <x:c r="X78" s="0">
        <x:f/>
      </x:c>
      <x:c r="Y78" s="0">
        <x:f/>
      </x:c>
      <x:c r="Z78" s="0">
        <x:f/>
      </x:c>
    </x:row>
    <x:row r="79" spans="1:40" ht="16.15" customHeight="1" x14ac:dyDescent="0.25">
      <x:c r="C79" s="35">
        <x:f>IF(E79=0,"",HYPERLINK("H:\Projekte\Projekte aktuell\Sonstige Projekte\1139 - ENSET\AP09_Innolab\Akquise\Datenbank &amp; Liste\"&amp;E79&amp;"_"&amp;G79,E79&amp;"_"&amp;G79))</x:f>
      </x:c>
      <x:c r="D79" s="5">
        <x:f/>
      </x:c>
      <x:c r="E79" s="5">
        <x:f/>
      </x:c>
      <x:c r="F79" s="5">
        <x:f/>
      </x:c>
      <x:c r="G79" s="5">
        <x:f/>
      </x:c>
      <x:c r="H79" s="5">
        <x:f/>
      </x:c>
      <x:c r="I79" s="5">
        <x:f/>
      </x:c>
      <x:c r="J79" s="5">
        <x:f/>
      </x:c>
      <x:c r="K79" s="5">
        <x:f/>
      </x:c>
      <x:c r="L79" s="5">
        <x:f/>
      </x:c>
      <x:c r="M79" s="5">
        <x:f/>
      </x:c>
      <x:c r="N79" s="5">
        <x:f/>
      </x:c>
      <x:c r="O79" s="5">
        <x:f/>
      </x:c>
      <x:c r="P79" s="5">
        <x:f/>
      </x:c>
      <x:c r="Q79" s="5">
        <x:f/>
      </x:c>
      <x:c r="R79" s="5">
        <x:f/>
      </x:c>
      <x:c r="S79" s="5">
        <x:f/>
      </x:c>
      <x:c r="T79" s="5">
        <x:f/>
      </x:c>
      <x:c r="U79" s="5">
        <x:f/>
      </x:c>
      <x:c r="V79" s="5">
        <x:f/>
      </x:c>
      <x:c r="W79" s="0">
        <x:f/>
      </x:c>
      <x:c r="X79" s="0">
        <x:f/>
      </x:c>
      <x:c r="Y79" s="0">
        <x:f/>
      </x:c>
      <x:c r="Z79" s="0">
        <x:f/>
      </x:c>
    </x:row>
    <x:row r="80" spans="1:40" ht="16.15" customHeight="1" x14ac:dyDescent="0.25">
      <x:c r="C80" s="35">
        <x:f>IF(E80=0,"",HYPERLINK("H:\Projekte\Projekte aktuell\Sonstige Projekte\1139 - ENSET\AP09_Innolab\Akquise\Datenbank &amp; Liste\"&amp;E80&amp;"_"&amp;G80,E80&amp;"_"&amp;G80))</x:f>
      </x:c>
      <x:c r="D80" s="5">
        <x:f/>
      </x:c>
      <x:c r="E80" s="5">
        <x:f/>
      </x:c>
      <x:c r="F80" s="5">
        <x:f/>
      </x:c>
      <x:c r="G80" s="5">
        <x:f/>
      </x:c>
      <x:c r="H80" s="5">
        <x:f/>
      </x:c>
      <x:c r="I80" s="5">
        <x:f/>
      </x:c>
      <x:c r="J80" s="5">
        <x:f/>
      </x:c>
      <x:c r="K80" s="5">
        <x:f/>
      </x:c>
      <x:c r="L80" s="5">
        <x:f/>
      </x:c>
      <x:c r="M80" s="5">
        <x:f/>
      </x:c>
      <x:c r="N80" s="5">
        <x:f/>
      </x:c>
      <x:c r="O80" s="5">
        <x:f/>
      </x:c>
      <x:c r="P80" s="5">
        <x:f/>
      </x:c>
      <x:c r="Q80" s="5">
        <x:f/>
      </x:c>
      <x:c r="R80" s="5">
        <x:f/>
      </x:c>
      <x:c r="S80" s="5">
        <x:f/>
      </x:c>
      <x:c r="T80" s="5">
        <x:f/>
      </x:c>
      <x:c r="U80" s="5">
        <x:f/>
      </x:c>
      <x:c r="V80" s="5">
        <x:f/>
      </x:c>
      <x:c r="W80" s="0">
        <x:f/>
      </x:c>
      <x:c r="X80" s="0">
        <x:f/>
      </x:c>
      <x:c r="Y80" s="0">
        <x:f/>
      </x:c>
      <x:c r="Z80" s="0">
        <x:f/>
      </x:c>
    </x:row>
    <x:row r="81" spans="1:40" ht="16.15" customHeight="1" x14ac:dyDescent="0.25">
      <x:c r="C81" s="35">
        <x:f>IF(E81=0,"",HYPERLINK("H:\Projekte\Projekte aktuell\Sonstige Projekte\1139 - ENSET\AP09_Innolab\Akquise\Datenbank &amp; Liste\"&amp;E81&amp;"_"&amp;G81,E81&amp;"_"&amp;G81))</x:f>
      </x:c>
      <x:c r="D81" s="5">
        <x:f/>
      </x:c>
      <x:c r="E81" s="5">
        <x:f/>
      </x:c>
      <x:c r="F81" s="5">
        <x:f/>
      </x:c>
      <x:c r="G81" s="5">
        <x:f/>
      </x:c>
      <x:c r="H81" s="5">
        <x:f/>
      </x:c>
      <x:c r="I81" s="5">
        <x:f/>
      </x:c>
      <x:c r="J81" s="5">
        <x:f/>
      </x:c>
      <x:c r="K81" s="5">
        <x:f/>
      </x:c>
      <x:c r="L81" s="5">
        <x:f/>
      </x:c>
      <x:c r="M81" s="5">
        <x:f/>
      </x:c>
      <x:c r="N81" s="5">
        <x:f/>
      </x:c>
      <x:c r="O81" s="5">
        <x:f/>
      </x:c>
      <x:c r="P81" s="5">
        <x:f/>
      </x:c>
      <x:c r="Q81" s="5">
        <x:f/>
      </x:c>
      <x:c r="R81" s="5">
        <x:f/>
      </x:c>
      <x:c r="S81" s="5">
        <x:f/>
      </x:c>
      <x:c r="T81" s="5">
        <x:f/>
      </x:c>
      <x:c r="U81" s="5">
        <x:f/>
      </x:c>
      <x:c r="V81" s="5">
        <x:f/>
      </x:c>
      <x:c r="W81" s="0">
        <x:f/>
      </x:c>
      <x:c r="X81" s="0">
        <x:f/>
      </x:c>
      <x:c r="Y81" s="0">
        <x:f/>
      </x:c>
      <x:c r="Z81" s="0">
        <x:f/>
      </x:c>
    </x:row>
    <x:row r="82" spans="1:40" ht="16.15" customHeight="1" x14ac:dyDescent="0.25">
      <x:c r="C82" s="35">
        <x:f>IF(E82=0,"",HYPERLINK("H:\Projekte\Projekte aktuell\Sonstige Projekte\1139 - ENSET\AP09_Innolab\Akquise\Datenbank &amp; Liste\"&amp;E82&amp;"_"&amp;G82,E82&amp;"_"&amp;G82))</x:f>
      </x:c>
      <x:c r="D82" s="5">
        <x:f/>
      </x:c>
      <x:c r="E82" s="5">
        <x:f/>
      </x:c>
      <x:c r="F82" s="5">
        <x:f/>
      </x:c>
      <x:c r="G82" s="5">
        <x:f/>
      </x:c>
      <x:c r="H82" s="5">
        <x:f/>
      </x:c>
      <x:c r="I82" s="5">
        <x:f/>
      </x:c>
      <x:c r="J82" s="5">
        <x:f/>
      </x:c>
      <x:c r="K82" s="5">
        <x:f/>
      </x:c>
      <x:c r="L82" s="5">
        <x:f/>
      </x:c>
      <x:c r="M82" s="5">
        <x:f/>
      </x:c>
      <x:c r="N82" s="5">
        <x:f/>
      </x:c>
      <x:c r="O82" s="5">
        <x:f/>
      </x:c>
      <x:c r="P82" s="5">
        <x:f/>
      </x:c>
      <x:c r="Q82" s="5">
        <x:f/>
      </x:c>
      <x:c r="R82" s="5">
        <x:f/>
      </x:c>
      <x:c r="S82" s="5">
        <x:f/>
      </x:c>
      <x:c r="T82" s="5">
        <x:f/>
      </x:c>
      <x:c r="U82" s="5">
        <x:f/>
      </x:c>
      <x:c r="V82" s="5">
        <x:f/>
      </x:c>
      <x:c r="W82" s="0">
        <x:f/>
      </x:c>
      <x:c r="X82" s="0">
        <x:f/>
      </x:c>
      <x:c r="Y82" s="0">
        <x:f/>
      </x:c>
      <x:c r="Z82" s="0">
        <x:f/>
      </x:c>
    </x:row>
    <x:row r="83" spans="1:40" ht="16.15" customHeight="1" x14ac:dyDescent="0.25">
      <x:c r="C83" s="35">
        <x:f>IF(E83=0,"",HYPERLINK("H:\Projekte\Projekte aktuell\Sonstige Projekte\1139 - ENSET\AP09_Innolab\Akquise\Datenbank &amp; Liste\"&amp;E83&amp;"_"&amp;G83,E83&amp;"_"&amp;G83))</x:f>
      </x:c>
      <x:c r="D83" s="5">
        <x:f/>
      </x:c>
      <x:c r="E83" s="5">
        <x:f/>
      </x:c>
      <x:c r="F83" s="5">
        <x:f/>
      </x:c>
      <x:c r="G83" s="5">
        <x:f/>
      </x:c>
      <x:c r="H83" s="5">
        <x:f/>
      </x:c>
      <x:c r="I83" s="5">
        <x:f/>
      </x:c>
      <x:c r="J83" s="5">
        <x:f/>
      </x:c>
      <x:c r="K83" s="5">
        <x:f/>
      </x:c>
      <x:c r="L83" s="5">
        <x:f/>
      </x:c>
      <x:c r="M83" s="5">
        <x:f/>
      </x:c>
      <x:c r="N83" s="5">
        <x:f/>
      </x:c>
      <x:c r="O83" s="5">
        <x:f/>
      </x:c>
      <x:c r="P83" s="5">
        <x:f/>
      </x:c>
      <x:c r="Q83" s="5">
        <x:f/>
      </x:c>
      <x:c r="R83" s="5">
        <x:f/>
      </x:c>
      <x:c r="S83" s="5">
        <x:f/>
      </x:c>
      <x:c r="T83" s="5">
        <x:f/>
      </x:c>
      <x:c r="U83" s="5">
        <x:f/>
      </x:c>
      <x:c r="V83" s="5">
        <x:f/>
      </x:c>
      <x:c r="W83" s="0">
        <x:f/>
      </x:c>
      <x:c r="X83" s="0">
        <x:f/>
      </x:c>
      <x:c r="Y83" s="0">
        <x:f/>
      </x:c>
      <x:c r="Z83" s="0">
        <x:f/>
      </x:c>
    </x:row>
    <x:row r="84" spans="1:40" ht="16.15" customHeight="1" x14ac:dyDescent="0.25">
      <x:c r="C84" s="35">
        <x:f>IF(E84=0,"",HYPERLINK("H:\Projekte\Projekte aktuell\Sonstige Projekte\1139 - ENSET\AP09_Innolab\Akquise\Datenbank &amp; Liste\"&amp;E84&amp;"_"&amp;G84,E84&amp;"_"&amp;G84))</x:f>
      </x:c>
      <x:c r="D84" s="5">
        <x:f/>
      </x:c>
      <x:c r="E84" s="5">
        <x:f/>
      </x:c>
      <x:c r="F84" s="5">
        <x:f/>
      </x:c>
      <x:c r="G84" s="5">
        <x:f/>
      </x:c>
      <x:c r="H84" s="5">
        <x:f/>
      </x:c>
      <x:c r="I84" s="5">
        <x:f/>
      </x:c>
      <x:c r="J84" s="5">
        <x:f/>
      </x:c>
      <x:c r="K84" s="5">
        <x:f/>
      </x:c>
      <x:c r="L84" s="5">
        <x:f/>
      </x:c>
      <x:c r="M84" s="5">
        <x:f/>
      </x:c>
      <x:c r="N84" s="5">
        <x:f/>
      </x:c>
      <x:c r="O84" s="5">
        <x:f/>
      </x:c>
      <x:c r="P84" s="5">
        <x:f/>
      </x:c>
      <x:c r="Q84" s="5">
        <x:f/>
      </x:c>
      <x:c r="R84" s="5">
        <x:f/>
      </x:c>
      <x:c r="S84" s="5">
        <x:f/>
      </x:c>
      <x:c r="T84" s="5">
        <x:f/>
      </x:c>
      <x:c r="U84" s="5">
        <x:f/>
      </x:c>
      <x:c r="V84" s="5">
        <x:f/>
      </x:c>
      <x:c r="W84" s="0">
        <x:f/>
      </x:c>
      <x:c r="X84" s="0">
        <x:f/>
      </x:c>
      <x:c r="Y84" s="0">
        <x:f/>
      </x:c>
      <x:c r="Z84" s="0">
        <x:f/>
      </x:c>
    </x:row>
    <x:row r="85" spans="1:40" ht="16.15" customHeight="1" x14ac:dyDescent="0.25">
      <x:c r="C85" s="35">
        <x:f>IF(E85=0,"",HYPERLINK("H:\Projekte\Projekte aktuell\Sonstige Projekte\1139 - ENSET\AP09_Innolab\Akquise\Datenbank &amp; Liste\"&amp;E85&amp;"_"&amp;G85,E85&amp;"_"&amp;G85))</x:f>
      </x:c>
      <x:c r="D85" s="5">
        <x:f/>
      </x:c>
      <x:c r="E85" s="5">
        <x:f/>
      </x:c>
      <x:c r="F85" s="5">
        <x:f/>
      </x:c>
      <x:c r="G85" s="5">
        <x:f/>
      </x:c>
      <x:c r="H85" s="5">
        <x:f/>
      </x:c>
      <x:c r="I85" s="5">
        <x:f/>
      </x:c>
      <x:c r="J85" s="5">
        <x:f/>
      </x:c>
      <x:c r="K85" s="5">
        <x:f/>
      </x:c>
      <x:c r="L85" s="5">
        <x:f/>
      </x:c>
      <x:c r="M85" s="5">
        <x:f/>
      </x:c>
      <x:c r="N85" s="5">
        <x:f/>
      </x:c>
      <x:c r="O85" s="5">
        <x:f/>
      </x:c>
      <x:c r="P85" s="5">
        <x:f/>
      </x:c>
      <x:c r="Q85" s="5">
        <x:f/>
      </x:c>
      <x:c r="R85" s="5">
        <x:f/>
      </x:c>
      <x:c r="S85" s="5">
        <x:f/>
      </x:c>
      <x:c r="T85" s="5">
        <x:f/>
      </x:c>
      <x:c r="U85" s="5">
        <x:f/>
      </x:c>
      <x:c r="V85" s="5">
        <x:f/>
      </x:c>
      <x:c r="W85" s="0">
        <x:f/>
      </x:c>
      <x:c r="X85" s="0">
        <x:f/>
      </x:c>
      <x:c r="Y85" s="0">
        <x:f/>
      </x:c>
      <x:c r="Z85" s="0">
        <x:f/>
      </x:c>
    </x:row>
    <x:row r="86" spans="1:40" ht="16.15" customHeight="1" x14ac:dyDescent="0.25">
      <x:c r="C86" s="35">
        <x:f>IF(E86=0,"",HYPERLINK("H:\Projekte\Projekte aktuell\Sonstige Projekte\1139 - ENSET\AP09_Innolab\Akquise\Datenbank &amp; Liste\"&amp;E86&amp;"_"&amp;G86,E86&amp;"_"&amp;G86))</x:f>
      </x:c>
      <x:c r="D86" s="5">
        <x:f/>
      </x:c>
      <x:c r="E86" s="5">
        <x:f/>
      </x:c>
      <x:c r="F86" s="5">
        <x:f/>
      </x:c>
      <x:c r="G86" s="5">
        <x:f/>
      </x:c>
      <x:c r="H86" s="5">
        <x:f/>
      </x:c>
      <x:c r="I86" s="5">
        <x:f/>
      </x:c>
      <x:c r="J86" s="5">
        <x:f/>
      </x:c>
      <x:c r="K86" s="5">
        <x:f/>
      </x:c>
      <x:c r="L86" s="5">
        <x:f/>
      </x:c>
      <x:c r="M86" s="5">
        <x:f/>
      </x:c>
      <x:c r="N86" s="5">
        <x:f/>
      </x:c>
      <x:c r="O86" s="5">
        <x:f/>
      </x:c>
      <x:c r="P86" s="5">
        <x:f/>
      </x:c>
      <x:c r="Q86" s="5">
        <x:f/>
      </x:c>
      <x:c r="R86" s="5">
        <x:f/>
      </x:c>
      <x:c r="S86" s="5">
        <x:f/>
      </x:c>
      <x:c r="T86" s="5">
        <x:f/>
      </x:c>
      <x:c r="U86" s="5">
        <x:f/>
      </x:c>
      <x:c r="V86" s="5">
        <x:f/>
      </x:c>
      <x:c r="W86" s="0">
        <x:f/>
      </x:c>
      <x:c r="X86" s="0">
        <x:f/>
      </x:c>
      <x:c r="Y86" s="0">
        <x:f/>
      </x:c>
      <x:c r="Z86" s="0">
        <x:f/>
      </x:c>
    </x:row>
    <x:row r="87" spans="1:40" ht="16.15" customHeight="1" x14ac:dyDescent="0.25">
      <x:c r="C87" s="35">
        <x:f>IF(E87=0,"",HYPERLINK("H:\Projekte\Projekte aktuell\Sonstige Projekte\1139 - ENSET\AP09_Innolab\Akquise\Datenbank &amp; Liste\"&amp;E87&amp;"_"&amp;G87,E87&amp;"_"&amp;G87))</x:f>
      </x:c>
      <x:c r="D87" s="5">
        <x:f/>
      </x:c>
      <x:c r="E87" s="5">
        <x:f/>
      </x:c>
      <x:c r="F87" s="5">
        <x:f/>
      </x:c>
      <x:c r="G87" s="5">
        <x:f/>
      </x:c>
      <x:c r="H87" s="5">
        <x:f/>
      </x:c>
      <x:c r="I87" s="5">
        <x:f/>
      </x:c>
      <x:c r="J87" s="5">
        <x:f/>
      </x:c>
      <x:c r="K87" s="5">
        <x:f/>
      </x:c>
      <x:c r="L87" s="5">
        <x:f/>
      </x:c>
      <x:c r="M87" s="5">
        <x:f/>
      </x:c>
      <x:c r="N87" s="5">
        <x:f/>
      </x:c>
      <x:c r="O87" s="5">
        <x:f/>
      </x:c>
      <x:c r="P87" s="5">
        <x:f/>
      </x:c>
      <x:c r="Q87" s="5">
        <x:f/>
      </x:c>
      <x:c r="R87" s="5">
        <x:f/>
      </x:c>
      <x:c r="S87" s="5">
        <x:f/>
      </x:c>
      <x:c r="T87" s="5">
        <x:f/>
      </x:c>
      <x:c r="U87" s="5">
        <x:f/>
      </x:c>
      <x:c r="V87" s="5">
        <x:f/>
      </x:c>
      <x:c r="W87" s="0">
        <x:f/>
      </x:c>
      <x:c r="X87" s="0">
        <x:f/>
      </x:c>
      <x:c r="Y87" s="0">
        <x:f/>
      </x:c>
      <x:c r="Z87" s="0">
        <x:f/>
      </x:c>
    </x:row>
    <x:row r="88" spans="1:40" ht="16.15" customHeight="1" x14ac:dyDescent="0.25">
      <x:c r="C88" s="35">
        <x:f>IF(E88=0,"",HYPERLINK("H:\Projekte\Projekte aktuell\Sonstige Projekte\1139 - ENSET\AP09_Innolab\Akquise\Datenbank &amp; Liste\"&amp;E88&amp;"_"&amp;G88,E88&amp;"_"&amp;G88))</x:f>
      </x:c>
      <x:c r="D88" s="5">
        <x:f/>
      </x:c>
      <x:c r="E88" s="5">
        <x:f/>
      </x:c>
      <x:c r="F88" s="5">
        <x:f/>
      </x:c>
      <x:c r="G88" s="5">
        <x:f/>
      </x:c>
      <x:c r="H88" s="5">
        <x:f/>
      </x:c>
      <x:c r="I88" s="5">
        <x:f/>
      </x:c>
      <x:c r="J88" s="5">
        <x:f/>
      </x:c>
      <x:c r="K88" s="5">
        <x:f/>
      </x:c>
      <x:c r="L88" s="5">
        <x:f/>
      </x:c>
      <x:c r="M88" s="5">
        <x:f/>
      </x:c>
      <x:c r="N88" s="5">
        <x:f/>
      </x:c>
      <x:c r="O88" s="5">
        <x:f/>
      </x:c>
      <x:c r="P88" s="5">
        <x:f/>
      </x:c>
      <x:c r="Q88" s="5">
        <x:f/>
      </x:c>
      <x:c r="R88" s="5">
        <x:f/>
      </x:c>
      <x:c r="S88" s="5">
        <x:f/>
      </x:c>
      <x:c r="T88" s="5">
        <x:f/>
      </x:c>
      <x:c r="U88" s="5">
        <x:f/>
      </x:c>
      <x:c r="V88" s="5">
        <x:f/>
      </x:c>
      <x:c r="W88" s="0">
        <x:f/>
      </x:c>
      <x:c r="X88" s="0">
        <x:f/>
      </x:c>
      <x:c r="Y88" s="0">
        <x:f/>
      </x:c>
      <x:c r="Z88" s="0">
        <x:f/>
      </x:c>
    </x:row>
    <x:row r="89" spans="1:40" ht="16.15" customHeight="1" x14ac:dyDescent="0.25">
      <x:c r="C89" s="35">
        <x:f>IF(E89=0,"",HYPERLINK("H:\Projekte\Projekte aktuell\Sonstige Projekte\1139 - ENSET\AP09_Innolab\Akquise\Datenbank &amp; Liste\"&amp;E89&amp;"_"&amp;G89,E89&amp;"_"&amp;G89))</x:f>
      </x:c>
      <x:c r="D89" s="5">
        <x:f/>
      </x:c>
      <x:c r="E89" s="5">
        <x:f/>
      </x:c>
      <x:c r="F89" s="5">
        <x:f/>
      </x:c>
      <x:c r="G89" s="5">
        <x:f/>
      </x:c>
      <x:c r="H89" s="5">
        <x:f/>
      </x:c>
      <x:c r="I89" s="5">
        <x:f/>
      </x:c>
      <x:c r="J89" s="5">
        <x:f/>
      </x:c>
      <x:c r="K89" s="5">
        <x:f/>
      </x:c>
      <x:c r="L89" s="5">
        <x:f/>
      </x:c>
      <x:c r="M89" s="5">
        <x:f/>
      </x:c>
      <x:c r="N89" s="5">
        <x:f/>
      </x:c>
      <x:c r="O89" s="5">
        <x:f/>
      </x:c>
      <x:c r="P89" s="5">
        <x:f/>
      </x:c>
      <x:c r="Q89" s="5">
        <x:f/>
      </x:c>
      <x:c r="R89" s="5">
        <x:f/>
      </x:c>
      <x:c r="S89" s="5">
        <x:f/>
      </x:c>
      <x:c r="T89" s="5">
        <x:f/>
      </x:c>
      <x:c r="U89" s="5">
        <x:f/>
      </x:c>
      <x:c r="V89" s="5">
        <x:f/>
      </x:c>
      <x:c r="W89" s="0">
        <x:f/>
      </x:c>
      <x:c r="X89" s="0">
        <x:f/>
      </x:c>
      <x:c r="Y89" s="0">
        <x:f/>
      </x:c>
      <x:c r="Z89" s="0">
        <x:f/>
      </x:c>
    </x:row>
    <x:row r="90" spans="1:40" ht="16.15" customHeight="1" x14ac:dyDescent="0.25">
      <x:c r="C90" s="35">
        <x:f>IF(E90=0,"",HYPERLINK("H:\Projekte\Projekte aktuell\Sonstige Projekte\1139 - ENSET\AP09_Innolab\Akquise\Datenbank &amp; Liste\"&amp;E90&amp;"_"&amp;G90,E90&amp;"_"&amp;G90))</x:f>
      </x:c>
      <x:c r="D90" s="5">
        <x:f/>
      </x:c>
      <x:c r="E90" s="5">
        <x:f/>
      </x:c>
      <x:c r="F90" s="5">
        <x:f/>
      </x:c>
      <x:c r="G90" s="5">
        <x:f/>
      </x:c>
      <x:c r="H90" s="5">
        <x:f/>
      </x:c>
      <x:c r="I90" s="5">
        <x:f/>
      </x:c>
      <x:c r="J90" s="5">
        <x:f/>
      </x:c>
      <x:c r="K90" s="5">
        <x:f/>
      </x:c>
      <x:c r="L90" s="5">
        <x:f/>
      </x:c>
      <x:c r="M90" s="5">
        <x:f/>
      </x:c>
      <x:c r="N90" s="5">
        <x:f/>
      </x:c>
      <x:c r="O90" s="5">
        <x:f/>
      </x:c>
      <x:c r="P90" s="5">
        <x:f/>
      </x:c>
      <x:c r="Q90" s="5">
        <x:f/>
      </x:c>
      <x:c r="R90" s="5">
        <x:f/>
      </x:c>
      <x:c r="S90" s="5">
        <x:f/>
      </x:c>
      <x:c r="T90" s="5">
        <x:f/>
      </x:c>
      <x:c r="U90" s="5">
        <x:f/>
      </x:c>
      <x:c r="V90" s="5">
        <x:f/>
      </x:c>
      <x:c r="W90" s="0">
        <x:f/>
      </x:c>
      <x:c r="X90" s="0">
        <x:f/>
      </x:c>
      <x:c r="Y90" s="0">
        <x:f/>
      </x:c>
      <x:c r="Z90" s="0">
        <x:f/>
      </x:c>
    </x:row>
    <x:row r="91" spans="1:40" ht="16.15" customHeight="1" x14ac:dyDescent="0.25">
      <x:c r="C91" s="35">
        <x:f>IF(E91=0,"",HYPERLINK("H:\Projekte\Projekte aktuell\Sonstige Projekte\1139 - ENSET\AP09_Innolab\Akquise\Datenbank &amp; Liste\"&amp;E91&amp;"_"&amp;G91,E91&amp;"_"&amp;G91))</x:f>
      </x:c>
      <x:c r="D91" s="5">
        <x:f/>
      </x:c>
      <x:c r="E91" s="5">
        <x:f/>
      </x:c>
      <x:c r="F91" s="5">
        <x:f/>
      </x:c>
      <x:c r="G91" s="5">
        <x:f/>
      </x:c>
      <x:c r="H91" s="5">
        <x:f/>
      </x:c>
      <x:c r="I91" s="5">
        <x:f/>
      </x:c>
      <x:c r="J91" s="5">
        <x:f/>
      </x:c>
      <x:c r="K91" s="5">
        <x:f/>
      </x:c>
      <x:c r="L91" s="5">
        <x:f/>
      </x:c>
      <x:c r="M91" s="5">
        <x:f/>
      </x:c>
      <x:c r="N91" s="5">
        <x:f/>
      </x:c>
      <x:c r="O91" s="5">
        <x:f/>
      </x:c>
      <x:c r="P91" s="5">
        <x:f/>
      </x:c>
      <x:c r="Q91" s="5">
        <x:f/>
      </x:c>
      <x:c r="R91" s="5">
        <x:f/>
      </x:c>
      <x:c r="S91" s="5">
        <x:f/>
      </x:c>
      <x:c r="T91" s="5">
        <x:f/>
      </x:c>
      <x:c r="U91" s="5">
        <x:f/>
      </x:c>
      <x:c r="V91" s="5">
        <x:f/>
      </x:c>
      <x:c r="W91" s="0">
        <x:f/>
      </x:c>
      <x:c r="X91" s="0">
        <x:f/>
      </x:c>
      <x:c r="Y91" s="0">
        <x:f/>
      </x:c>
      <x:c r="Z91" s="0">
        <x:f/>
      </x:c>
    </x:row>
    <x:row r="92" spans="1:40" ht="16.15" customHeight="1" x14ac:dyDescent="0.25">
      <x:c r="C92" s="35">
        <x:f>IF(E92=0,"",HYPERLINK("H:\Projekte\Projekte aktuell\Sonstige Projekte\1139 - ENSET\AP09_Innolab\Akquise\Datenbank &amp; Liste\"&amp;E92&amp;"_"&amp;G92,E92&amp;"_"&amp;G92))</x:f>
      </x:c>
      <x:c r="D92" s="5">
        <x:f/>
      </x:c>
      <x:c r="E92" s="5">
        <x:f/>
      </x:c>
      <x:c r="F92" s="5">
        <x:f/>
      </x:c>
      <x:c r="G92" s="5">
        <x:f/>
      </x:c>
      <x:c r="H92" s="5">
        <x:f/>
      </x:c>
      <x:c r="I92" s="5">
        <x:f/>
      </x:c>
      <x:c r="J92" s="5">
        <x:f/>
      </x:c>
      <x:c r="K92" s="5">
        <x:f/>
      </x:c>
      <x:c r="L92" s="5">
        <x:f/>
      </x:c>
      <x:c r="M92" s="5">
        <x:f/>
      </x:c>
      <x:c r="N92" s="5">
        <x:f/>
      </x:c>
      <x:c r="O92" s="5">
        <x:f/>
      </x:c>
      <x:c r="P92" s="5">
        <x:f/>
      </x:c>
      <x:c r="Q92" s="5">
        <x:f/>
      </x:c>
      <x:c r="R92" s="5">
        <x:f/>
      </x:c>
      <x:c r="S92" s="5">
        <x:f/>
      </x:c>
      <x:c r="T92" s="5">
        <x:f/>
      </x:c>
      <x:c r="U92" s="5">
        <x:f/>
      </x:c>
      <x:c r="V92" s="5">
        <x:f/>
      </x:c>
      <x:c r="W92" s="0">
        <x:f/>
      </x:c>
      <x:c r="X92" s="0">
        <x:f/>
      </x:c>
      <x:c r="Y92" s="0">
        <x:f/>
      </x:c>
      <x:c r="Z92" s="0">
        <x:f/>
      </x:c>
    </x:row>
    <x:row r="93" spans="1:40" ht="16.15" customHeight="1" x14ac:dyDescent="0.25">
      <x:c r="C93" s="35">
        <x:f>IF(E93=0,"",HYPERLINK("H:\Projekte\Projekte aktuell\Sonstige Projekte\1139 - ENSET\AP09_Innolab\Akquise\Datenbank &amp; Liste\"&amp;E93&amp;"_"&amp;G93,E93&amp;"_"&amp;G93))</x:f>
      </x:c>
      <x:c r="D93" s="5">
        <x:f/>
      </x:c>
      <x:c r="E93" s="5">
        <x:f/>
      </x:c>
      <x:c r="F93" s="5">
        <x:f/>
      </x:c>
      <x:c r="G93" s="5">
        <x:f/>
      </x:c>
      <x:c r="H93" s="5">
        <x:f/>
      </x:c>
      <x:c r="I93" s="5">
        <x:f/>
      </x:c>
      <x:c r="J93" s="5">
        <x:f/>
      </x:c>
      <x:c r="K93" s="5">
        <x:f/>
      </x:c>
      <x:c r="L93" s="5">
        <x:f/>
      </x:c>
      <x:c r="M93" s="5">
        <x:f/>
      </x:c>
      <x:c r="N93" s="5">
        <x:f/>
      </x:c>
      <x:c r="O93" s="5">
        <x:f/>
      </x:c>
      <x:c r="P93" s="5">
        <x:f/>
      </x:c>
      <x:c r="Q93" s="5">
        <x:f/>
      </x:c>
      <x:c r="R93" s="5">
        <x:f/>
      </x:c>
      <x:c r="S93" s="5">
        <x:f/>
      </x:c>
      <x:c r="T93" s="5">
        <x:f/>
      </x:c>
      <x:c r="U93" s="5">
        <x:f/>
      </x:c>
      <x:c r="V93" s="5">
        <x:f/>
      </x:c>
      <x:c r="W93" s="0">
        <x:f/>
      </x:c>
      <x:c r="X93" s="0">
        <x:f/>
      </x:c>
      <x:c r="Y93" s="0">
        <x:f/>
      </x:c>
      <x:c r="Z93" s="0">
        <x:f/>
      </x:c>
    </x:row>
    <x:row r="94" spans="1:40" ht="16.15" customHeight="1" x14ac:dyDescent="0.25">
      <x:c r="C94" s="35">
        <x:f>IF(E94=0,"",HYPERLINK("H:\Projekte\Projekte aktuell\Sonstige Projekte\1139 - ENSET\AP09_Innolab\Akquise\Datenbank &amp; Liste\"&amp;E94&amp;"_"&amp;G94,E94&amp;"_"&amp;G94))</x:f>
      </x:c>
      <x:c r="D94" s="5">
        <x:f/>
      </x:c>
      <x:c r="E94" s="5">
        <x:f/>
      </x:c>
      <x:c r="F94" s="5">
        <x:f/>
      </x:c>
      <x:c r="G94" s="5">
        <x:f/>
      </x:c>
      <x:c r="H94" s="5">
        <x:f/>
      </x:c>
      <x:c r="I94" s="5">
        <x:f/>
      </x:c>
      <x:c r="J94" s="5">
        <x:f/>
      </x:c>
      <x:c r="K94" s="5">
        <x:f/>
      </x:c>
      <x:c r="L94" s="5">
        <x:f/>
      </x:c>
      <x:c r="M94" s="5">
        <x:f/>
      </x:c>
      <x:c r="N94" s="5">
        <x:f/>
      </x:c>
      <x:c r="O94" s="5">
        <x:f/>
      </x:c>
      <x:c r="P94" s="5">
        <x:f/>
      </x:c>
      <x:c r="Q94" s="5">
        <x:f/>
      </x:c>
      <x:c r="R94" s="5">
        <x:f/>
      </x:c>
      <x:c r="S94" s="5">
        <x:f/>
      </x:c>
      <x:c r="T94" s="5">
        <x:f/>
      </x:c>
      <x:c r="U94" s="5">
        <x:f/>
      </x:c>
      <x:c r="V94" s="5">
        <x:f/>
      </x:c>
      <x:c r="W94" s="0">
        <x:f/>
      </x:c>
      <x:c r="X94" s="0">
        <x:f/>
      </x:c>
      <x:c r="Y94" s="0">
        <x:f/>
      </x:c>
      <x:c r="Z94" s="0">
        <x:f/>
      </x:c>
    </x:row>
    <x:row r="95" spans="1:40" ht="16.15" customHeight="1" x14ac:dyDescent="0.25">
      <x:c r="C95" s="35">
        <x:f>IF(E95=0,"",HYPERLINK("H:\Projekte\Projekte aktuell\Sonstige Projekte\1139 - ENSET\AP09_Innolab\Akquise\Datenbank &amp; Liste\"&amp;E95&amp;"_"&amp;G95,E95&amp;"_"&amp;G95))</x:f>
      </x:c>
      <x:c r="D95" s="5">
        <x:f/>
      </x:c>
      <x:c r="E95" s="5">
        <x:f/>
      </x:c>
      <x:c r="F95" s="5">
        <x:f/>
      </x:c>
      <x:c r="G95" s="5">
        <x:f/>
      </x:c>
      <x:c r="H95" s="5">
        <x:f/>
      </x:c>
      <x:c r="I95" s="5">
        <x:f/>
      </x:c>
      <x:c r="J95" s="5">
        <x:f/>
      </x:c>
      <x:c r="K95" s="5">
        <x:f/>
      </x:c>
      <x:c r="L95" s="5">
        <x:f/>
      </x:c>
      <x:c r="M95" s="5">
        <x:f/>
      </x:c>
      <x:c r="N95" s="5">
        <x:f/>
      </x:c>
      <x:c r="O95" s="5">
        <x:f/>
      </x:c>
      <x:c r="P95" s="5">
        <x:f/>
      </x:c>
      <x:c r="Q95" s="5">
        <x:f/>
      </x:c>
      <x:c r="R95" s="5">
        <x:f/>
      </x:c>
      <x:c r="S95" s="5">
        <x:f/>
      </x:c>
      <x:c r="T95" s="5">
        <x:f/>
      </x:c>
      <x:c r="U95" s="5">
        <x:f/>
      </x:c>
      <x:c r="V95" s="5">
        <x:f/>
      </x:c>
      <x:c r="W95" s="0">
        <x:f/>
      </x:c>
      <x:c r="X95" s="0">
        <x:f/>
      </x:c>
      <x:c r="Y95" s="0">
        <x:f/>
      </x:c>
      <x:c r="Z95" s="0">
        <x:f/>
      </x:c>
    </x:row>
    <x:row r="96" spans="1:40" ht="16.15" customHeight="1" x14ac:dyDescent="0.25">
      <x:c r="C96" s="35">
        <x:f>IF(E96=0,"",HYPERLINK("H:\Projekte\Projekte aktuell\Sonstige Projekte\1139 - ENSET\AP09_Innolab\Akquise\Datenbank &amp; Liste\"&amp;E96&amp;"_"&amp;G96,E96&amp;"_"&amp;G96))</x:f>
      </x:c>
      <x:c r="D96" s="5">
        <x:f/>
      </x:c>
      <x:c r="E96" s="5">
        <x:f/>
      </x:c>
      <x:c r="F96" s="5">
        <x:f/>
      </x:c>
      <x:c r="G96" s="5">
        <x:f/>
      </x:c>
      <x:c r="H96" s="5">
        <x:f/>
      </x:c>
      <x:c r="I96" s="5">
        <x:f/>
      </x:c>
      <x:c r="J96" s="5">
        <x:f/>
      </x:c>
      <x:c r="K96" s="5">
        <x:f/>
      </x:c>
      <x:c r="L96" s="5">
        <x:f/>
      </x:c>
      <x:c r="M96" s="5">
        <x:f/>
      </x:c>
      <x:c r="N96" s="5">
        <x:f/>
      </x:c>
      <x:c r="O96" s="5">
        <x:f/>
      </x:c>
      <x:c r="P96" s="5">
        <x:f/>
      </x:c>
      <x:c r="Q96" s="5">
        <x:f/>
      </x:c>
      <x:c r="R96" s="5">
        <x:f/>
      </x:c>
      <x:c r="S96" s="5">
        <x:f/>
      </x:c>
      <x:c r="T96" s="5">
        <x:f/>
      </x:c>
      <x:c r="U96" s="5">
        <x:f/>
      </x:c>
      <x:c r="V96" s="5">
        <x:f/>
      </x:c>
      <x:c r="W96" s="0">
        <x:f/>
      </x:c>
      <x:c r="X96" s="0">
        <x:f/>
      </x:c>
      <x:c r="Y96" s="0">
        <x:f/>
      </x:c>
      <x:c r="Z96" s="0">
        <x:f/>
      </x:c>
    </x:row>
    <x:row r="97" spans="1:40" ht="16.15" customHeight="1" x14ac:dyDescent="0.25">
      <x:c r="C97" s="35">
        <x:f>IF(E97=0,"",HYPERLINK("H:\Projekte\Projekte aktuell\Sonstige Projekte\1139 - ENSET\AP09_Innolab\Akquise\Datenbank &amp; Liste\"&amp;E97&amp;"_"&amp;G97,E97&amp;"_"&amp;G97))</x:f>
      </x:c>
      <x:c r="D97" s="5">
        <x:f/>
      </x:c>
      <x:c r="E97" s="5">
        <x:f/>
      </x:c>
      <x:c r="F97" s="5">
        <x:f/>
      </x:c>
      <x:c r="G97" s="5">
        <x:f/>
      </x:c>
      <x:c r="H97" s="5">
        <x:f/>
      </x:c>
      <x:c r="I97" s="5">
        <x:f/>
      </x:c>
      <x:c r="J97" s="5">
        <x:f/>
      </x:c>
      <x:c r="K97" s="5">
        <x:f/>
      </x:c>
      <x:c r="L97" s="5">
        <x:f/>
      </x:c>
      <x:c r="M97" s="5">
        <x:f/>
      </x:c>
      <x:c r="N97" s="5">
        <x:f/>
      </x:c>
      <x:c r="O97" s="5">
        <x:f/>
      </x:c>
      <x:c r="P97" s="5">
        <x:f/>
      </x:c>
      <x:c r="Q97" s="5">
        <x:f/>
      </x:c>
      <x:c r="R97" s="5">
        <x:f/>
      </x:c>
      <x:c r="S97" s="5">
        <x:f/>
      </x:c>
      <x:c r="T97" s="5">
        <x:f/>
      </x:c>
      <x:c r="U97" s="5">
        <x:f/>
      </x:c>
      <x:c r="V97" s="5">
        <x:f/>
      </x:c>
      <x:c r="W97" s="0">
        <x:f/>
      </x:c>
      <x:c r="X97" s="0">
        <x:f/>
      </x:c>
      <x:c r="Y97" s="0">
        <x:f/>
      </x:c>
      <x:c r="Z97" s="0">
        <x:f/>
      </x:c>
    </x:row>
    <x:row r="98" spans="1:40" ht="16.15" customHeight="1" x14ac:dyDescent="0.25">
      <x:c r="C98" s="35">
        <x:f>IF(E98=0,"",HYPERLINK("H:\Projekte\Projekte aktuell\Sonstige Projekte\1139 - ENSET\AP09_Innolab\Akquise\Datenbank &amp; Liste\"&amp;E98&amp;"_"&amp;G98,E98&amp;"_"&amp;G98))</x:f>
      </x:c>
      <x:c r="D98" s="5">
        <x:f/>
      </x:c>
      <x:c r="E98" s="5">
        <x:f/>
      </x:c>
      <x:c r="F98" s="5">
        <x:f/>
      </x:c>
      <x:c r="G98" s="5">
        <x:f/>
      </x:c>
      <x:c r="H98" s="5">
        <x:f/>
      </x:c>
      <x:c r="I98" s="5">
        <x:f/>
      </x:c>
      <x:c r="J98" s="5">
        <x:f/>
      </x:c>
      <x:c r="K98" s="5">
        <x:f/>
      </x:c>
      <x:c r="L98" s="5">
        <x:f/>
      </x:c>
      <x:c r="M98" s="5">
        <x:f/>
      </x:c>
      <x:c r="N98" s="5">
        <x:f/>
      </x:c>
      <x:c r="O98" s="5">
        <x:f/>
      </x:c>
      <x:c r="P98" s="5">
        <x:f/>
      </x:c>
      <x:c r="Q98" s="5">
        <x:f/>
      </x:c>
      <x:c r="R98" s="5">
        <x:f/>
      </x:c>
      <x:c r="S98" s="5">
        <x:f/>
      </x:c>
      <x:c r="T98" s="5">
        <x:f/>
      </x:c>
      <x:c r="U98" s="5">
        <x:f/>
      </x:c>
      <x:c r="V98" s="5">
        <x:f/>
      </x:c>
      <x:c r="W98" s="0">
        <x:f/>
      </x:c>
      <x:c r="X98" s="0">
        <x:f/>
      </x:c>
      <x:c r="Y98" s="0">
        <x:f/>
      </x:c>
      <x:c r="Z98" s="0">
        <x:f/>
      </x:c>
    </x:row>
    <x:row r="99" spans="1:40" ht="16.15" customHeight="1" x14ac:dyDescent="0.25">
      <x:c r="C99" s="35">
        <x:f>IF(E99=0,"",HYPERLINK("H:\Projekte\Projekte aktuell\Sonstige Projekte\1139 - ENSET\AP09_Innolab\Akquise\Datenbank &amp; Liste\"&amp;E99&amp;"_"&amp;G99,E99&amp;"_"&amp;G99))</x:f>
      </x:c>
      <x:c r="D99" s="5">
        <x:f/>
      </x:c>
      <x:c r="E99" s="5">
        <x:f/>
      </x:c>
      <x:c r="F99" s="5">
        <x:f/>
      </x:c>
      <x:c r="G99" s="5">
        <x:f/>
      </x:c>
      <x:c r="H99" s="5">
        <x:f/>
      </x:c>
      <x:c r="I99" s="5">
        <x:f/>
      </x:c>
      <x:c r="J99" s="5">
        <x:f/>
      </x:c>
      <x:c r="K99" s="5">
        <x:f/>
      </x:c>
      <x:c r="L99" s="5">
        <x:f/>
      </x:c>
      <x:c r="M99" s="5">
        <x:f/>
      </x:c>
      <x:c r="N99" s="5">
        <x:f/>
      </x:c>
      <x:c r="O99" s="5">
        <x:f/>
      </x:c>
      <x:c r="P99" s="5">
        <x:f/>
      </x:c>
      <x:c r="Q99" s="5">
        <x:f/>
      </x:c>
      <x:c r="R99" s="5">
        <x:f/>
      </x:c>
      <x:c r="S99" s="5">
        <x:f/>
      </x:c>
      <x:c r="T99" s="5">
        <x:f/>
      </x:c>
      <x:c r="U99" s="5">
        <x:f/>
      </x:c>
      <x:c r="V99" s="5">
        <x:f/>
      </x:c>
      <x:c r="W99" s="0">
        <x:f/>
      </x:c>
      <x:c r="X99" s="0">
        <x:f/>
      </x:c>
      <x:c r="Y99" s="0">
        <x:f/>
      </x:c>
      <x:c r="Z99" s="0">
        <x:f/>
      </x:c>
    </x:row>
    <x:row r="100" spans="1:40" ht="16.15" customHeight="1" x14ac:dyDescent="0.25">
      <x:c r="C100" s="35">
        <x:f>IF(E100=0,"",HYPERLINK("H:\Projekte\Projekte aktuell\Sonstige Projekte\1139 - ENSET\AP09_Innolab\Akquise\Datenbank &amp; Liste\"&amp;E100&amp;"_"&amp;G100,E100&amp;"_"&amp;G100))</x:f>
      </x:c>
      <x:c r="D100" s="5">
        <x:f/>
      </x:c>
      <x:c r="E100" s="5">
        <x:f/>
      </x:c>
      <x:c r="F100" s="5">
        <x:f/>
      </x:c>
      <x:c r="G100" s="5">
        <x:f/>
      </x:c>
      <x:c r="H100" s="5">
        <x:f/>
      </x:c>
      <x:c r="I100" s="5">
        <x:f/>
      </x:c>
      <x:c r="J100" s="5">
        <x:f/>
      </x:c>
      <x:c r="K100" s="5">
        <x:f/>
      </x:c>
      <x:c r="L100" s="5">
        <x:f/>
      </x:c>
      <x:c r="M100" s="5">
        <x:f/>
      </x:c>
      <x:c r="N100" s="5">
        <x:f/>
      </x:c>
      <x:c r="O100" s="5">
        <x:f/>
      </x:c>
      <x:c r="P100" s="5">
        <x:f/>
      </x:c>
      <x:c r="Q100" s="5">
        <x:f/>
      </x:c>
      <x:c r="R100" s="5">
        <x:f/>
      </x:c>
      <x:c r="S100" s="5">
        <x:f/>
      </x:c>
      <x:c r="T100" s="5">
        <x:f/>
      </x:c>
      <x:c r="U100" s="5">
        <x:f/>
      </x:c>
      <x:c r="V100" s="5">
        <x:f/>
      </x:c>
      <x:c r="W100" s="0">
        <x:f/>
      </x:c>
      <x:c r="X100" s="0">
        <x:f/>
      </x:c>
      <x:c r="Y100" s="0">
        <x:f/>
      </x:c>
      <x:c r="Z100" s="0">
        <x:f/>
      </x:c>
    </x:row>
    <x:row r="101" spans="1:40" ht="16.15" customHeight="1" x14ac:dyDescent="0.25">
      <x:c r="C101" s="35">
        <x:f>IF(E101=0,"",HYPERLINK("H:\Projekte\Projekte aktuell\Sonstige Projekte\1139 - ENSET\AP09_Innolab\Akquise\Datenbank &amp; Liste\"&amp;E101&amp;"_"&amp;G101,E101&amp;"_"&amp;G101))</x:f>
      </x:c>
      <x:c r="D101" s="5">
        <x:f/>
      </x:c>
      <x:c r="E101" s="5">
        <x:f/>
      </x:c>
      <x:c r="F101" s="5">
        <x:f/>
      </x:c>
      <x:c r="G101" s="5">
        <x:f/>
      </x:c>
      <x:c r="H101" s="5">
        <x:f/>
      </x:c>
      <x:c r="I101" s="5">
        <x:f/>
      </x:c>
      <x:c r="J101" s="5">
        <x:f/>
      </x:c>
      <x:c r="K101" s="5">
        <x:f/>
      </x:c>
      <x:c r="L101" s="5">
        <x:f/>
      </x:c>
      <x:c r="M101" s="5">
        <x:f/>
      </x:c>
      <x:c r="N101" s="5">
        <x:f/>
      </x:c>
      <x:c r="O101" s="5">
        <x:f/>
      </x:c>
      <x:c r="P101" s="5">
        <x:f/>
      </x:c>
      <x:c r="Q101" s="5">
        <x:f/>
      </x:c>
      <x:c r="R101" s="5">
        <x:f/>
      </x:c>
      <x:c r="S101" s="5">
        <x:f/>
      </x:c>
      <x:c r="T101" s="5">
        <x:f/>
      </x:c>
      <x:c r="U101" s="5">
        <x:f/>
      </x:c>
      <x:c r="V101" s="5">
        <x:f/>
      </x:c>
      <x:c r="W101" s="0">
        <x:f/>
      </x:c>
      <x:c r="X101" s="0">
        <x:f/>
      </x:c>
      <x:c r="Y101" s="0">
        <x:f/>
      </x:c>
      <x:c r="Z101" s="0">
        <x:f/>
      </x:c>
    </x:row>
    <x:row r="102" spans="1:40" ht="16.15" customHeight="1" x14ac:dyDescent="0.25">
      <x:c r="C102" s="35">
        <x:f>IF(E102=0,"",HYPERLINK("H:\Projekte\Projekte aktuell\Sonstige Projekte\1139 - ENSET\AP09_Innolab\Akquise\Datenbank &amp; Liste\"&amp;E102&amp;"_"&amp;G102,E102&amp;"_"&amp;G102))</x:f>
      </x:c>
      <x:c r="D102" s="5">
        <x:f/>
      </x:c>
      <x:c r="E102" s="5">
        <x:f/>
      </x:c>
      <x:c r="F102" s="5">
        <x:f/>
      </x:c>
      <x:c r="G102" s="5">
        <x:f/>
      </x:c>
      <x:c r="H102" s="5">
        <x:f/>
      </x:c>
      <x:c r="I102" s="5">
        <x:f/>
      </x:c>
      <x:c r="J102" s="5">
        <x:f/>
      </x:c>
      <x:c r="K102" s="5">
        <x:f/>
      </x:c>
      <x:c r="L102" s="5">
        <x:f/>
      </x:c>
      <x:c r="M102" s="5">
        <x:f/>
      </x:c>
      <x:c r="N102" s="5">
        <x:f/>
      </x:c>
      <x:c r="O102" s="5">
        <x:f/>
      </x:c>
      <x:c r="P102" s="5">
        <x:f/>
      </x:c>
      <x:c r="Q102" s="5">
        <x:f/>
      </x:c>
      <x:c r="R102" s="5">
        <x:f/>
      </x:c>
      <x:c r="S102" s="5">
        <x:f/>
      </x:c>
      <x:c r="T102" s="5">
        <x:f/>
      </x:c>
      <x:c r="U102" s="5">
        <x:f/>
      </x:c>
      <x:c r="V102" s="5">
        <x:f/>
      </x:c>
      <x:c r="W102" s="0">
        <x:f/>
      </x:c>
      <x:c r="X102" s="0">
        <x:f/>
      </x:c>
      <x:c r="Y102" s="0">
        <x:f/>
      </x:c>
      <x:c r="Z102" s="0">
        <x:f/>
      </x:c>
    </x:row>
    <x:row r="103" spans="1:40" ht="16.15" customHeight="1" x14ac:dyDescent="0.25">
      <x:c r="C103" s="35">
        <x:f>IF(E103=0,"",HYPERLINK("H:\Projekte\Projekte aktuell\Sonstige Projekte\1139 - ENSET\AP09_Innolab\Akquise\Datenbank &amp; Liste\"&amp;E103&amp;"_"&amp;G103,E103&amp;"_"&amp;G103))</x:f>
      </x:c>
      <x:c r="D103" s="5">
        <x:f/>
      </x:c>
      <x:c r="E103" s="5">
        <x:f/>
      </x:c>
      <x:c r="F103" s="5">
        <x:f/>
      </x:c>
      <x:c r="G103" s="5">
        <x:f/>
      </x:c>
      <x:c r="H103" s="5">
        <x:f/>
      </x:c>
      <x:c r="I103" s="5">
        <x:f/>
      </x:c>
      <x:c r="J103" s="5">
        <x:f/>
      </x:c>
      <x:c r="K103" s="5">
        <x:f/>
      </x:c>
      <x:c r="L103" s="5">
        <x:f/>
      </x:c>
      <x:c r="M103" s="5">
        <x:f/>
      </x:c>
      <x:c r="N103" s="5">
        <x:f/>
      </x:c>
      <x:c r="O103" s="5">
        <x:f/>
      </x:c>
      <x:c r="P103" s="5">
        <x:f/>
      </x:c>
      <x:c r="Q103" s="5">
        <x:f/>
      </x:c>
      <x:c r="R103" s="5">
        <x:f/>
      </x:c>
      <x:c r="S103" s="5">
        <x:f/>
      </x:c>
      <x:c r="T103" s="5">
        <x:f/>
      </x:c>
      <x:c r="U103" s="5">
        <x:f/>
      </x:c>
      <x:c r="V103" s="5">
        <x:f/>
      </x:c>
      <x:c r="W103" s="0">
        <x:f/>
      </x:c>
      <x:c r="X103" s="0">
        <x:f/>
      </x:c>
      <x:c r="Y103" s="0">
        <x:f/>
      </x:c>
      <x:c r="Z103" s="0">
        <x:f/>
      </x:c>
    </x:row>
    <x:row r="104" spans="1:40" ht="16.15" customHeight="1" x14ac:dyDescent="0.25">
      <x:c r="C104" s="35">
        <x:f>IF(E104=0,"",HYPERLINK("H:\Projekte\Projekte aktuell\Sonstige Projekte\1139 - ENSET\AP09_Innolab\Akquise\Datenbank &amp; Liste\"&amp;E104&amp;"_"&amp;G104,E104&amp;"_"&amp;G104))</x:f>
      </x:c>
      <x:c r="D104" s="5">
        <x:f/>
      </x:c>
      <x:c r="E104" s="5">
        <x:f/>
      </x:c>
      <x:c r="F104" s="5">
        <x:f/>
      </x:c>
      <x:c r="G104" s="5">
        <x:f/>
      </x:c>
      <x:c r="H104" s="5">
        <x:f/>
      </x:c>
      <x:c r="I104" s="5">
        <x:f/>
      </x:c>
      <x:c r="J104" s="5">
        <x:f/>
      </x:c>
      <x:c r="K104" s="5">
        <x:f/>
      </x:c>
      <x:c r="L104" s="5">
        <x:f/>
      </x:c>
      <x:c r="M104" s="5">
        <x:f/>
      </x:c>
      <x:c r="N104" s="5">
        <x:f/>
      </x:c>
      <x:c r="O104" s="5">
        <x:f/>
      </x:c>
      <x:c r="P104" s="5">
        <x:f/>
      </x:c>
      <x:c r="Q104" s="5">
        <x:f/>
      </x:c>
      <x:c r="R104" s="5">
        <x:f/>
      </x:c>
      <x:c r="S104" s="5">
        <x:f/>
      </x:c>
      <x:c r="T104" s="5">
        <x:f/>
      </x:c>
      <x:c r="U104" s="5">
        <x:f/>
      </x:c>
      <x:c r="V104" s="5">
        <x:f/>
      </x:c>
      <x:c r="W104" s="0">
        <x:f/>
      </x:c>
      <x:c r="X104" s="0">
        <x:f/>
      </x:c>
      <x:c r="Y104" s="0">
        <x:f/>
      </x:c>
      <x:c r="Z104" s="0">
        <x:f/>
      </x:c>
    </x:row>
    <x:row r="105" spans="1:40" ht="16.15" customHeight="1" x14ac:dyDescent="0.25">
      <x:c r="C105" s="35">
        <x:f>IF(E105=0,"",HYPERLINK("H:\Projekte\Projekte aktuell\Sonstige Projekte\1139 - ENSET\AP09_Innolab\Akquise\Datenbank &amp; Liste\"&amp;E105&amp;"_"&amp;G105,E105&amp;"_"&amp;G105))</x:f>
      </x:c>
      <x:c r="D105" s="5">
        <x:f/>
      </x:c>
      <x:c r="E105" s="5">
        <x:f/>
      </x:c>
      <x:c r="F105" s="5">
        <x:f/>
      </x:c>
      <x:c r="G105" s="5">
        <x:f/>
      </x:c>
      <x:c r="H105" s="5">
        <x:f/>
      </x:c>
      <x:c r="I105" s="5">
        <x:f/>
      </x:c>
      <x:c r="J105" s="5">
        <x:f/>
      </x:c>
      <x:c r="K105" s="5">
        <x:f/>
      </x:c>
      <x:c r="L105" s="5">
        <x:f/>
      </x:c>
      <x:c r="M105" s="5">
        <x:f/>
      </x:c>
      <x:c r="N105" s="5">
        <x:f/>
      </x:c>
      <x:c r="O105" s="5">
        <x:f/>
      </x:c>
      <x:c r="P105" s="5">
        <x:f/>
      </x:c>
      <x:c r="Q105" s="5">
        <x:f/>
      </x:c>
      <x:c r="R105" s="5">
        <x:f/>
      </x:c>
      <x:c r="S105" s="5">
        <x:f/>
      </x:c>
      <x:c r="T105" s="5">
        <x:f/>
      </x:c>
      <x:c r="U105" s="5">
        <x:f/>
      </x:c>
      <x:c r="V105" s="5">
        <x:f/>
      </x:c>
      <x:c r="W105" s="0">
        <x:f/>
      </x:c>
      <x:c r="X105" s="0">
        <x:f/>
      </x:c>
      <x:c r="Y105" s="0">
        <x:f/>
      </x:c>
      <x:c r="Z105" s="0">
        <x:f/>
      </x:c>
    </x:row>
    <x:row r="106" spans="1:40" ht="16.15" customHeight="1" x14ac:dyDescent="0.25">
      <x:c r="C106" s="35">
        <x:f>IF(E106=0,"",HYPERLINK("H:\Projekte\Projekte aktuell\Sonstige Projekte\1139 - ENSET\AP09_Innolab\Akquise\Datenbank &amp; Liste\"&amp;E106&amp;"_"&amp;G106,E106&amp;"_"&amp;G106))</x:f>
      </x:c>
      <x:c r="D106" s="5">
        <x:f/>
      </x:c>
      <x:c r="E106" s="5">
        <x:f/>
      </x:c>
      <x:c r="F106" s="5">
        <x:f/>
      </x:c>
      <x:c r="G106" s="5">
        <x:f/>
      </x:c>
      <x:c r="H106" s="5">
        <x:f/>
      </x:c>
      <x:c r="I106" s="5">
        <x:f/>
      </x:c>
      <x:c r="J106" s="5">
        <x:f/>
      </x:c>
      <x:c r="K106" s="5">
        <x:f/>
      </x:c>
      <x:c r="L106" s="5">
        <x:f/>
      </x:c>
      <x:c r="M106" s="5">
        <x:f/>
      </x:c>
      <x:c r="N106" s="5">
        <x:f/>
      </x:c>
      <x:c r="O106" s="5">
        <x:f/>
      </x:c>
      <x:c r="P106" s="5">
        <x:f/>
      </x:c>
      <x:c r="Q106" s="5">
        <x:f/>
      </x:c>
      <x:c r="R106" s="5">
        <x:f/>
      </x:c>
      <x:c r="S106" s="5">
        <x:f/>
      </x:c>
      <x:c r="T106" s="5">
        <x:f/>
      </x:c>
      <x:c r="U106" s="5">
        <x:f/>
      </x:c>
      <x:c r="V106" s="5">
        <x:f/>
      </x:c>
      <x:c r="W106" s="0">
        <x:f/>
      </x:c>
      <x:c r="X106" s="0">
        <x:f/>
      </x:c>
      <x:c r="Y106" s="0">
        <x:f/>
      </x:c>
      <x:c r="Z106" s="0">
        <x:f/>
      </x:c>
    </x:row>
    <x:row r="107" spans="1:40" ht="16.15" customHeight="1" x14ac:dyDescent="0.25">
      <x:c r="C107" s="35">
        <x:f>IF(E107=0,"",HYPERLINK("H:\Projekte\Projekte aktuell\Sonstige Projekte\1139 - ENSET\AP09_Innolab\Akquise\Datenbank &amp; Liste\"&amp;E107&amp;"_"&amp;G107,E107&amp;"_"&amp;G107))</x:f>
      </x:c>
      <x:c r="D107" s="5">
        <x:f/>
      </x:c>
      <x:c r="E107" s="5">
        <x:f/>
      </x:c>
      <x:c r="F107" s="5">
        <x:f/>
      </x:c>
      <x:c r="G107" s="5">
        <x:f/>
      </x:c>
      <x:c r="H107" s="5">
        <x:f/>
      </x:c>
      <x:c r="I107" s="5">
        <x:f/>
      </x:c>
      <x:c r="J107" s="5">
        <x:f/>
      </x:c>
      <x:c r="K107" s="5">
        <x:f/>
      </x:c>
      <x:c r="L107" s="5">
        <x:f/>
      </x:c>
      <x:c r="M107" s="5">
        <x:f/>
      </x:c>
      <x:c r="N107" s="5">
        <x:f/>
      </x:c>
      <x:c r="O107" s="5">
        <x:f/>
      </x:c>
      <x:c r="P107" s="5">
        <x:f/>
      </x:c>
      <x:c r="Q107" s="5">
        <x:f/>
      </x:c>
      <x:c r="R107" s="5">
        <x:f/>
      </x:c>
      <x:c r="S107" s="5">
        <x:f/>
      </x:c>
      <x:c r="T107" s="5">
        <x:f/>
      </x:c>
      <x:c r="U107" s="5">
        <x:f/>
      </x:c>
      <x:c r="V107" s="5">
        <x:f/>
      </x:c>
      <x:c r="W107" s="0">
        <x:f/>
      </x:c>
      <x:c r="X107" s="0">
        <x:f/>
      </x:c>
      <x:c r="Y107" s="0">
        <x:f/>
      </x:c>
      <x:c r="Z107" s="0">
        <x:f/>
      </x:c>
    </x:row>
    <x:row r="108" spans="1:40" ht="16.15" customHeight="1" x14ac:dyDescent="0.25">
      <x:c r="C108" s="35">
        <x:f>IF(E108=0,"",HYPERLINK("H:\Projekte\Projekte aktuell\Sonstige Projekte\1139 - ENSET\AP09_Innolab\Akquise\Datenbank &amp; Liste\"&amp;E108&amp;"_"&amp;G108,E108&amp;"_"&amp;G108))</x:f>
      </x:c>
      <x:c r="D108" s="5">
        <x:f/>
      </x:c>
      <x:c r="E108" s="5">
        <x:f/>
      </x:c>
      <x:c r="F108" s="5">
        <x:f/>
      </x:c>
      <x:c r="G108" s="5">
        <x:f/>
      </x:c>
      <x:c r="H108" s="5">
        <x:f/>
      </x:c>
      <x:c r="I108" s="5">
        <x:f/>
      </x:c>
      <x:c r="J108" s="5">
        <x:f/>
      </x:c>
      <x:c r="K108" s="5">
        <x:f/>
      </x:c>
      <x:c r="L108" s="5">
        <x:f/>
      </x:c>
      <x:c r="M108" s="5">
        <x:f/>
      </x:c>
      <x:c r="N108" s="5">
        <x:f/>
      </x:c>
      <x:c r="O108" s="5">
        <x:f/>
      </x:c>
      <x:c r="P108" s="5">
        <x:f/>
      </x:c>
      <x:c r="Q108" s="5">
        <x:f/>
      </x:c>
      <x:c r="R108" s="5">
        <x:f/>
      </x:c>
      <x:c r="S108" s="5">
        <x:f/>
      </x:c>
      <x:c r="T108" s="5">
        <x:f/>
      </x:c>
      <x:c r="U108" s="5">
        <x:f/>
      </x:c>
      <x:c r="V108" s="5">
        <x:f/>
      </x:c>
      <x:c r="W108" s="0">
        <x:f/>
      </x:c>
      <x:c r="X108" s="0">
        <x:f/>
      </x:c>
      <x:c r="Y108" s="0">
        <x:f/>
      </x:c>
      <x:c r="Z108" s="0">
        <x:f/>
      </x:c>
    </x:row>
    <x:row r="109" spans="1:40" ht="16.15" customHeight="1" x14ac:dyDescent="0.25">
      <x:c r="C109" s="35">
        <x:f>IF(E109=0,"",HYPERLINK("H:\Projekte\Projekte aktuell\Sonstige Projekte\1139 - ENSET\AP09_Innolab\Akquise\Datenbank &amp; Liste\"&amp;E109&amp;"_"&amp;G109,E109&amp;"_"&amp;G109))</x:f>
      </x:c>
      <x:c r="D109" s="5">
        <x:f/>
      </x:c>
      <x:c r="E109" s="5">
        <x:f/>
      </x:c>
      <x:c r="F109" s="5">
        <x:f/>
      </x:c>
      <x:c r="G109" s="5">
        <x:f/>
      </x:c>
      <x:c r="H109" s="5">
        <x:f/>
      </x:c>
      <x:c r="I109" s="5">
        <x:f/>
      </x:c>
      <x:c r="J109" s="5">
        <x:f/>
      </x:c>
      <x:c r="K109" s="5">
        <x:f/>
      </x:c>
      <x:c r="L109" s="5">
        <x:f/>
      </x:c>
      <x:c r="M109" s="5">
        <x:f/>
      </x:c>
      <x:c r="N109" s="5">
        <x:f/>
      </x:c>
      <x:c r="O109" s="5">
        <x:f/>
      </x:c>
      <x:c r="P109" s="5">
        <x:f/>
      </x:c>
      <x:c r="Q109" s="5">
        <x:f/>
      </x:c>
      <x:c r="R109" s="5">
        <x:f/>
      </x:c>
      <x:c r="S109" s="5">
        <x:f/>
      </x:c>
      <x:c r="T109" s="5">
        <x:f/>
      </x:c>
      <x:c r="U109" s="5">
        <x:f/>
      </x:c>
      <x:c r="V109" s="5">
        <x:f/>
      </x:c>
      <x:c r="W109" s="0">
        <x:f/>
      </x:c>
      <x:c r="X109" s="0">
        <x:f/>
      </x:c>
      <x:c r="Y109" s="0">
        <x:f/>
      </x:c>
      <x:c r="Z109" s="0">
        <x:f/>
      </x:c>
    </x:row>
    <x:row r="110" spans="1:40" ht="16.15" customHeight="1" x14ac:dyDescent="0.25">
      <x:c r="C110" s="35">
        <x:f>IF(E110=0,"",HYPERLINK("H:\Projekte\Projekte aktuell\Sonstige Projekte\1139 - ENSET\AP09_Innolab\Akquise\Datenbank &amp; Liste\"&amp;E110&amp;"_"&amp;G110,E110&amp;"_"&amp;G110))</x:f>
      </x:c>
      <x:c r="D110" s="5">
        <x:f/>
      </x:c>
      <x:c r="E110" s="5">
        <x:f/>
      </x:c>
      <x:c r="F110" s="5">
        <x:f/>
      </x:c>
      <x:c r="G110" s="5">
        <x:f/>
      </x:c>
      <x:c r="H110" s="5">
        <x:f/>
      </x:c>
      <x:c r="I110" s="5">
        <x:f/>
      </x:c>
      <x:c r="J110" s="5">
        <x:f/>
      </x:c>
      <x:c r="K110" s="5">
        <x:f/>
      </x:c>
      <x:c r="L110" s="5">
        <x:f/>
      </x:c>
      <x:c r="M110" s="5">
        <x:f/>
      </x:c>
      <x:c r="N110" s="5">
        <x:f/>
      </x:c>
      <x:c r="O110" s="5">
        <x:f/>
      </x:c>
      <x:c r="P110" s="5">
        <x:f/>
      </x:c>
      <x:c r="Q110" s="5">
        <x:f/>
      </x:c>
      <x:c r="R110" s="5">
        <x:f/>
      </x:c>
      <x:c r="S110" s="5">
        <x:f/>
      </x:c>
      <x:c r="T110" s="5">
        <x:f/>
      </x:c>
      <x:c r="U110" s="5">
        <x:f/>
      </x:c>
      <x:c r="V110" s="5">
        <x:f/>
      </x:c>
      <x:c r="W110" s="0">
        <x:f/>
      </x:c>
      <x:c r="X110" s="0">
        <x:f/>
      </x:c>
      <x:c r="Y110" s="0">
        <x:f/>
      </x:c>
      <x:c r="Z110" s="0">
        <x:f/>
      </x:c>
    </x:row>
    <x:row r="111" spans="1:40" ht="16.15" customHeight="1" x14ac:dyDescent="0.25">
      <x:c r="C111" s="35">
        <x:f>IF(E111=0,"",HYPERLINK("H:\Projekte\Projekte aktuell\Sonstige Projekte\1139 - ENSET\AP09_Innolab\Akquise\Datenbank &amp; Liste\"&amp;E111&amp;"_"&amp;G111,E111&amp;"_"&amp;G111))</x:f>
      </x:c>
      <x:c r="D111" s="5">
        <x:f/>
      </x:c>
      <x:c r="E111" s="5">
        <x:f/>
      </x:c>
      <x:c r="F111" s="5">
        <x:f/>
      </x:c>
      <x:c r="G111" s="5">
        <x:f/>
      </x:c>
      <x:c r="H111" s="5">
        <x:f/>
      </x:c>
      <x:c r="I111" s="5">
        <x:f/>
      </x:c>
      <x:c r="J111" s="5">
        <x:f/>
      </x:c>
      <x:c r="K111" s="5">
        <x:f/>
      </x:c>
      <x:c r="L111" s="5">
        <x:f/>
      </x:c>
      <x:c r="M111" s="5">
        <x:f/>
      </x:c>
      <x:c r="N111" s="5">
        <x:f/>
      </x:c>
      <x:c r="O111" s="5">
        <x:f/>
      </x:c>
      <x:c r="P111" s="5">
        <x:f/>
      </x:c>
      <x:c r="Q111" s="5">
        <x:f/>
      </x:c>
      <x:c r="R111" s="5">
        <x:f/>
      </x:c>
      <x:c r="S111" s="5">
        <x:f/>
      </x:c>
      <x:c r="T111" s="5">
        <x:f/>
      </x:c>
      <x:c r="U111" s="5">
        <x:f/>
      </x:c>
      <x:c r="V111" s="5">
        <x:f/>
      </x:c>
      <x:c r="W111" s="0">
        <x:f/>
      </x:c>
      <x:c r="X111" s="0">
        <x:f/>
      </x:c>
      <x:c r="Y111" s="0">
        <x:f/>
      </x:c>
      <x:c r="Z111" s="0">
        <x:f/>
      </x:c>
    </x:row>
    <x:row r="112" spans="1:40" ht="16.15" customHeight="1" x14ac:dyDescent="0.25">
      <x:c r="C112" s="35">
        <x:f>IF(E112=0,"",HYPERLINK("H:\Projekte\Projekte aktuell\Sonstige Projekte\1139 - ENSET\AP09_Innolab\Akquise\Datenbank &amp; Liste\"&amp;E112&amp;"_"&amp;G112,E112&amp;"_"&amp;G112))</x:f>
      </x:c>
      <x:c r="D112" s="5">
        <x:f/>
      </x:c>
      <x:c r="E112" s="5">
        <x:f/>
      </x:c>
      <x:c r="F112" s="5">
        <x:f/>
      </x:c>
      <x:c r="G112" s="5">
        <x:f/>
      </x:c>
      <x:c r="H112" s="5">
        <x:f/>
      </x:c>
      <x:c r="I112" s="5">
        <x:f/>
      </x:c>
      <x:c r="J112" s="5">
        <x:f/>
      </x:c>
      <x:c r="K112" s="5">
        <x:f/>
      </x:c>
      <x:c r="L112" s="5">
        <x:f/>
      </x:c>
      <x:c r="M112" s="5">
        <x:f/>
      </x:c>
      <x:c r="N112" s="5">
        <x:f/>
      </x:c>
      <x:c r="O112" s="5">
        <x:f/>
      </x:c>
      <x:c r="P112" s="5">
        <x:f/>
      </x:c>
      <x:c r="Q112" s="5">
        <x:f/>
      </x:c>
      <x:c r="R112" s="5">
        <x:f/>
      </x:c>
      <x:c r="S112" s="5">
        <x:f/>
      </x:c>
      <x:c r="T112" s="5">
        <x:f/>
      </x:c>
      <x:c r="U112" s="5">
        <x:f/>
      </x:c>
      <x:c r="V112" s="5">
        <x:f/>
      </x:c>
      <x:c r="W112" s="0">
        <x:f/>
      </x:c>
      <x:c r="X112" s="0">
        <x:f/>
      </x:c>
      <x:c r="Y112" s="0">
        <x:f/>
      </x:c>
      <x:c r="Z112" s="0">
        <x:f/>
      </x:c>
    </x:row>
    <x:row r="113" spans="1:40" ht="16.15" customHeight="1" x14ac:dyDescent="0.25">
      <x:c r="C113" s="35">
        <x:f>IF(E113=0,"",HYPERLINK("H:\Projekte\Projekte aktuell\Sonstige Projekte\1139 - ENSET\AP09_Innolab\Akquise\Datenbank &amp; Liste\"&amp;E113&amp;"_"&amp;G113,E113&amp;"_"&amp;G113))</x:f>
      </x:c>
      <x:c r="D113" s="5">
        <x:f/>
      </x:c>
      <x:c r="E113" s="5">
        <x:f/>
      </x:c>
      <x:c r="F113" s="5">
        <x:f/>
      </x:c>
      <x:c r="G113" s="5">
        <x:f/>
      </x:c>
      <x:c r="H113" s="5">
        <x:f/>
      </x:c>
      <x:c r="I113" s="5">
        <x:f/>
      </x:c>
      <x:c r="J113" s="5">
        <x:f/>
      </x:c>
      <x:c r="K113" s="5">
        <x:f/>
      </x:c>
      <x:c r="L113" s="5">
        <x:f/>
      </x:c>
      <x:c r="M113" s="5">
        <x:f/>
      </x:c>
      <x:c r="N113" s="5">
        <x:f/>
      </x:c>
      <x:c r="O113" s="5">
        <x:f/>
      </x:c>
      <x:c r="P113" s="5">
        <x:f/>
      </x:c>
      <x:c r="Q113" s="5">
        <x:f/>
      </x:c>
      <x:c r="R113" s="5">
        <x:f/>
      </x:c>
      <x:c r="S113" s="5">
        <x:f/>
      </x:c>
      <x:c r="T113" s="5">
        <x:f/>
      </x:c>
      <x:c r="U113" s="5">
        <x:f/>
      </x:c>
      <x:c r="V113" s="5">
        <x:f/>
      </x:c>
      <x:c r="W113" s="0">
        <x:f/>
      </x:c>
      <x:c r="X113" s="0">
        <x:f/>
      </x:c>
      <x:c r="Y113" s="0">
        <x:f/>
      </x:c>
      <x:c r="Z113" s="0">
        <x:f/>
      </x:c>
    </x:row>
    <x:row r="114" spans="1:40" ht="16.15" customHeight="1" x14ac:dyDescent="0.25">
      <x:c r="C114" s="35">
        <x:f>IF(E114=0,"",HYPERLINK("H:\Projekte\Projekte aktuell\Sonstige Projekte\1139 - ENSET\AP09_Innolab\Akquise\Datenbank &amp; Liste\"&amp;E114&amp;"_"&amp;G114,E114&amp;"_"&amp;G114))</x:f>
      </x:c>
      <x:c r="D114" s="5">
        <x:f/>
      </x:c>
      <x:c r="E114" s="5">
        <x:f/>
      </x:c>
      <x:c r="F114" s="5">
        <x:f/>
      </x:c>
      <x:c r="G114" s="5">
        <x:f/>
      </x:c>
      <x:c r="H114" s="5">
        <x:f/>
      </x:c>
      <x:c r="I114" s="5">
        <x:f/>
      </x:c>
      <x:c r="J114" s="5">
        <x:f/>
      </x:c>
      <x:c r="K114" s="5">
        <x:f/>
      </x:c>
      <x:c r="L114" s="5">
        <x:f/>
      </x:c>
      <x:c r="M114" s="5">
        <x:f/>
      </x:c>
      <x:c r="N114" s="5">
        <x:f/>
      </x:c>
      <x:c r="O114" s="5">
        <x:f/>
      </x:c>
      <x:c r="P114" s="5">
        <x:f/>
      </x:c>
      <x:c r="Q114" s="5">
        <x:f/>
      </x:c>
      <x:c r="R114" s="5">
        <x:f/>
      </x:c>
      <x:c r="S114" s="5">
        <x:f/>
      </x:c>
      <x:c r="T114" s="5">
        <x:f/>
      </x:c>
      <x:c r="U114" s="5">
        <x:f/>
      </x:c>
      <x:c r="V114" s="5">
        <x:f/>
      </x:c>
      <x:c r="W114" s="0">
        <x:f/>
      </x:c>
      <x:c r="X114" s="0">
        <x:f/>
      </x:c>
      <x:c r="Y114" s="0">
        <x:f/>
      </x:c>
      <x:c r="Z114" s="0">
        <x:f/>
      </x:c>
    </x:row>
    <x:row r="115" spans="1:40" ht="16.15" customHeight="1" x14ac:dyDescent="0.25">
      <x:c r="C115" s="35">
        <x:f>IF(E115=0,"",HYPERLINK("H:\Projekte\Projekte aktuell\Sonstige Projekte\1139 - ENSET\AP09_Innolab\Akquise\Datenbank &amp; Liste\"&amp;E115&amp;"_"&amp;G115,E115&amp;"_"&amp;G115))</x:f>
      </x:c>
      <x:c r="D115" s="5">
        <x:f/>
      </x:c>
      <x:c r="E115" s="5">
        <x:f/>
      </x:c>
      <x:c r="F115" s="5">
        <x:f/>
      </x:c>
      <x:c r="G115" s="5">
        <x:f/>
      </x:c>
      <x:c r="H115" s="5">
        <x:f/>
      </x:c>
      <x:c r="I115" s="5">
        <x:f/>
      </x:c>
      <x:c r="J115" s="5">
        <x:f/>
      </x:c>
      <x:c r="K115" s="5">
        <x:f/>
      </x:c>
      <x:c r="L115" s="5">
        <x:f/>
      </x:c>
      <x:c r="M115" s="5">
        <x:f/>
      </x:c>
      <x:c r="N115" s="5">
        <x:f/>
      </x:c>
      <x:c r="O115" s="5">
        <x:f/>
      </x:c>
      <x:c r="P115" s="5">
        <x:f/>
      </x:c>
      <x:c r="Q115" s="5">
        <x:f/>
      </x:c>
      <x:c r="R115" s="5">
        <x:f/>
      </x:c>
      <x:c r="S115" s="5">
        <x:f/>
      </x:c>
      <x:c r="T115" s="5">
        <x:f/>
      </x:c>
      <x:c r="U115" s="5">
        <x:f/>
      </x:c>
      <x:c r="V115" s="5">
        <x:f/>
      </x:c>
      <x:c r="W115" s="0">
        <x:f/>
      </x:c>
      <x:c r="X115" s="0">
        <x:f/>
      </x:c>
      <x:c r="Y115" s="0">
        <x:f/>
      </x:c>
      <x:c r="Z115" s="0">
        <x:f/>
      </x:c>
    </x:row>
    <x:row r="116" spans="1:40" ht="16.15" customHeight="1" x14ac:dyDescent="0.25">
      <x:c r="C116" s="35">
        <x:f>IF(E116=0,"",HYPERLINK("H:\Projekte\Projekte aktuell\Sonstige Projekte\1139 - ENSET\AP09_Innolab\Akquise\Datenbank &amp; Liste\"&amp;E116&amp;"_"&amp;G116,E116&amp;"_"&amp;G116))</x:f>
      </x:c>
      <x:c r="D116" s="5">
        <x:f/>
      </x:c>
      <x:c r="E116" s="5">
        <x:f/>
      </x:c>
      <x:c r="F116" s="5">
        <x:f/>
      </x:c>
      <x:c r="G116" s="5">
        <x:f/>
      </x:c>
      <x:c r="H116" s="5">
        <x:f/>
      </x:c>
      <x:c r="I116" s="5">
        <x:f/>
      </x:c>
      <x:c r="J116" s="5">
        <x:f/>
      </x:c>
      <x:c r="K116" s="5">
        <x:f/>
      </x:c>
      <x:c r="L116" s="5">
        <x:f/>
      </x:c>
      <x:c r="M116" s="5">
        <x:f/>
      </x:c>
      <x:c r="N116" s="5">
        <x:f/>
      </x:c>
      <x:c r="O116" s="5">
        <x:f/>
      </x:c>
      <x:c r="P116" s="5">
        <x:f/>
      </x:c>
      <x:c r="Q116" s="5">
        <x:f/>
      </x:c>
      <x:c r="R116" s="5">
        <x:f/>
      </x:c>
      <x:c r="S116" s="5">
        <x:f/>
      </x:c>
      <x:c r="T116" s="5">
        <x:f/>
      </x:c>
      <x:c r="U116" s="5">
        <x:f/>
      </x:c>
      <x:c r="V116" s="5">
        <x:f/>
      </x:c>
      <x:c r="W116" s="0">
        <x:f/>
      </x:c>
      <x:c r="X116" s="0">
        <x:f/>
      </x:c>
      <x:c r="Y116" s="0">
        <x:f/>
      </x:c>
      <x:c r="Z116" s="0">
        <x:f/>
      </x:c>
    </x:row>
    <x:row r="117" spans="1:40" ht="16.15" customHeight="1" x14ac:dyDescent="0.25">
      <x:c r="C117" s="35">
        <x:f>IF(E117=0,"",HYPERLINK("H:\Projekte\Projekte aktuell\Sonstige Projekte\1139 - ENSET\AP09_Innolab\Akquise\Datenbank &amp; Liste\"&amp;E117&amp;"_"&amp;G117,E117&amp;"_"&amp;G117))</x:f>
      </x:c>
      <x:c r="D117" s="5">
        <x:f/>
      </x:c>
      <x:c r="E117" s="5">
        <x:f/>
      </x:c>
      <x:c r="F117" s="5">
        <x:f/>
      </x:c>
      <x:c r="G117" s="5">
        <x:f/>
      </x:c>
      <x:c r="H117" s="5">
        <x:f/>
      </x:c>
      <x:c r="I117" s="5">
        <x:f/>
      </x:c>
      <x:c r="J117" s="5">
        <x:f/>
      </x:c>
      <x:c r="K117" s="5">
        <x:f/>
      </x:c>
      <x:c r="L117" s="5">
        <x:f/>
      </x:c>
      <x:c r="M117" s="5">
        <x:f/>
      </x:c>
      <x:c r="N117" s="5">
        <x:f/>
      </x:c>
      <x:c r="O117" s="5">
        <x:f/>
      </x:c>
      <x:c r="P117" s="5">
        <x:f/>
      </x:c>
      <x:c r="Q117" s="5">
        <x:f/>
      </x:c>
      <x:c r="R117" s="5">
        <x:f/>
      </x:c>
      <x:c r="S117" s="5">
        <x:f/>
      </x:c>
      <x:c r="T117" s="5">
        <x:f/>
      </x:c>
      <x:c r="U117" s="5">
        <x:f/>
      </x:c>
      <x:c r="V117" s="5">
        <x:f/>
      </x:c>
      <x:c r="W117" s="0">
        <x:f/>
      </x:c>
      <x:c r="X117" s="0">
        <x:f/>
      </x:c>
      <x:c r="Y117" s="0">
        <x:f/>
      </x:c>
      <x:c r="Z117" s="0">
        <x:f/>
      </x:c>
    </x:row>
    <x:row r="118" spans="1:40" ht="16.15" customHeight="1" x14ac:dyDescent="0.25">
      <x:c r="C118" s="35">
        <x:f>IF(E118=0,"",HYPERLINK("H:\Projekte\Projekte aktuell\Sonstige Projekte\1139 - ENSET\AP09_Innolab\Akquise\Datenbank &amp; Liste\"&amp;E118&amp;"_"&amp;G118,E118&amp;"_"&amp;G118))</x:f>
      </x:c>
      <x:c r="D118" s="5">
        <x:f/>
      </x:c>
      <x:c r="E118" s="5">
        <x:f/>
      </x:c>
      <x:c r="F118" s="5">
        <x:f/>
      </x:c>
      <x:c r="G118" s="5">
        <x:f/>
      </x:c>
      <x:c r="H118" s="5">
        <x:f/>
      </x:c>
      <x:c r="I118" s="5">
        <x:f/>
      </x:c>
      <x:c r="J118" s="5">
        <x:f/>
      </x:c>
      <x:c r="K118" s="5">
        <x:f/>
      </x:c>
      <x:c r="L118" s="5">
        <x:f/>
      </x:c>
      <x:c r="M118" s="5">
        <x:f/>
      </x:c>
      <x:c r="N118" s="5">
        <x:f/>
      </x:c>
      <x:c r="O118" s="5">
        <x:f/>
      </x:c>
      <x:c r="P118" s="5">
        <x:f/>
      </x:c>
      <x:c r="Q118" s="5">
        <x:f/>
      </x:c>
      <x:c r="R118" s="5">
        <x:f/>
      </x:c>
      <x:c r="S118" s="5">
        <x:f/>
      </x:c>
      <x:c r="T118" s="5">
        <x:f/>
      </x:c>
      <x:c r="U118" s="5">
        <x:f/>
      </x:c>
      <x:c r="V118" s="5">
        <x:f/>
      </x:c>
      <x:c r="W118" s="0">
        <x:f/>
      </x:c>
      <x:c r="X118" s="0">
        <x:f/>
      </x:c>
      <x:c r="Y118" s="0">
        <x:f/>
      </x:c>
      <x:c r="Z118" s="0">
        <x:f/>
      </x:c>
    </x:row>
    <x:row r="119" spans="1:40" ht="16.15" customHeight="1" x14ac:dyDescent="0.25">
      <x:c r="C119" s="35">
        <x:f>IF(E119=0,"",HYPERLINK("H:\Projekte\Projekte aktuell\Sonstige Projekte\1139 - ENSET\AP09_Innolab\Akquise\Datenbank &amp; Liste\"&amp;E119&amp;"_"&amp;G119,E119&amp;"_"&amp;G119))</x:f>
      </x:c>
      <x:c r="D119" s="5">
        <x:f/>
      </x:c>
      <x:c r="E119" s="5">
        <x:f/>
      </x:c>
      <x:c r="F119" s="5">
        <x:f/>
      </x:c>
      <x:c r="G119" s="5">
        <x:f/>
      </x:c>
      <x:c r="H119" s="5">
        <x:f/>
      </x:c>
      <x:c r="I119" s="5">
        <x:f/>
      </x:c>
      <x:c r="J119" s="5">
        <x:f/>
      </x:c>
      <x:c r="K119" s="5">
        <x:f/>
      </x:c>
      <x:c r="L119" s="5">
        <x:f/>
      </x:c>
      <x:c r="M119" s="5">
        <x:f/>
      </x:c>
      <x:c r="N119" s="5">
        <x:f/>
      </x:c>
      <x:c r="O119" s="5">
        <x:f/>
      </x:c>
      <x:c r="P119" s="5">
        <x:f/>
      </x:c>
      <x:c r="Q119" s="5">
        <x:f/>
      </x:c>
      <x:c r="R119" s="5">
        <x:f/>
      </x:c>
      <x:c r="S119" s="5">
        <x:f/>
      </x:c>
      <x:c r="T119" s="5">
        <x:f/>
      </x:c>
      <x:c r="U119" s="5">
        <x:f/>
      </x:c>
      <x:c r="V119" s="5">
        <x:f/>
      </x:c>
      <x:c r="W119" s="0">
        <x:f/>
      </x:c>
      <x:c r="X119" s="0">
        <x:f/>
      </x:c>
      <x:c r="Y119" s="0">
        <x:f/>
      </x:c>
      <x:c r="Z119" s="0">
        <x:f/>
      </x:c>
    </x:row>
    <x:row r="120" spans="1:40" ht="16.15" customHeight="1" x14ac:dyDescent="0.25">
      <x:c r="C120" s="35">
        <x:f>IF(E120=0,"",HYPERLINK("H:\Projekte\Projekte aktuell\Sonstige Projekte\1139 - ENSET\AP09_Innolab\Akquise\Datenbank &amp; Liste\"&amp;E120&amp;"_"&amp;G120,E120&amp;"_"&amp;G120))</x:f>
      </x:c>
      <x:c r="D120" s="5">
        <x:f/>
      </x:c>
      <x:c r="E120" s="5">
        <x:f/>
      </x:c>
      <x:c r="F120" s="5">
        <x:f/>
      </x:c>
      <x:c r="G120" s="5">
        <x:f/>
      </x:c>
      <x:c r="H120" s="5">
        <x:f/>
      </x:c>
      <x:c r="I120" s="5">
        <x:f/>
      </x:c>
      <x:c r="J120" s="5">
        <x:f/>
      </x:c>
      <x:c r="K120" s="5">
        <x:f/>
      </x:c>
      <x:c r="L120" s="5">
        <x:f/>
      </x:c>
      <x:c r="M120" s="5">
        <x:f/>
      </x:c>
      <x:c r="N120" s="5">
        <x:f/>
      </x:c>
      <x:c r="O120" s="5">
        <x:f/>
      </x:c>
      <x:c r="P120" s="5">
        <x:f/>
      </x:c>
      <x:c r="Q120" s="5">
        <x:f/>
      </x:c>
      <x:c r="R120" s="5">
        <x:f/>
      </x:c>
      <x:c r="S120" s="5">
        <x:f/>
      </x:c>
      <x:c r="T120" s="5">
        <x:f/>
      </x:c>
      <x:c r="U120" s="5">
        <x:f/>
      </x:c>
      <x:c r="V120" s="5">
        <x:f/>
      </x:c>
      <x:c r="W120" s="0">
        <x:f/>
      </x:c>
      <x:c r="X120" s="0">
        <x:f/>
      </x:c>
      <x:c r="Y120" s="0">
        <x:f/>
      </x:c>
      <x:c r="Z120" s="0">
        <x:f/>
      </x:c>
    </x:row>
    <x:row r="121" spans="1:40" ht="16.15" customHeight="1" x14ac:dyDescent="0.25">
      <x:c r="C121" s="35">
        <x:f>IF(E121=0,"",HYPERLINK("H:\Projekte\Projekte aktuell\Sonstige Projekte\1139 - ENSET\AP09_Innolab\Akquise\Datenbank &amp; Liste\"&amp;E121&amp;"_"&amp;G121,E121&amp;"_"&amp;G121))</x:f>
      </x:c>
      <x:c r="D121" s="5">
        <x:f/>
      </x:c>
      <x:c r="E121" s="5">
        <x:f/>
      </x:c>
      <x:c r="F121" s="5">
        <x:f/>
      </x:c>
      <x:c r="G121" s="5">
        <x:f/>
      </x:c>
      <x:c r="H121" s="5">
        <x:f/>
      </x:c>
      <x:c r="I121" s="5">
        <x:f/>
      </x:c>
      <x:c r="J121" s="5">
        <x:f/>
      </x:c>
      <x:c r="K121" s="5">
        <x:f/>
      </x:c>
      <x:c r="L121" s="5">
        <x:f/>
      </x:c>
      <x:c r="M121" s="5">
        <x:f/>
      </x:c>
      <x:c r="N121" s="5">
        <x:f/>
      </x:c>
      <x:c r="O121" s="5">
        <x:f/>
      </x:c>
      <x:c r="P121" s="5">
        <x:f/>
      </x:c>
      <x:c r="Q121" s="5">
        <x:f/>
      </x:c>
      <x:c r="R121" s="5">
        <x:f/>
      </x:c>
      <x:c r="S121" s="5">
        <x:f/>
      </x:c>
      <x:c r="T121" s="5">
        <x:f/>
      </x:c>
      <x:c r="U121" s="5">
        <x:f/>
      </x:c>
      <x:c r="V121" s="5">
        <x:f/>
      </x:c>
      <x:c r="W121" s="0">
        <x:f/>
      </x:c>
      <x:c r="X121" s="0">
        <x:f/>
      </x:c>
      <x:c r="Y121" s="0">
        <x:f/>
      </x:c>
      <x:c r="Z121" s="0">
        <x:f/>
      </x:c>
    </x:row>
    <x:row r="122" spans="1:40" ht="16.15" customHeight="1" x14ac:dyDescent="0.25">
      <x:c r="C122" s="35">
        <x:f>IF(E122=0,"",HYPERLINK("H:\Projekte\Projekte aktuell\Sonstige Projekte\1139 - ENSET\AP09_Innolab\Akquise\Datenbank &amp; Liste\"&amp;E122&amp;"_"&amp;G122,E122&amp;"_"&amp;G122))</x:f>
      </x:c>
      <x:c r="D122" s="5">
        <x:f/>
      </x:c>
      <x:c r="E122" s="5">
        <x:f/>
      </x:c>
      <x:c r="F122" s="5">
        <x:f/>
      </x:c>
      <x:c r="G122" s="5">
        <x:f/>
      </x:c>
      <x:c r="H122" s="5">
        <x:f/>
      </x:c>
      <x:c r="I122" s="5">
        <x:f/>
      </x:c>
      <x:c r="J122" s="5">
        <x:f/>
      </x:c>
      <x:c r="K122" s="5">
        <x:f/>
      </x:c>
      <x:c r="L122" s="5">
        <x:f/>
      </x:c>
      <x:c r="M122" s="5">
        <x:f/>
      </x:c>
      <x:c r="N122" s="5">
        <x:f/>
      </x:c>
      <x:c r="O122" s="5">
        <x:f/>
      </x:c>
      <x:c r="P122" s="5">
        <x:f/>
      </x:c>
      <x:c r="Q122" s="5">
        <x:f/>
      </x:c>
      <x:c r="R122" s="5">
        <x:f/>
      </x:c>
      <x:c r="S122" s="5">
        <x:f/>
      </x:c>
      <x:c r="T122" s="5">
        <x:f/>
      </x:c>
      <x:c r="U122" s="5">
        <x:f/>
      </x:c>
      <x:c r="V122" s="5">
        <x:f/>
      </x:c>
      <x:c r="W122" s="0">
        <x:f/>
      </x:c>
      <x:c r="X122" s="0">
        <x:f/>
      </x:c>
      <x:c r="Y122" s="0">
        <x:f/>
      </x:c>
      <x:c r="Z122" s="0">
        <x:f/>
      </x:c>
    </x:row>
    <x:row r="123" spans="1:40" ht="16.15" customHeight="1" x14ac:dyDescent="0.25">
      <x:c r="C123" s="35">
        <x:f>IF(E123=0,"",HYPERLINK("H:\Projekte\Projekte aktuell\Sonstige Projekte\1139 - ENSET\AP09_Innolab\Akquise\Datenbank &amp; Liste\"&amp;E123&amp;"_"&amp;G123,E123&amp;"_"&amp;G123))</x:f>
      </x:c>
      <x:c r="D123" s="5">
        <x:f/>
      </x:c>
      <x:c r="E123" s="5">
        <x:f/>
      </x:c>
      <x:c r="F123" s="5">
        <x:f/>
      </x:c>
      <x:c r="G123" s="5">
        <x:f/>
      </x:c>
      <x:c r="H123" s="5">
        <x:f/>
      </x:c>
      <x:c r="I123" s="5">
        <x:f/>
      </x:c>
      <x:c r="J123" s="5">
        <x:f/>
      </x:c>
      <x:c r="K123" s="5">
        <x:f/>
      </x:c>
      <x:c r="L123" s="5">
        <x:f/>
      </x:c>
      <x:c r="M123" s="5">
        <x:f/>
      </x:c>
      <x:c r="N123" s="5">
        <x:f/>
      </x:c>
      <x:c r="O123" s="5">
        <x:f/>
      </x:c>
      <x:c r="P123" s="5">
        <x:f/>
      </x:c>
      <x:c r="Q123" s="5">
        <x:f/>
      </x:c>
      <x:c r="R123" s="5">
        <x:f/>
      </x:c>
      <x:c r="S123" s="5">
        <x:f/>
      </x:c>
      <x:c r="T123" s="5">
        <x:f/>
      </x:c>
      <x:c r="U123" s="5">
        <x:f/>
      </x:c>
      <x:c r="V123" s="5">
        <x:f/>
      </x:c>
      <x:c r="W123" s="0">
        <x:f/>
      </x:c>
      <x:c r="X123" s="0">
        <x:f/>
      </x:c>
      <x:c r="Y123" s="0">
        <x:f/>
      </x:c>
      <x:c r="Z123" s="0">
        <x:f/>
      </x:c>
    </x:row>
    <x:row r="124" spans="1:40" ht="16.15" customHeight="1" x14ac:dyDescent="0.25">
      <x:c r="C124" s="35">
        <x:f>IF(E124=0,"",HYPERLINK("H:\Projekte\Projekte aktuell\Sonstige Projekte\1139 - ENSET\AP09_Innolab\Akquise\Datenbank &amp; Liste\"&amp;E124&amp;"_"&amp;G124,E124&amp;"_"&amp;G124))</x:f>
      </x:c>
      <x:c r="D124" s="5">
        <x:f/>
      </x:c>
      <x:c r="E124" s="5">
        <x:f/>
      </x:c>
      <x:c r="F124" s="5">
        <x:f/>
      </x:c>
      <x:c r="G124" s="5">
        <x:f/>
      </x:c>
      <x:c r="H124" s="5">
        <x:f/>
      </x:c>
      <x:c r="I124" s="5">
        <x:f/>
      </x:c>
      <x:c r="J124" s="5">
        <x:f/>
      </x:c>
      <x:c r="K124" s="5">
        <x:f/>
      </x:c>
      <x:c r="L124" s="5">
        <x:f/>
      </x:c>
      <x:c r="M124" s="5">
        <x:f/>
      </x:c>
      <x:c r="N124" s="5">
        <x:f/>
      </x:c>
      <x:c r="O124" s="5">
        <x:f/>
      </x:c>
      <x:c r="P124" s="5">
        <x:f/>
      </x:c>
      <x:c r="Q124" s="5">
        <x:f/>
      </x:c>
      <x:c r="R124" s="5">
        <x:f/>
      </x:c>
      <x:c r="S124" s="5">
        <x:f/>
      </x:c>
      <x:c r="T124" s="5">
        <x:f/>
      </x:c>
      <x:c r="U124" s="5">
        <x:f/>
      </x:c>
      <x:c r="V124" s="5">
        <x:f/>
      </x:c>
      <x:c r="W124" s="0">
        <x:f/>
      </x:c>
      <x:c r="X124" s="0">
        <x:f/>
      </x:c>
      <x:c r="Y124" s="0">
        <x:f/>
      </x:c>
      <x:c r="Z124" s="0">
        <x:f/>
      </x:c>
    </x:row>
    <x:row r="125" spans="1:40" ht="16.15" customHeight="1" x14ac:dyDescent="0.25">
      <x:c r="C125" s="35">
        <x:f>IF(E125=0,"",HYPERLINK("H:\Projekte\Projekte aktuell\Sonstige Projekte\1139 - ENSET\AP09_Innolab\Akquise\Datenbank &amp; Liste\"&amp;E125&amp;"_"&amp;G125,E125&amp;"_"&amp;G125))</x:f>
      </x:c>
      <x:c r="D125" s="5">
        <x:f/>
      </x:c>
      <x:c r="E125" s="5">
        <x:f/>
      </x:c>
      <x:c r="F125" s="5">
        <x:f/>
      </x:c>
      <x:c r="G125" s="5">
        <x:f/>
      </x:c>
      <x:c r="H125" s="5">
        <x:f/>
      </x:c>
      <x:c r="I125" s="5">
        <x:f/>
      </x:c>
      <x:c r="J125" s="5">
        <x:f/>
      </x:c>
      <x:c r="K125" s="5">
        <x:f/>
      </x:c>
      <x:c r="L125" s="5">
        <x:f/>
      </x:c>
      <x:c r="M125" s="5">
        <x:f/>
      </x:c>
      <x:c r="N125" s="5">
        <x:f/>
      </x:c>
      <x:c r="O125" s="5">
        <x:f/>
      </x:c>
      <x:c r="P125" s="5">
        <x:f/>
      </x:c>
      <x:c r="Q125" s="5">
        <x:f/>
      </x:c>
      <x:c r="R125" s="5">
        <x:f/>
      </x:c>
      <x:c r="S125" s="5">
        <x:f/>
      </x:c>
      <x:c r="T125" s="5">
        <x:f/>
      </x:c>
      <x:c r="U125" s="5">
        <x:f/>
      </x:c>
      <x:c r="V125" s="5">
        <x:f/>
      </x:c>
      <x:c r="W125" s="0">
        <x:f/>
      </x:c>
      <x:c r="X125" s="0">
        <x:f/>
      </x:c>
      <x:c r="Y125" s="0">
        <x:f/>
      </x:c>
      <x:c r="Z125" s="0">
        <x:f/>
      </x:c>
    </x:row>
    <x:row r="126" spans="1:40" ht="16.15" customHeight="1" x14ac:dyDescent="0.25">
      <x:c r="C126" s="35">
        <x:f>IF(E126=0,"",HYPERLINK("H:\Projekte\Projekte aktuell\Sonstige Projekte\1139 - ENSET\AP09_Innolab\Akquise\Datenbank &amp; Liste\"&amp;E126&amp;"_"&amp;G126,E126&amp;"_"&amp;G126))</x:f>
      </x:c>
      <x:c r="D126" s="5">
        <x:f/>
      </x:c>
      <x:c r="E126" s="5">
        <x:f/>
      </x:c>
      <x:c r="F126" s="5">
        <x:f/>
      </x:c>
      <x:c r="G126" s="5">
        <x:f/>
      </x:c>
      <x:c r="H126" s="5">
        <x:f/>
      </x:c>
      <x:c r="I126" s="5">
        <x:f/>
      </x:c>
      <x:c r="J126" s="5">
        <x:f/>
      </x:c>
      <x:c r="K126" s="5">
        <x:f/>
      </x:c>
      <x:c r="L126" s="5">
        <x:f/>
      </x:c>
      <x:c r="M126" s="5">
        <x:f/>
      </x:c>
      <x:c r="N126" s="5">
        <x:f/>
      </x:c>
      <x:c r="O126" s="5">
        <x:f/>
      </x:c>
      <x:c r="P126" s="5">
        <x:f/>
      </x:c>
      <x:c r="Q126" s="5">
        <x:f/>
      </x:c>
      <x:c r="R126" s="5">
        <x:f/>
      </x:c>
      <x:c r="S126" s="5">
        <x:f/>
      </x:c>
      <x:c r="T126" s="5">
        <x:f/>
      </x:c>
      <x:c r="U126" s="5">
        <x:f/>
      </x:c>
      <x:c r="V126" s="5">
        <x:f/>
      </x:c>
      <x:c r="W126" s="0">
        <x:f/>
      </x:c>
      <x:c r="X126" s="0">
        <x:f/>
      </x:c>
      <x:c r="Y126" s="0">
        <x:f/>
      </x:c>
      <x:c r="Z126" s="0">
        <x:f/>
      </x:c>
    </x:row>
    <x:row r="127" spans="1:40" ht="16.15" customHeight="1" x14ac:dyDescent="0.25">
      <x:c r="C127" s="35">
        <x:f>IF(E127=0,"",HYPERLINK("H:\Projekte\Projekte aktuell\Sonstige Projekte\1139 - ENSET\AP09_Innolab\Akquise\Datenbank &amp; Liste\"&amp;E127&amp;"_"&amp;G127,E127&amp;"_"&amp;G127))</x:f>
      </x:c>
      <x:c r="D127" s="5">
        <x:f/>
      </x:c>
      <x:c r="E127" s="5">
        <x:f/>
      </x:c>
      <x:c r="F127" s="5">
        <x:f/>
      </x:c>
      <x:c r="G127" s="5">
        <x:f/>
      </x:c>
      <x:c r="H127" s="5">
        <x:f/>
      </x:c>
      <x:c r="I127" s="5">
        <x:f/>
      </x:c>
      <x:c r="J127" s="5">
        <x:f/>
      </x:c>
      <x:c r="K127" s="5">
        <x:f/>
      </x:c>
      <x:c r="L127" s="5">
        <x:f/>
      </x:c>
      <x:c r="M127" s="5">
        <x:f/>
      </x:c>
      <x:c r="N127" s="5">
        <x:f/>
      </x:c>
      <x:c r="O127" s="5">
        <x:f/>
      </x:c>
      <x:c r="P127" s="5">
        <x:f/>
      </x:c>
      <x:c r="Q127" s="5">
        <x:f/>
      </x:c>
      <x:c r="R127" s="5">
        <x:f/>
      </x:c>
      <x:c r="S127" s="5">
        <x:f/>
      </x:c>
      <x:c r="T127" s="5">
        <x:f/>
      </x:c>
      <x:c r="U127" s="5">
        <x:f/>
      </x:c>
      <x:c r="V127" s="5">
        <x:f/>
      </x:c>
      <x:c r="W127" s="0">
        <x:f/>
      </x:c>
      <x:c r="X127" s="0">
        <x:f/>
      </x:c>
      <x:c r="Y127" s="0">
        <x:f/>
      </x:c>
      <x:c r="Z127" s="0">
        <x:f/>
      </x:c>
    </x:row>
    <x:row r="128" spans="1:40" ht="16.15" customHeight="1" x14ac:dyDescent="0.25">
      <x:c r="C128" s="35">
        <x:f>IF(E128=0,"",HYPERLINK("H:\Projekte\Projekte aktuell\Sonstige Projekte\1139 - ENSET\AP09_Innolab\Akquise\Datenbank &amp; Liste\"&amp;E128&amp;"_"&amp;G128,E128&amp;"_"&amp;G128))</x:f>
      </x:c>
      <x:c r="D128" s="5">
        <x:f/>
      </x:c>
      <x:c r="E128" s="5">
        <x:f/>
      </x:c>
      <x:c r="F128" s="5">
        <x:f/>
      </x:c>
      <x:c r="G128" s="5">
        <x:f/>
      </x:c>
      <x:c r="H128" s="5">
        <x:f/>
      </x:c>
      <x:c r="I128" s="5">
        <x:f/>
      </x:c>
      <x:c r="J128" s="5">
        <x:f/>
      </x:c>
      <x:c r="K128" s="5">
        <x:f/>
      </x:c>
      <x:c r="L128" s="5">
        <x:f/>
      </x:c>
      <x:c r="M128" s="5">
        <x:f/>
      </x:c>
      <x:c r="N128" s="5">
        <x:f/>
      </x:c>
      <x:c r="O128" s="5">
        <x:f/>
      </x:c>
      <x:c r="P128" s="5">
        <x:f/>
      </x:c>
      <x:c r="Q128" s="5">
        <x:f/>
      </x:c>
      <x:c r="R128" s="5">
        <x:f/>
      </x:c>
      <x:c r="S128" s="5">
        <x:f/>
      </x:c>
      <x:c r="T128" s="5">
        <x:f/>
      </x:c>
      <x:c r="U128" s="5">
        <x:f/>
      </x:c>
      <x:c r="V128" s="5">
        <x:f/>
      </x:c>
      <x:c r="W128" s="0">
        <x:f/>
      </x:c>
      <x:c r="X128" s="0">
        <x:f/>
      </x:c>
      <x:c r="Y128" s="0">
        <x:f/>
      </x:c>
      <x:c r="Z128" s="0">
        <x:f/>
      </x:c>
    </x:row>
    <x:row r="129" spans="1:40" ht="16.15" customHeight="1" x14ac:dyDescent="0.25">
      <x:c r="C129" s="35">
        <x:f>IF(E129=0,"",HYPERLINK("H:\Projekte\Projekte aktuell\Sonstige Projekte\1139 - ENSET\AP09_Innolab\Akquise\Datenbank &amp; Liste\"&amp;E129&amp;"_"&amp;G129,E129&amp;"_"&amp;G129))</x:f>
      </x:c>
      <x:c r="D129" s="5">
        <x:f/>
      </x:c>
      <x:c r="E129" s="5">
        <x:f/>
      </x:c>
      <x:c r="F129" s="5">
        <x:f/>
      </x:c>
      <x:c r="G129" s="5">
        <x:f/>
      </x:c>
      <x:c r="H129" s="5">
        <x:f/>
      </x:c>
      <x:c r="I129" s="5">
        <x:f/>
      </x:c>
      <x:c r="J129" s="5">
        <x:f/>
      </x:c>
      <x:c r="K129" s="5">
        <x:f/>
      </x:c>
      <x:c r="L129" s="5">
        <x:f/>
      </x:c>
      <x:c r="M129" s="5">
        <x:f/>
      </x:c>
      <x:c r="N129" s="5">
        <x:f/>
      </x:c>
      <x:c r="O129" s="5">
        <x:f/>
      </x:c>
      <x:c r="P129" s="5">
        <x:f/>
      </x:c>
      <x:c r="Q129" s="5">
        <x:f/>
      </x:c>
      <x:c r="R129" s="5">
        <x:f/>
      </x:c>
      <x:c r="S129" s="5">
        <x:f/>
      </x:c>
      <x:c r="T129" s="5">
        <x:f/>
      </x:c>
      <x:c r="U129" s="5">
        <x:f/>
      </x:c>
      <x:c r="V129" s="5">
        <x:f/>
      </x:c>
      <x:c r="W129" s="0">
        <x:f/>
      </x:c>
      <x:c r="X129" s="0">
        <x:f/>
      </x:c>
      <x:c r="Y129" s="0">
        <x:f/>
      </x:c>
      <x:c r="Z129" s="0">
        <x:f/>
      </x:c>
    </x:row>
    <x:row r="130" spans="1:40" ht="16.15" customHeight="1" x14ac:dyDescent="0.25">
      <x:c r="C130" s="35">
        <x:f>IF(E130=0,"",HYPERLINK("H:\Projekte\Projekte aktuell\Sonstige Projekte\1139 - ENSET\AP09_Innolab\Akquise\Datenbank &amp; Liste\"&amp;E130&amp;"_"&amp;G130,E130&amp;"_"&amp;G130))</x:f>
      </x:c>
      <x:c r="D130" s="5">
        <x:f/>
      </x:c>
      <x:c r="E130" s="5">
        <x:f/>
      </x:c>
      <x:c r="F130" s="5">
        <x:f/>
      </x:c>
      <x:c r="G130" s="5">
        <x:f/>
      </x:c>
      <x:c r="H130" s="5">
        <x:f/>
      </x:c>
      <x:c r="I130" s="5">
        <x:f/>
      </x:c>
      <x:c r="J130" s="5">
        <x:f/>
      </x:c>
      <x:c r="K130" s="5">
        <x:f/>
      </x:c>
      <x:c r="L130" s="5">
        <x:f/>
      </x:c>
      <x:c r="M130" s="5">
        <x:f/>
      </x:c>
      <x:c r="N130" s="5">
        <x:f/>
      </x:c>
      <x:c r="O130" s="5">
        <x:f/>
      </x:c>
      <x:c r="P130" s="5">
        <x:f/>
      </x:c>
      <x:c r="Q130" s="5">
        <x:f/>
      </x:c>
      <x:c r="R130" s="5">
        <x:f/>
      </x:c>
      <x:c r="S130" s="5">
        <x:f/>
      </x:c>
      <x:c r="T130" s="5">
        <x:f/>
      </x:c>
      <x:c r="U130" s="5">
        <x:f/>
      </x:c>
      <x:c r="V130" s="5">
        <x:f/>
      </x:c>
      <x:c r="W130" s="0">
        <x:f/>
      </x:c>
      <x:c r="X130" s="0">
        <x:f/>
      </x:c>
      <x:c r="Y130" s="0">
        <x:f/>
      </x:c>
      <x:c r="Z130" s="0">
        <x:f/>
      </x:c>
    </x:row>
    <x:row r="131" spans="1:40" ht="16.15" customHeight="1" x14ac:dyDescent="0.25">
      <x:c r="C131" s="35">
        <x:f>IF(E131=0,"",HYPERLINK("H:\Projekte\Projekte aktuell\Sonstige Projekte\1139 - ENSET\AP09_Innolab\Akquise\Datenbank &amp; Liste\"&amp;E131&amp;"_"&amp;G131,E131&amp;"_"&amp;G131))</x:f>
      </x:c>
      <x:c r="D131" s="5">
        <x:f/>
      </x:c>
      <x:c r="E131" s="5">
        <x:f/>
      </x:c>
      <x:c r="F131" s="5">
        <x:f/>
      </x:c>
      <x:c r="G131" s="5">
        <x:f/>
      </x:c>
      <x:c r="H131" s="5">
        <x:f/>
      </x:c>
      <x:c r="I131" s="5">
        <x:f/>
      </x:c>
      <x:c r="J131" s="5">
        <x:f/>
      </x:c>
      <x:c r="K131" s="5">
        <x:f/>
      </x:c>
      <x:c r="L131" s="5">
        <x:f/>
      </x:c>
      <x:c r="M131" s="5">
        <x:f/>
      </x:c>
      <x:c r="N131" s="5">
        <x:f/>
      </x:c>
      <x:c r="O131" s="5">
        <x:f/>
      </x:c>
      <x:c r="P131" s="5">
        <x:f/>
      </x:c>
      <x:c r="Q131" s="5">
        <x:f/>
      </x:c>
      <x:c r="R131" s="5">
        <x:f/>
      </x:c>
      <x:c r="S131" s="5">
        <x:f/>
      </x:c>
      <x:c r="T131" s="5">
        <x:f/>
      </x:c>
      <x:c r="U131" s="5">
        <x:f/>
      </x:c>
      <x:c r="V131" s="5">
        <x:f/>
      </x:c>
      <x:c r="W131" s="0">
        <x:f/>
      </x:c>
      <x:c r="X131" s="0">
        <x:f/>
      </x:c>
      <x:c r="Y131" s="0">
        <x:f/>
      </x:c>
      <x:c r="Z131" s="0">
        <x:f/>
      </x:c>
    </x:row>
    <x:row r="132" spans="1:40" ht="16.15" customHeight="1" x14ac:dyDescent="0.25">
      <x:c r="C132" s="35">
        <x:f>IF(E132=0,"",HYPERLINK("H:\Projekte\Projekte aktuell\Sonstige Projekte\1139 - ENSET\AP09_Innolab\Akquise\Datenbank &amp; Liste\"&amp;E132&amp;"_"&amp;G132,E132&amp;"_"&amp;G132))</x:f>
      </x:c>
      <x:c r="D132" s="5">
        <x:f/>
      </x:c>
      <x:c r="E132" s="5">
        <x:f/>
      </x:c>
      <x:c r="F132" s="5">
        <x:f/>
      </x:c>
      <x:c r="G132" s="5">
        <x:f/>
      </x:c>
      <x:c r="H132" s="5">
        <x:f/>
      </x:c>
      <x:c r="I132" s="5">
        <x:f/>
      </x:c>
      <x:c r="J132" s="5">
        <x:f/>
      </x:c>
      <x:c r="K132" s="5">
        <x:f/>
      </x:c>
      <x:c r="L132" s="5">
        <x:f/>
      </x:c>
      <x:c r="M132" s="5">
        <x:f/>
      </x:c>
      <x:c r="N132" s="5">
        <x:f/>
      </x:c>
      <x:c r="O132" s="5">
        <x:f/>
      </x:c>
      <x:c r="P132" s="5">
        <x:f/>
      </x:c>
      <x:c r="Q132" s="5">
        <x:f/>
      </x:c>
      <x:c r="R132" s="5">
        <x:f/>
      </x:c>
      <x:c r="S132" s="5">
        <x:f/>
      </x:c>
      <x:c r="T132" s="5">
        <x:f/>
      </x:c>
      <x:c r="U132" s="5">
        <x:f/>
      </x:c>
      <x:c r="V132" s="5">
        <x:f/>
      </x:c>
      <x:c r="W132" s="0">
        <x:f/>
      </x:c>
      <x:c r="X132" s="0">
        <x:f/>
      </x:c>
      <x:c r="Y132" s="0">
        <x:f/>
      </x:c>
      <x:c r="Z132" s="0">
        <x:f/>
      </x:c>
    </x:row>
    <x:row r="133" spans="1:40" ht="16.15" customHeight="1" x14ac:dyDescent="0.25">
      <x:c r="C133" s="35">
        <x:f>IF(E133=0,"",HYPERLINK("H:\Projekte\Projekte aktuell\Sonstige Projekte\1139 - ENSET\AP09_Innolab\Akquise\Datenbank &amp; Liste\"&amp;E133&amp;"_"&amp;G133,E133&amp;"_"&amp;G133))</x:f>
      </x:c>
      <x:c r="D133" s="5">
        <x:f/>
      </x:c>
      <x:c r="E133" s="5">
        <x:f/>
      </x:c>
      <x:c r="F133" s="5">
        <x:f/>
      </x:c>
      <x:c r="G133" s="5">
        <x:f/>
      </x:c>
      <x:c r="H133" s="5">
        <x:f/>
      </x:c>
      <x:c r="I133" s="5">
        <x:f/>
      </x:c>
      <x:c r="J133" s="5">
        <x:f/>
      </x:c>
      <x:c r="K133" s="5">
        <x:f/>
      </x:c>
      <x:c r="L133" s="5">
        <x:f/>
      </x:c>
      <x:c r="M133" s="5">
        <x:f/>
      </x:c>
      <x:c r="N133" s="5">
        <x:f/>
      </x:c>
      <x:c r="O133" s="5">
        <x:f/>
      </x:c>
      <x:c r="P133" s="5">
        <x:f/>
      </x:c>
      <x:c r="Q133" s="5">
        <x:f/>
      </x:c>
      <x:c r="R133" s="5">
        <x:f/>
      </x:c>
      <x:c r="S133" s="5">
        <x:f/>
      </x:c>
      <x:c r="T133" s="5">
        <x:f/>
      </x:c>
      <x:c r="U133" s="5">
        <x:f/>
      </x:c>
      <x:c r="V133" s="5">
        <x:f/>
      </x:c>
      <x:c r="W133" s="0">
        <x:f/>
      </x:c>
      <x:c r="X133" s="0">
        <x:f/>
      </x:c>
      <x:c r="Y133" s="0">
        <x:f/>
      </x:c>
      <x:c r="Z133" s="0">
        <x:f/>
      </x:c>
    </x:row>
    <x:row r="134" spans="1:40" ht="16.15" customHeight="1" x14ac:dyDescent="0.25">
      <x:c r="C134" s="35">
        <x:f>IF(E134=0,"",HYPERLINK("H:\Projekte\Projekte aktuell\Sonstige Projekte\1139 - ENSET\AP09_Innolab\Akquise\Datenbank &amp; Liste\"&amp;E134&amp;"_"&amp;G134,E134&amp;"_"&amp;G134))</x:f>
      </x:c>
      <x:c r="D134" s="5">
        <x:f/>
      </x:c>
      <x:c r="E134" s="5">
        <x:f/>
      </x:c>
      <x:c r="F134" s="5">
        <x:f/>
      </x:c>
      <x:c r="G134" s="5">
        <x:f/>
      </x:c>
      <x:c r="H134" s="5">
        <x:f/>
      </x:c>
      <x:c r="I134" s="5">
        <x:f/>
      </x:c>
      <x:c r="J134" s="5">
        <x:f/>
      </x:c>
      <x:c r="K134" s="5">
        <x:f/>
      </x:c>
      <x:c r="L134" s="5">
        <x:f/>
      </x:c>
      <x:c r="M134" s="5">
        <x:f/>
      </x:c>
      <x:c r="N134" s="5">
        <x:f/>
      </x:c>
      <x:c r="O134" s="5">
        <x:f/>
      </x:c>
      <x:c r="P134" s="5">
        <x:f/>
      </x:c>
      <x:c r="Q134" s="5">
        <x:f/>
      </x:c>
      <x:c r="R134" s="5">
        <x:f/>
      </x:c>
      <x:c r="S134" s="5">
        <x:f/>
      </x:c>
      <x:c r="T134" s="5">
        <x:f/>
      </x:c>
      <x:c r="U134" s="5">
        <x:f/>
      </x:c>
      <x:c r="V134" s="5">
        <x:f/>
      </x:c>
      <x:c r="W134" s="0">
        <x:f/>
      </x:c>
      <x:c r="X134" s="0">
        <x:f/>
      </x:c>
      <x:c r="Y134" s="0">
        <x:f/>
      </x:c>
      <x:c r="Z134" s="0">
        <x:f/>
      </x:c>
    </x:row>
    <x:row r="135" spans="1:40" ht="16.15" customHeight="1" x14ac:dyDescent="0.25">
      <x:c r="C135" s="35">
        <x:f>IF(E135=0,"",HYPERLINK("H:\Projekte\Projekte aktuell\Sonstige Projekte\1139 - ENSET\AP09_Innolab\Akquise\Datenbank &amp; Liste\"&amp;E135&amp;"_"&amp;G135,E135&amp;"_"&amp;G135))</x:f>
      </x:c>
      <x:c r="D135" s="5">
        <x:f/>
      </x:c>
      <x:c r="E135" s="5">
        <x:f/>
      </x:c>
      <x:c r="F135" s="5">
        <x:f/>
      </x:c>
      <x:c r="G135" s="5">
        <x:f/>
      </x:c>
      <x:c r="H135" s="5">
        <x:f/>
      </x:c>
      <x:c r="I135" s="5">
        <x:f/>
      </x:c>
      <x:c r="J135" s="5">
        <x:f/>
      </x:c>
      <x:c r="K135" s="5">
        <x:f/>
      </x:c>
      <x:c r="L135" s="5">
        <x:f/>
      </x:c>
      <x:c r="M135" s="5">
        <x:f/>
      </x:c>
      <x:c r="N135" s="5">
        <x:f/>
      </x:c>
      <x:c r="O135" s="5">
        <x:f/>
      </x:c>
      <x:c r="P135" s="5">
        <x:f/>
      </x:c>
      <x:c r="Q135" s="5">
        <x:f/>
      </x:c>
      <x:c r="R135" s="5">
        <x:f/>
      </x:c>
      <x:c r="S135" s="5">
        <x:f/>
      </x:c>
      <x:c r="T135" s="5">
        <x:f/>
      </x:c>
      <x:c r="U135" s="5">
        <x:f/>
      </x:c>
      <x:c r="V135" s="5">
        <x:f/>
      </x:c>
      <x:c r="W135" s="0">
        <x:f/>
      </x:c>
      <x:c r="X135" s="0">
        <x:f/>
      </x:c>
      <x:c r="Y135" s="0">
        <x:f/>
      </x:c>
      <x:c r="Z135" s="0">
        <x:f/>
      </x:c>
    </x:row>
    <x:row r="136" spans="1:40" ht="16.15" customHeight="1" x14ac:dyDescent="0.25">
      <x:c r="C136" s="35">
        <x:f>IF(E136=0,"",HYPERLINK("H:\Projekte\Projekte aktuell\Sonstige Projekte\1139 - ENSET\AP09_Innolab\Akquise\Datenbank &amp; Liste\"&amp;E136&amp;"_"&amp;G136,E136&amp;"_"&amp;G136))</x:f>
      </x:c>
      <x:c r="D136" s="5">
        <x:f/>
      </x:c>
      <x:c r="E136" s="5">
        <x:f/>
      </x:c>
      <x:c r="F136" s="5">
        <x:f/>
      </x:c>
      <x:c r="G136" s="5">
        <x:f/>
      </x:c>
      <x:c r="H136" s="5">
        <x:f/>
      </x:c>
      <x:c r="I136" s="5">
        <x:f/>
      </x:c>
      <x:c r="J136" s="5">
        <x:f/>
      </x:c>
      <x:c r="K136" s="5">
        <x:f/>
      </x:c>
      <x:c r="L136" s="5">
        <x:f/>
      </x:c>
      <x:c r="M136" s="5">
        <x:f/>
      </x:c>
      <x:c r="N136" s="5">
        <x:f/>
      </x:c>
      <x:c r="O136" s="5">
        <x:f/>
      </x:c>
      <x:c r="P136" s="5">
        <x:f/>
      </x:c>
      <x:c r="Q136" s="5">
        <x:f/>
      </x:c>
      <x:c r="R136" s="5">
        <x:f/>
      </x:c>
      <x:c r="S136" s="5">
        <x:f/>
      </x:c>
      <x:c r="T136" s="5">
        <x:f/>
      </x:c>
      <x:c r="U136" s="5">
        <x:f/>
      </x:c>
      <x:c r="V136" s="5">
        <x:f/>
      </x:c>
      <x:c r="W136" s="0">
        <x:f/>
      </x:c>
      <x:c r="X136" s="0">
        <x:f/>
      </x:c>
      <x:c r="Y136" s="0">
        <x:f/>
      </x:c>
      <x:c r="Z136" s="0">
        <x:f/>
      </x:c>
    </x:row>
    <x:row r="137" spans="1:40" ht="16.15" customHeight="1" x14ac:dyDescent="0.25">
      <x:c r="C137" s="35">
        <x:f>IF(E137=0,"",HYPERLINK("H:\Projekte\Projekte aktuell\Sonstige Projekte\1139 - ENSET\AP09_Innolab\Akquise\Datenbank &amp; Liste\"&amp;E137&amp;"_"&amp;G137,E137&amp;"_"&amp;G137))</x:f>
      </x:c>
      <x:c r="D137" s="5">
        <x:f/>
      </x:c>
      <x:c r="E137" s="5">
        <x:f/>
      </x:c>
      <x:c r="F137" s="5">
        <x:f/>
      </x:c>
      <x:c r="G137" s="5">
        <x:f/>
      </x:c>
      <x:c r="H137" s="5">
        <x:f/>
      </x:c>
      <x:c r="I137" s="5">
        <x:f/>
      </x:c>
      <x:c r="J137" s="5">
        <x:f/>
      </x:c>
      <x:c r="K137" s="5">
        <x:f/>
      </x:c>
      <x:c r="L137" s="5">
        <x:f/>
      </x:c>
      <x:c r="M137" s="5">
        <x:f/>
      </x:c>
      <x:c r="N137" s="5">
        <x:f/>
      </x:c>
      <x:c r="O137" s="5">
        <x:f/>
      </x:c>
      <x:c r="P137" s="5">
        <x:f/>
      </x:c>
      <x:c r="Q137" s="5">
        <x:f/>
      </x:c>
      <x:c r="R137" s="5">
        <x:f/>
      </x:c>
      <x:c r="S137" s="5">
        <x:f/>
      </x:c>
      <x:c r="T137" s="5">
        <x:f/>
      </x:c>
      <x:c r="U137" s="5">
        <x:f/>
      </x:c>
      <x:c r="V137" s="5">
        <x:f/>
      </x:c>
      <x:c r="W137" s="0">
        <x:f/>
      </x:c>
      <x:c r="X137" s="0">
        <x:f/>
      </x:c>
      <x:c r="Y137" s="0">
        <x:f/>
      </x:c>
      <x:c r="Z137" s="0">
        <x:f/>
      </x:c>
    </x:row>
    <x:row r="138" spans="1:40" ht="16.15" customHeight="1" x14ac:dyDescent="0.25">
      <x:c r="C138" s="35">
        <x:f>IF(E138=0,"",HYPERLINK("H:\Projekte\Projekte aktuell\Sonstige Projekte\1139 - ENSET\AP09_Innolab\Akquise\Datenbank &amp; Liste\"&amp;E138&amp;"_"&amp;G138,E138&amp;"_"&amp;G138))</x:f>
      </x:c>
      <x:c r="D138" s="5">
        <x:f/>
      </x:c>
      <x:c r="E138" s="5">
        <x:f/>
      </x:c>
      <x:c r="F138" s="5">
        <x:f/>
      </x:c>
      <x:c r="G138" s="5">
        <x:f/>
      </x:c>
      <x:c r="H138" s="5">
        <x:f/>
      </x:c>
      <x:c r="I138" s="5">
        <x:f/>
      </x:c>
      <x:c r="J138" s="5">
        <x:f/>
      </x:c>
      <x:c r="K138" s="5">
        <x:f/>
      </x:c>
      <x:c r="L138" s="5">
        <x:f/>
      </x:c>
      <x:c r="M138" s="5">
        <x:f/>
      </x:c>
      <x:c r="N138" s="5">
        <x:f/>
      </x:c>
      <x:c r="O138" s="5">
        <x:f/>
      </x:c>
      <x:c r="P138" s="5">
        <x:f/>
      </x:c>
      <x:c r="Q138" s="5">
        <x:f/>
      </x:c>
      <x:c r="R138" s="5">
        <x:f/>
      </x:c>
      <x:c r="S138" s="5">
        <x:f/>
      </x:c>
      <x:c r="T138" s="5">
        <x:f/>
      </x:c>
      <x:c r="U138" s="5">
        <x:f/>
      </x:c>
      <x:c r="V138" s="5">
        <x:f/>
      </x:c>
      <x:c r="W138" s="0">
        <x:f/>
      </x:c>
      <x:c r="X138" s="0">
        <x:f/>
      </x:c>
      <x:c r="Y138" s="0">
        <x:f/>
      </x:c>
      <x:c r="Z138" s="0">
        <x:f/>
      </x:c>
    </x:row>
    <x:row r="139" spans="1:40" ht="16.15" customHeight="1" x14ac:dyDescent="0.25">
      <x:c r="C139" s="35">
        <x:f>IF(E139=0,"",HYPERLINK("H:\Projekte\Projekte aktuell\Sonstige Projekte\1139 - ENSET\AP09_Innolab\Akquise\Datenbank &amp; Liste\"&amp;E139&amp;"_"&amp;G139,E139&amp;"_"&amp;G139))</x:f>
      </x:c>
      <x:c r="D139" s="5">
        <x:f/>
      </x:c>
      <x:c r="E139" s="5">
        <x:f/>
      </x:c>
      <x:c r="F139" s="5">
        <x:f/>
      </x:c>
      <x:c r="G139" s="5">
        <x:f/>
      </x:c>
      <x:c r="H139" s="5">
        <x:f/>
      </x:c>
      <x:c r="I139" s="5">
        <x:f/>
      </x:c>
      <x:c r="J139" s="5">
        <x:f/>
      </x:c>
      <x:c r="K139" s="5">
        <x:f/>
      </x:c>
      <x:c r="L139" s="5">
        <x:f/>
      </x:c>
      <x:c r="M139" s="5">
        <x:f/>
      </x:c>
      <x:c r="N139" s="5">
        <x:f/>
      </x:c>
      <x:c r="O139" s="5">
        <x:f/>
      </x:c>
      <x:c r="P139" s="5">
        <x:f/>
      </x:c>
      <x:c r="Q139" s="5">
        <x:f/>
      </x:c>
      <x:c r="R139" s="5">
        <x:f/>
      </x:c>
      <x:c r="S139" s="5">
        <x:f/>
      </x:c>
      <x:c r="T139" s="5">
        <x:f/>
      </x:c>
      <x:c r="U139" s="5">
        <x:f/>
      </x:c>
      <x:c r="V139" s="5">
        <x:f/>
      </x:c>
      <x:c r="W139" s="0">
        <x:f/>
      </x:c>
      <x:c r="X139" s="0">
        <x:f/>
      </x:c>
      <x:c r="Y139" s="0">
        <x:f/>
      </x:c>
      <x:c r="Z139" s="0">
        <x:f/>
      </x:c>
    </x:row>
    <x:row r="140" spans="1:40" ht="16.15" customHeight="1" x14ac:dyDescent="0.25">
      <x:c r="C140" s="35">
        <x:f>IF(E140=0,"",HYPERLINK("H:\Projekte\Projekte aktuell\Sonstige Projekte\1139 - ENSET\AP09_Innolab\Akquise\Datenbank &amp; Liste\"&amp;E140&amp;"_"&amp;G140,E140&amp;"_"&amp;G140))</x:f>
      </x:c>
      <x:c r="D140" s="5">
        <x:f/>
      </x:c>
      <x:c r="E140" s="5">
        <x:f/>
      </x:c>
      <x:c r="F140" s="5">
        <x:f/>
      </x:c>
      <x:c r="G140" s="5">
        <x:f/>
      </x:c>
      <x:c r="H140" s="5">
        <x:f/>
      </x:c>
      <x:c r="I140" s="5">
        <x:f/>
      </x:c>
      <x:c r="J140" s="5">
        <x:f/>
      </x:c>
      <x:c r="K140" s="5">
        <x:f/>
      </x:c>
      <x:c r="L140" s="5">
        <x:f/>
      </x:c>
      <x:c r="M140" s="5">
        <x:f/>
      </x:c>
      <x:c r="N140" s="5">
        <x:f/>
      </x:c>
      <x:c r="O140" s="5">
        <x:f/>
      </x:c>
      <x:c r="P140" s="5">
        <x:f/>
      </x:c>
      <x:c r="Q140" s="5">
        <x:f/>
      </x:c>
      <x:c r="R140" s="5">
        <x:f/>
      </x:c>
      <x:c r="S140" s="5">
        <x:f/>
      </x:c>
      <x:c r="T140" s="5">
        <x:f/>
      </x:c>
      <x:c r="U140" s="5">
        <x:f/>
      </x:c>
      <x:c r="V140" s="5">
        <x:f/>
      </x:c>
      <x:c r="W140" s="0">
        <x:f/>
      </x:c>
      <x:c r="X140" s="0">
        <x:f/>
      </x:c>
      <x:c r="Y140" s="0">
        <x:f/>
      </x:c>
      <x:c r="Z140" s="0">
        <x:f/>
      </x:c>
    </x:row>
    <x:row r="141" spans="1:40" ht="16.15" customHeight="1" x14ac:dyDescent="0.25">
      <x:c r="C141" s="35">
        <x:f>IF(E141=0,"",HYPERLINK("H:\Projekte\Projekte aktuell\Sonstige Projekte\1139 - ENSET\AP09_Innolab\Akquise\Datenbank &amp; Liste\"&amp;E141&amp;"_"&amp;G141,E141&amp;"_"&amp;G141))</x:f>
      </x:c>
      <x:c r="D141" s="5">
        <x:f/>
      </x:c>
      <x:c r="E141" s="5">
        <x:f/>
      </x:c>
      <x:c r="F141" s="5">
        <x:f/>
      </x:c>
      <x:c r="G141" s="5">
        <x:f/>
      </x:c>
      <x:c r="H141" s="5">
        <x:f/>
      </x:c>
      <x:c r="I141" s="5">
        <x:f/>
      </x:c>
      <x:c r="J141" s="5">
        <x:f/>
      </x:c>
      <x:c r="K141" s="5">
        <x:f/>
      </x:c>
      <x:c r="L141" s="5">
        <x:f/>
      </x:c>
      <x:c r="M141" s="5">
        <x:f/>
      </x:c>
      <x:c r="N141" s="5">
        <x:f/>
      </x:c>
      <x:c r="O141" s="5">
        <x:f/>
      </x:c>
      <x:c r="P141" s="5">
        <x:f/>
      </x:c>
      <x:c r="Q141" s="5">
        <x:f/>
      </x:c>
      <x:c r="R141" s="5">
        <x:f/>
      </x:c>
      <x:c r="S141" s="5">
        <x:f/>
      </x:c>
      <x:c r="T141" s="5">
        <x:f/>
      </x:c>
      <x:c r="U141" s="5">
        <x:f/>
      </x:c>
      <x:c r="V141" s="5">
        <x:f/>
      </x:c>
      <x:c r="W141" s="0">
        <x:f/>
      </x:c>
      <x:c r="X141" s="0">
        <x:f/>
      </x:c>
      <x:c r="Y141" s="0">
        <x:f/>
      </x:c>
      <x:c r="Z141" s="0">
        <x:f/>
      </x:c>
    </x:row>
    <x:row r="142" spans="1:40" ht="16.15" customHeight="1" x14ac:dyDescent="0.25">
      <x:c r="C142" s="35">
        <x:f>IF(E142=0,"",HYPERLINK("H:\Projekte\Projekte aktuell\Sonstige Projekte\1139 - ENSET\AP09_Innolab\Akquise\Datenbank &amp; Liste\"&amp;E142&amp;"_"&amp;G142,E142&amp;"_"&amp;G142))</x:f>
      </x:c>
      <x:c r="D142" s="5">
        <x:f/>
      </x:c>
      <x:c r="E142" s="5">
        <x:f/>
      </x:c>
      <x:c r="F142" s="5">
        <x:f/>
      </x:c>
      <x:c r="G142" s="5">
        <x:f/>
      </x:c>
      <x:c r="H142" s="5">
        <x:f/>
      </x:c>
      <x:c r="I142" s="5">
        <x:f/>
      </x:c>
      <x:c r="J142" s="5">
        <x:f/>
      </x:c>
      <x:c r="K142" s="5">
        <x:f/>
      </x:c>
      <x:c r="L142" s="5">
        <x:f/>
      </x:c>
      <x:c r="M142" s="5">
        <x:f/>
      </x:c>
      <x:c r="N142" s="5">
        <x:f/>
      </x:c>
      <x:c r="O142" s="5">
        <x:f/>
      </x:c>
      <x:c r="P142" s="5">
        <x:f/>
      </x:c>
      <x:c r="Q142" s="5">
        <x:f/>
      </x:c>
      <x:c r="R142" s="5">
        <x:f/>
      </x:c>
      <x:c r="S142" s="5">
        <x:f/>
      </x:c>
      <x:c r="T142" s="5">
        <x:f/>
      </x:c>
      <x:c r="U142" s="5">
        <x:f/>
      </x:c>
      <x:c r="V142" s="5">
        <x:f/>
      </x:c>
      <x:c r="W142" s="0">
        <x:f/>
      </x:c>
      <x:c r="X142" s="0">
        <x:f/>
      </x:c>
      <x:c r="Y142" s="0">
        <x:f/>
      </x:c>
      <x:c r="Z142" s="0">
        <x:f/>
      </x:c>
    </x:row>
    <x:row r="143" spans="1:40" ht="16.15" customHeight="1" x14ac:dyDescent="0.25">
      <x:c r="C143" s="35">
        <x:f>IF(E143=0,"",HYPERLINK("H:\Projekte\Projekte aktuell\Sonstige Projekte\1139 - ENSET\AP09_Innolab\Akquise\Datenbank &amp; Liste\"&amp;E143&amp;"_"&amp;G143,E143&amp;"_"&amp;G143))</x:f>
      </x:c>
      <x:c r="D143" s="5">
        <x:f/>
      </x:c>
      <x:c r="E143" s="5">
        <x:f/>
      </x:c>
      <x:c r="F143" s="5">
        <x:f/>
      </x:c>
      <x:c r="G143" s="5">
        <x:f/>
      </x:c>
      <x:c r="H143" s="5">
        <x:f/>
      </x:c>
      <x:c r="I143" s="5">
        <x:f/>
      </x:c>
      <x:c r="J143" s="5">
        <x:f/>
      </x:c>
      <x:c r="K143" s="5">
        <x:f/>
      </x:c>
      <x:c r="L143" s="5">
        <x:f/>
      </x:c>
      <x:c r="M143" s="5">
        <x:f/>
      </x:c>
      <x:c r="N143" s="5">
        <x:f/>
      </x:c>
      <x:c r="O143" s="5">
        <x:f/>
      </x:c>
      <x:c r="P143" s="5">
        <x:f/>
      </x:c>
      <x:c r="Q143" s="5">
        <x:f/>
      </x:c>
      <x:c r="R143" s="5">
        <x:f/>
      </x:c>
      <x:c r="S143" s="5">
        <x:f/>
      </x:c>
      <x:c r="T143" s="5">
        <x:f/>
      </x:c>
      <x:c r="U143" s="5">
        <x:f/>
      </x:c>
      <x:c r="V143" s="5">
        <x:f/>
      </x:c>
      <x:c r="W143" s="0">
        <x:f/>
      </x:c>
      <x:c r="X143" s="0">
        <x:f/>
      </x:c>
      <x:c r="Y143" s="0">
        <x:f/>
      </x:c>
      <x:c r="Z143" s="0">
        <x:f/>
      </x:c>
    </x:row>
    <x:row r="144" spans="1:40" ht="16.15" customHeight="1" x14ac:dyDescent="0.25">
      <x:c r="C144" s="35">
        <x:f>IF(E144=0,"",HYPERLINK("H:\Projekte\Projekte aktuell\Sonstige Projekte\1139 - ENSET\AP09_Innolab\Akquise\Datenbank &amp; Liste\"&amp;E144&amp;"_"&amp;G144,E144&amp;"_"&amp;G144))</x:f>
      </x:c>
      <x:c r="D144" s="5">
        <x:f/>
      </x:c>
      <x:c r="E144" s="5">
        <x:f/>
      </x:c>
      <x:c r="F144" s="5">
        <x:f/>
      </x:c>
      <x:c r="G144" s="5">
        <x:f/>
      </x:c>
      <x:c r="H144" s="5">
        <x:f/>
      </x:c>
      <x:c r="I144" s="5">
        <x:f/>
      </x:c>
      <x:c r="J144" s="5">
        <x:f/>
      </x:c>
      <x:c r="K144" s="5">
        <x:f/>
      </x:c>
      <x:c r="L144" s="5">
        <x:f/>
      </x:c>
      <x:c r="M144" s="5">
        <x:f/>
      </x:c>
      <x:c r="N144" s="5">
        <x:f/>
      </x:c>
      <x:c r="O144" s="5">
        <x:f/>
      </x:c>
      <x:c r="P144" s="5">
        <x:f/>
      </x:c>
      <x:c r="Q144" s="5">
        <x:f/>
      </x:c>
      <x:c r="R144" s="5">
        <x:f/>
      </x:c>
      <x:c r="S144" s="5">
        <x:f/>
      </x:c>
      <x:c r="T144" s="5">
        <x:f/>
      </x:c>
      <x:c r="U144" s="5">
        <x:f/>
      </x:c>
      <x:c r="V144" s="5">
        <x:f/>
      </x:c>
      <x:c r="W144" s="0">
        <x:f/>
      </x:c>
      <x:c r="X144" s="0">
        <x:f/>
      </x:c>
      <x:c r="Y144" s="0">
        <x:f/>
      </x:c>
      <x:c r="Z144" s="0">
        <x:f/>
      </x:c>
    </x:row>
    <x:row r="145" spans="1:40" ht="16.15" customHeight="1" x14ac:dyDescent="0.25">
      <x:c r="C145" s="35">
        <x:f>IF(E145=0,"",HYPERLINK("H:\Projekte\Projekte aktuell\Sonstige Projekte\1139 - ENSET\AP09_Innolab\Akquise\Datenbank &amp; Liste\"&amp;E145&amp;"_"&amp;G145,E145&amp;"_"&amp;G145))</x:f>
      </x:c>
      <x:c r="D145" s="5">
        <x:f/>
      </x:c>
      <x:c r="E145" s="5">
        <x:f/>
      </x:c>
      <x:c r="F145" s="5">
        <x:f/>
      </x:c>
      <x:c r="G145" s="5">
        <x:f/>
      </x:c>
      <x:c r="H145" s="5">
        <x:f/>
      </x:c>
      <x:c r="I145" s="5">
        <x:f/>
      </x:c>
      <x:c r="J145" s="5">
        <x:f/>
      </x:c>
      <x:c r="K145" s="5">
        <x:f/>
      </x:c>
      <x:c r="L145" s="5">
        <x:f/>
      </x:c>
      <x:c r="M145" s="5">
        <x:f/>
      </x:c>
      <x:c r="N145" s="5">
        <x:f/>
      </x:c>
      <x:c r="O145" s="5">
        <x:f/>
      </x:c>
      <x:c r="P145" s="5">
        <x:f/>
      </x:c>
      <x:c r="Q145" s="5">
        <x:f/>
      </x:c>
      <x:c r="R145" s="5">
        <x:f/>
      </x:c>
      <x:c r="S145" s="5">
        <x:f/>
      </x:c>
      <x:c r="T145" s="5">
        <x:f/>
      </x:c>
      <x:c r="U145" s="5">
        <x:f/>
      </x:c>
      <x:c r="V145" s="5">
        <x:f/>
      </x:c>
      <x:c r="W145" s="0">
        <x:f/>
      </x:c>
      <x:c r="X145" s="0">
        <x:f/>
      </x:c>
      <x:c r="Y145" s="0">
        <x:f/>
      </x:c>
      <x:c r="Z145" s="0">
        <x:f/>
      </x:c>
    </x:row>
    <x:row r="146" spans="1:40" ht="16.15" customHeight="1" x14ac:dyDescent="0.25">
      <x:c r="C146" s="35">
        <x:f>IF(E146=0,"",HYPERLINK("H:\Projekte\Projekte aktuell\Sonstige Projekte\1139 - ENSET\AP09_Innolab\Akquise\Datenbank &amp; Liste\"&amp;E146&amp;"_"&amp;G146,E146&amp;"_"&amp;G146))</x:f>
      </x:c>
      <x:c r="D146" s="5">
        <x:f/>
      </x:c>
      <x:c r="E146" s="5">
        <x:f/>
      </x:c>
      <x:c r="F146" s="5">
        <x:f/>
      </x:c>
      <x:c r="G146" s="5">
        <x:f/>
      </x:c>
      <x:c r="H146" s="5">
        <x:f/>
      </x:c>
      <x:c r="I146" s="5">
        <x:f/>
      </x:c>
      <x:c r="J146" s="5">
        <x:f/>
      </x:c>
      <x:c r="K146" s="5">
        <x:f/>
      </x:c>
      <x:c r="L146" s="5">
        <x:f/>
      </x:c>
      <x:c r="M146" s="5">
        <x:f/>
      </x:c>
      <x:c r="N146" s="5">
        <x:f/>
      </x:c>
      <x:c r="O146" s="5">
        <x:f/>
      </x:c>
      <x:c r="P146" s="5">
        <x:f/>
      </x:c>
      <x:c r="Q146" s="5">
        <x:f/>
      </x:c>
      <x:c r="R146" s="5">
        <x:f/>
      </x:c>
      <x:c r="S146" s="5">
        <x:f/>
      </x:c>
      <x:c r="T146" s="5">
        <x:f/>
      </x:c>
      <x:c r="U146" s="5">
        <x:f/>
      </x:c>
      <x:c r="V146" s="5">
        <x:f/>
      </x:c>
      <x:c r="W146" s="0">
        <x:f/>
      </x:c>
      <x:c r="X146" s="0">
        <x:f/>
      </x:c>
      <x:c r="Y146" s="0">
        <x:f/>
      </x:c>
      <x:c r="Z146" s="0">
        <x:f/>
      </x:c>
    </x:row>
    <x:row r="147" spans="1:40" ht="16.15" customHeight="1" x14ac:dyDescent="0.25">
      <x:c r="C147" s="35">
        <x:f>IF(E147=0,"",HYPERLINK("H:\Projekte\Projekte aktuell\Sonstige Projekte\1139 - ENSET\AP09_Innolab\Akquise\Datenbank &amp; Liste\"&amp;E147&amp;"_"&amp;G147,E147&amp;"_"&amp;G147))</x:f>
      </x:c>
      <x:c r="D147" s="5">
        <x:f/>
      </x:c>
      <x:c r="E147" s="5">
        <x:f/>
      </x:c>
      <x:c r="F147" s="5">
        <x:f/>
      </x:c>
      <x:c r="G147" s="5">
        <x:f/>
      </x:c>
      <x:c r="H147" s="5">
        <x:f/>
      </x:c>
      <x:c r="I147" s="5">
        <x:f/>
      </x:c>
      <x:c r="J147" s="5">
        <x:f/>
      </x:c>
      <x:c r="K147" s="5">
        <x:f/>
      </x:c>
      <x:c r="L147" s="5">
        <x:f/>
      </x:c>
      <x:c r="M147" s="5">
        <x:f/>
      </x:c>
      <x:c r="N147" s="5">
        <x:f/>
      </x:c>
      <x:c r="O147" s="5">
        <x:f/>
      </x:c>
      <x:c r="P147" s="5">
        <x:f/>
      </x:c>
      <x:c r="Q147" s="5">
        <x:f/>
      </x:c>
      <x:c r="R147" s="5">
        <x:f/>
      </x:c>
      <x:c r="S147" s="5">
        <x:f/>
      </x:c>
      <x:c r="T147" s="5">
        <x:f/>
      </x:c>
      <x:c r="U147" s="5">
        <x:f/>
      </x:c>
      <x:c r="V147" s="5">
        <x:f/>
      </x:c>
      <x:c r="W147" s="0">
        <x:f/>
      </x:c>
      <x:c r="X147" s="0">
        <x:f/>
      </x:c>
      <x:c r="Y147" s="0">
        <x:f/>
      </x:c>
      <x:c r="Z147" s="0">
        <x:f/>
      </x:c>
    </x:row>
    <x:row r="148" spans="1:40" ht="16.15" customHeight="1" x14ac:dyDescent="0.25">
      <x:c r="C148" s="35">
        <x:f>IF(E148=0,"",HYPERLINK("H:\Projekte\Projekte aktuell\Sonstige Projekte\1139 - ENSET\AP09_Innolab\Akquise\Datenbank &amp; Liste\"&amp;E148&amp;"_"&amp;G148,E148&amp;"_"&amp;G148))</x:f>
      </x:c>
      <x:c r="D148" s="5">
        <x:f/>
      </x:c>
      <x:c r="E148" s="5">
        <x:f/>
      </x:c>
      <x:c r="F148" s="5">
        <x:f/>
      </x:c>
      <x:c r="G148" s="5">
        <x:f/>
      </x:c>
      <x:c r="H148" s="5">
        <x:f/>
      </x:c>
      <x:c r="I148" s="5">
        <x:f/>
      </x:c>
      <x:c r="J148" s="5">
        <x:f/>
      </x:c>
      <x:c r="K148" s="5">
        <x:f/>
      </x:c>
      <x:c r="L148" s="5">
        <x:f/>
      </x:c>
      <x:c r="M148" s="5">
        <x:f/>
      </x:c>
      <x:c r="N148" s="5">
        <x:f/>
      </x:c>
      <x:c r="O148" s="5">
        <x:f/>
      </x:c>
      <x:c r="P148" s="5">
        <x:f/>
      </x:c>
      <x:c r="Q148" s="5">
        <x:f/>
      </x:c>
      <x:c r="R148" s="5">
        <x:f/>
      </x:c>
      <x:c r="S148" s="5">
        <x:f/>
      </x:c>
      <x:c r="T148" s="5">
        <x:f/>
      </x:c>
      <x:c r="U148" s="5">
        <x:f/>
      </x:c>
      <x:c r="V148" s="5">
        <x:f/>
      </x:c>
      <x:c r="W148" s="0">
        <x:f/>
      </x:c>
      <x:c r="X148" s="0">
        <x:f/>
      </x:c>
      <x:c r="Y148" s="0">
        <x:f/>
      </x:c>
      <x:c r="Z148" s="0">
        <x:f/>
      </x:c>
    </x:row>
    <x:row r="149" spans="1:40" ht="16.15" customHeight="1" x14ac:dyDescent="0.25">
      <x:c r="C149" s="35">
        <x:f>IF(E149=0,"",HYPERLINK("H:\Projekte\Projekte aktuell\Sonstige Projekte\1139 - ENSET\AP09_Innolab\Akquise\Datenbank &amp; Liste\"&amp;E149&amp;"_"&amp;G149,E149&amp;"_"&amp;G149))</x:f>
      </x:c>
      <x:c r="D149" s="5">
        <x:f/>
      </x:c>
      <x:c r="E149" s="5">
        <x:f/>
      </x:c>
      <x:c r="F149" s="5">
        <x:f/>
      </x:c>
      <x:c r="G149" s="5">
        <x:f/>
      </x:c>
      <x:c r="H149" s="5">
        <x:f/>
      </x:c>
      <x:c r="I149" s="5">
        <x:f/>
      </x:c>
      <x:c r="J149" s="5">
        <x:f/>
      </x:c>
      <x:c r="K149" s="5">
        <x:f/>
      </x:c>
      <x:c r="L149" s="5">
        <x:f/>
      </x:c>
      <x:c r="M149" s="5">
        <x:f/>
      </x:c>
      <x:c r="N149" s="5">
        <x:f/>
      </x:c>
      <x:c r="O149" s="5">
        <x:f/>
      </x:c>
      <x:c r="P149" s="5">
        <x:f/>
      </x:c>
      <x:c r="Q149" s="5">
        <x:f/>
      </x:c>
      <x:c r="R149" s="5">
        <x:f/>
      </x:c>
      <x:c r="S149" s="5">
        <x:f/>
      </x:c>
      <x:c r="T149" s="5">
        <x:f/>
      </x:c>
      <x:c r="U149" s="5">
        <x:f/>
      </x:c>
      <x:c r="V149" s="5">
        <x:f/>
      </x:c>
      <x:c r="W149" s="0">
        <x:f/>
      </x:c>
      <x:c r="X149" s="0">
        <x:f/>
      </x:c>
      <x:c r="Y149" s="0">
        <x:f/>
      </x:c>
      <x:c r="Z149" s="0">
        <x:f/>
      </x:c>
    </x:row>
    <x:row r="150" spans="1:40" ht="16.15" customHeight="1" x14ac:dyDescent="0.25">
      <x:c r="C150" s="35">
        <x:f>IF(E150=0,"",HYPERLINK("H:\Projekte\Projekte aktuell\Sonstige Projekte\1139 - ENSET\AP09_Innolab\Akquise\Datenbank &amp; Liste\"&amp;E150&amp;"_"&amp;G150,E150&amp;"_"&amp;G150))</x:f>
      </x:c>
      <x:c r="D150" s="5">
        <x:f/>
      </x:c>
      <x:c r="E150" s="5">
        <x:f/>
      </x:c>
      <x:c r="F150" s="5">
        <x:f/>
      </x:c>
      <x:c r="G150" s="5">
        <x:f/>
      </x:c>
      <x:c r="H150" s="5">
        <x:f/>
      </x:c>
      <x:c r="I150" s="5">
        <x:f/>
      </x:c>
      <x:c r="J150" s="5">
        <x:f/>
      </x:c>
      <x:c r="K150" s="5">
        <x:f/>
      </x:c>
      <x:c r="L150" s="5">
        <x:f/>
      </x:c>
      <x:c r="M150" s="5">
        <x:f/>
      </x:c>
      <x:c r="N150" s="5">
        <x:f/>
      </x:c>
      <x:c r="O150" s="5">
        <x:f/>
      </x:c>
      <x:c r="P150" s="5">
        <x:f/>
      </x:c>
      <x:c r="Q150" s="5">
        <x:f/>
      </x:c>
      <x:c r="R150" s="5">
        <x:f/>
      </x:c>
      <x:c r="S150" s="5">
        <x:f/>
      </x:c>
      <x:c r="T150" s="5">
        <x:f/>
      </x:c>
      <x:c r="U150" s="5">
        <x:f/>
      </x:c>
      <x:c r="V150" s="5">
        <x:f/>
      </x:c>
      <x:c r="W150" s="0">
        <x:f/>
      </x:c>
      <x:c r="X150" s="0">
        <x:f/>
      </x:c>
      <x:c r="Y150" s="0">
        <x:f/>
      </x:c>
      <x:c r="Z150" s="0">
        <x:f/>
      </x:c>
    </x:row>
    <x:row r="151" spans="1:40" ht="16.15" customHeight="1" x14ac:dyDescent="0.25">
      <x:c r="C151" s="35">
        <x:f>IF(E151=0,"",HYPERLINK("H:\Projekte\Projekte aktuell\Sonstige Projekte\1139 - ENSET\AP09_Innolab\Akquise\Datenbank &amp; Liste\"&amp;E151&amp;"_"&amp;G151,E151&amp;"_"&amp;G151))</x:f>
      </x:c>
      <x:c r="D151" s="5">
        <x:f/>
      </x:c>
      <x:c r="E151" s="5">
        <x:f/>
      </x:c>
      <x:c r="F151" s="5">
        <x:f/>
      </x:c>
      <x:c r="G151" s="5">
        <x:f/>
      </x:c>
      <x:c r="H151" s="5">
        <x:f/>
      </x:c>
      <x:c r="I151" s="5">
        <x:f/>
      </x:c>
      <x:c r="J151" s="5">
        <x:f/>
      </x:c>
      <x:c r="K151" s="5">
        <x:f/>
      </x:c>
      <x:c r="L151" s="5">
        <x:f/>
      </x:c>
      <x:c r="M151" s="5">
        <x:f/>
      </x:c>
      <x:c r="N151" s="5">
        <x:f/>
      </x:c>
      <x:c r="O151" s="5">
        <x:f/>
      </x:c>
      <x:c r="P151" s="5">
        <x:f/>
      </x:c>
      <x:c r="Q151" s="5">
        <x:f/>
      </x:c>
      <x:c r="R151" s="5">
        <x:f/>
      </x:c>
      <x:c r="S151" s="5">
        <x:f/>
      </x:c>
      <x:c r="T151" s="5">
        <x:f/>
      </x:c>
      <x:c r="U151" s="5">
        <x:f/>
      </x:c>
      <x:c r="V151" s="5">
        <x:f/>
      </x:c>
      <x:c r="W151" s="0">
        <x:f/>
      </x:c>
      <x:c r="X151" s="0">
        <x:f/>
      </x:c>
      <x:c r="Y151" s="0">
        <x:f/>
      </x:c>
      <x:c r="Z151" s="0">
        <x:f/>
      </x:c>
    </x:row>
    <x:row r="152" spans="1:40" ht="16.15" customHeight="1" x14ac:dyDescent="0.25">
      <x:c r="C152" s="35">
        <x:f>IF(E152=0,"",HYPERLINK("H:\Projekte\Projekte aktuell\Sonstige Projekte\1139 - ENSET\AP09_Innolab\Akquise\Datenbank &amp; Liste\"&amp;E152&amp;"_"&amp;G152,E152&amp;"_"&amp;G152))</x:f>
      </x:c>
      <x:c r="D152" s="5">
        <x:f/>
      </x:c>
      <x:c r="E152" s="5">
        <x:f/>
      </x:c>
      <x:c r="F152" s="5">
        <x:f/>
      </x:c>
      <x:c r="G152" s="5">
        <x:f/>
      </x:c>
      <x:c r="H152" s="5">
        <x:f/>
      </x:c>
      <x:c r="I152" s="5">
        <x:f/>
      </x:c>
      <x:c r="J152" s="5">
        <x:f/>
      </x:c>
      <x:c r="K152" s="5">
        <x:f/>
      </x:c>
      <x:c r="L152" s="5">
        <x:f/>
      </x:c>
      <x:c r="M152" s="5">
        <x:f/>
      </x:c>
      <x:c r="N152" s="5">
        <x:f/>
      </x:c>
      <x:c r="O152" s="5">
        <x:f/>
      </x:c>
      <x:c r="P152" s="5">
        <x:f/>
      </x:c>
      <x:c r="Q152" s="5">
        <x:f/>
      </x:c>
      <x:c r="R152" s="5">
        <x:f/>
      </x:c>
      <x:c r="S152" s="5">
        <x:f/>
      </x:c>
      <x:c r="T152" s="5">
        <x:f/>
      </x:c>
      <x:c r="U152" s="5">
        <x:f/>
      </x:c>
      <x:c r="V152" s="5">
        <x:f/>
      </x:c>
      <x:c r="W152" s="0">
        <x:f/>
      </x:c>
      <x:c r="X152" s="0">
        <x:f/>
      </x:c>
      <x:c r="Y152" s="0">
        <x:f/>
      </x:c>
      <x:c r="Z152" s="0">
        <x:f/>
      </x:c>
    </x:row>
    <x:row r="153" spans="1:40" ht="16.15" customHeight="1" x14ac:dyDescent="0.25">
      <x:c r="C153" s="35">
        <x:f>IF(E153=0,"",HYPERLINK("H:\Projekte\Projekte aktuell\Sonstige Projekte\1139 - ENSET\AP09_Innolab\Akquise\Datenbank &amp; Liste\"&amp;E153&amp;"_"&amp;G153,E153&amp;"_"&amp;G153))</x:f>
      </x:c>
      <x:c r="D153" s="5">
        <x:f/>
      </x:c>
      <x:c r="E153" s="5">
        <x:f/>
      </x:c>
      <x:c r="F153" s="5">
        <x:f/>
      </x:c>
      <x:c r="G153" s="5">
        <x:f/>
      </x:c>
      <x:c r="H153" s="5">
        <x:f/>
      </x:c>
      <x:c r="I153" s="5">
        <x:f/>
      </x:c>
      <x:c r="J153" s="5">
        <x:f/>
      </x:c>
      <x:c r="K153" s="5">
        <x:f/>
      </x:c>
      <x:c r="L153" s="5">
        <x:f/>
      </x:c>
      <x:c r="M153" s="5">
        <x:f/>
      </x:c>
      <x:c r="N153" s="5">
        <x:f/>
      </x:c>
      <x:c r="O153" s="5">
        <x:f/>
      </x:c>
      <x:c r="P153" s="5">
        <x:f/>
      </x:c>
      <x:c r="Q153" s="5">
        <x:f/>
      </x:c>
      <x:c r="R153" s="5">
        <x:f/>
      </x:c>
      <x:c r="S153" s="5">
        <x:f/>
      </x:c>
      <x:c r="T153" s="5">
        <x:f/>
      </x:c>
      <x:c r="U153" s="5">
        <x:f/>
      </x:c>
      <x:c r="V153" s="5">
        <x:f/>
      </x:c>
      <x:c r="W153" s="0">
        <x:f/>
      </x:c>
      <x:c r="X153" s="0">
        <x:f/>
      </x:c>
      <x:c r="Y153" s="0">
        <x:f/>
      </x:c>
      <x:c r="Z153" s="0">
        <x:f/>
      </x:c>
    </x:row>
    <x:row r="154" spans="1:40" ht="16.15" customHeight="1" x14ac:dyDescent="0.25">
      <x:c r="C154" s="35">
        <x:f>IF(E154=0,"",HYPERLINK("H:\Projekte\Projekte aktuell\Sonstige Projekte\1139 - ENSET\AP09_Innolab\Akquise\Datenbank &amp; Liste\"&amp;E154&amp;"_"&amp;G154,E154&amp;"_"&amp;G154))</x:f>
      </x:c>
      <x:c r="D154" s="5">
        <x:f/>
      </x:c>
      <x:c r="E154" s="5">
        <x:f/>
      </x:c>
      <x:c r="F154" s="5">
        <x:f/>
      </x:c>
      <x:c r="G154" s="5">
        <x:f/>
      </x:c>
      <x:c r="H154" s="5">
        <x:f/>
      </x:c>
      <x:c r="I154" s="5">
        <x:f/>
      </x:c>
      <x:c r="J154" s="5">
        <x:f/>
      </x:c>
      <x:c r="K154" s="5">
        <x:f/>
      </x:c>
      <x:c r="L154" s="5">
        <x:f/>
      </x:c>
      <x:c r="M154" s="5">
        <x:f/>
      </x:c>
      <x:c r="N154" s="5">
        <x:f/>
      </x:c>
      <x:c r="O154" s="5">
        <x:f/>
      </x:c>
      <x:c r="P154" s="5">
        <x:f/>
      </x:c>
      <x:c r="Q154" s="5">
        <x:f/>
      </x:c>
      <x:c r="R154" s="5">
        <x:f/>
      </x:c>
      <x:c r="S154" s="5">
        <x:f/>
      </x:c>
      <x:c r="T154" s="5">
        <x:f/>
      </x:c>
      <x:c r="U154" s="5">
        <x:f/>
      </x:c>
      <x:c r="V154" s="5">
        <x:f/>
      </x:c>
      <x:c r="W154" s="0">
        <x:f/>
      </x:c>
      <x:c r="X154" s="0">
        <x:f/>
      </x:c>
      <x:c r="Y154" s="0">
        <x:f/>
      </x:c>
      <x:c r="Z154" s="0">
        <x:f/>
      </x:c>
    </x:row>
    <x:row r="155" spans="1:40" ht="16.15" customHeight="1" x14ac:dyDescent="0.25">
      <x:c r="C155" s="35">
        <x:f>IF(E155=0,"",HYPERLINK("H:\Projekte\Projekte aktuell\Sonstige Projekte\1139 - ENSET\AP09_Innolab\Akquise\Datenbank &amp; Liste\"&amp;E155&amp;"_"&amp;G155,E155&amp;"_"&amp;G155))</x:f>
      </x:c>
      <x:c r="D155" s="5">
        <x:f/>
      </x:c>
      <x:c r="E155" s="5">
        <x:f/>
      </x:c>
      <x:c r="F155" s="5">
        <x:f/>
      </x:c>
      <x:c r="G155" s="5">
        <x:f/>
      </x:c>
      <x:c r="H155" s="5">
        <x:f/>
      </x:c>
      <x:c r="I155" s="5">
        <x:f/>
      </x:c>
      <x:c r="J155" s="5">
        <x:f/>
      </x:c>
      <x:c r="K155" s="5">
        <x:f/>
      </x:c>
      <x:c r="L155" s="5">
        <x:f/>
      </x:c>
      <x:c r="M155" s="5">
        <x:f/>
      </x:c>
      <x:c r="N155" s="5">
        <x:f/>
      </x:c>
      <x:c r="O155" s="5">
        <x:f/>
      </x:c>
      <x:c r="P155" s="5">
        <x:f/>
      </x:c>
      <x:c r="Q155" s="5">
        <x:f/>
      </x:c>
      <x:c r="R155" s="5">
        <x:f/>
      </x:c>
      <x:c r="S155" s="5">
        <x:f/>
      </x:c>
      <x:c r="T155" s="5">
        <x:f/>
      </x:c>
      <x:c r="U155" s="5">
        <x:f/>
      </x:c>
      <x:c r="V155" s="5">
        <x:f/>
      </x:c>
      <x:c r="W155" s="0">
        <x:f/>
      </x:c>
      <x:c r="X155" s="0">
        <x:f/>
      </x:c>
      <x:c r="Y155" s="0">
        <x:f/>
      </x:c>
      <x:c r="Z155" s="0">
        <x:f/>
      </x:c>
    </x:row>
    <x:row r="156" spans="1:40" ht="16.15" customHeight="1" x14ac:dyDescent="0.25">
      <x:c r="C156" s="35">
        <x:f>IF(E156=0,"",HYPERLINK("H:\Projekte\Projekte aktuell\Sonstige Projekte\1139 - ENSET\AP09_Innolab\Akquise\Datenbank &amp; Liste\"&amp;E156&amp;"_"&amp;G156,E156&amp;"_"&amp;G156))</x:f>
      </x:c>
      <x:c r="D156" s="5">
        <x:f/>
      </x:c>
      <x:c r="E156" s="5">
        <x:f/>
      </x:c>
      <x:c r="F156" s="5">
        <x:f/>
      </x:c>
      <x:c r="G156" s="5">
        <x:f/>
      </x:c>
      <x:c r="H156" s="5">
        <x:f/>
      </x:c>
      <x:c r="I156" s="5">
        <x:f/>
      </x:c>
      <x:c r="J156" s="5">
        <x:f/>
      </x:c>
      <x:c r="K156" s="5">
        <x:f/>
      </x:c>
      <x:c r="L156" s="5">
        <x:f/>
      </x:c>
      <x:c r="M156" s="5">
        <x:f/>
      </x:c>
      <x:c r="N156" s="5">
        <x:f/>
      </x:c>
      <x:c r="O156" s="5">
        <x:f/>
      </x:c>
      <x:c r="P156" s="5">
        <x:f/>
      </x:c>
      <x:c r="Q156" s="5">
        <x:f/>
      </x:c>
      <x:c r="R156" s="5">
        <x:f/>
      </x:c>
      <x:c r="S156" s="5">
        <x:f/>
      </x:c>
      <x:c r="T156" s="5">
        <x:f/>
      </x:c>
      <x:c r="U156" s="5">
        <x:f/>
      </x:c>
      <x:c r="V156" s="5">
        <x:f/>
      </x:c>
      <x:c r="W156" s="0">
        <x:f/>
      </x:c>
      <x:c r="X156" s="0">
        <x:f/>
      </x:c>
      <x:c r="Y156" s="0">
        <x:f/>
      </x:c>
      <x:c r="Z156" s="0">
        <x:f/>
      </x:c>
    </x:row>
    <x:row r="157" spans="1:40" ht="16.15" customHeight="1" x14ac:dyDescent="0.25">
      <x:c r="C157" s="35">
        <x:f>IF(E157=0,"",HYPERLINK("H:\Projekte\Projekte aktuell\Sonstige Projekte\1139 - ENSET\AP09_Innolab\Akquise\Datenbank &amp; Liste\"&amp;E157&amp;"_"&amp;G157,E157&amp;"_"&amp;G157))</x:f>
      </x:c>
      <x:c r="D157" s="5">
        <x:f/>
      </x:c>
      <x:c r="E157" s="5">
        <x:f/>
      </x:c>
      <x:c r="F157" s="5">
        <x:f/>
      </x:c>
      <x:c r="G157" s="5">
        <x:f/>
      </x:c>
      <x:c r="H157" s="5">
        <x:f/>
      </x:c>
      <x:c r="I157" s="5">
        <x:f/>
      </x:c>
      <x:c r="J157" s="5">
        <x:f/>
      </x:c>
      <x:c r="K157" s="5">
        <x:f/>
      </x:c>
      <x:c r="L157" s="5">
        <x:f/>
      </x:c>
      <x:c r="M157" s="5">
        <x:f/>
      </x:c>
      <x:c r="N157" s="5">
        <x:f/>
      </x:c>
      <x:c r="O157" s="5">
        <x:f/>
      </x:c>
      <x:c r="P157" s="5">
        <x:f/>
      </x:c>
      <x:c r="Q157" s="5">
        <x:f/>
      </x:c>
      <x:c r="R157" s="5">
        <x:f/>
      </x:c>
      <x:c r="S157" s="5">
        <x:f/>
      </x:c>
      <x:c r="T157" s="5">
        <x:f/>
      </x:c>
      <x:c r="U157" s="5">
        <x:f/>
      </x:c>
      <x:c r="V157" s="5">
        <x:f/>
      </x:c>
      <x:c r="W157" s="0">
        <x:f/>
      </x:c>
      <x:c r="X157" s="0">
        <x:f/>
      </x:c>
      <x:c r="Y157" s="0">
        <x:f/>
      </x:c>
      <x:c r="Z157" s="0">
        <x:f/>
      </x:c>
    </x:row>
    <x:row r="158" spans="1:40" ht="16.15" customHeight="1" x14ac:dyDescent="0.25">
      <x:c r="C158" s="35">
        <x:f>IF(E158=0,"",HYPERLINK("H:\Projekte\Projekte aktuell\Sonstige Projekte\1139 - ENSET\AP09_Innolab\Akquise\Datenbank &amp; Liste\"&amp;E158&amp;"_"&amp;G158,E158&amp;"_"&amp;G158))</x:f>
      </x:c>
      <x:c r="D158" s="5">
        <x:f/>
      </x:c>
      <x:c r="E158" s="5">
        <x:f/>
      </x:c>
      <x:c r="F158" s="5">
        <x:f/>
      </x:c>
      <x:c r="G158" s="5">
        <x:f/>
      </x:c>
      <x:c r="H158" s="5">
        <x:f/>
      </x:c>
      <x:c r="I158" s="5">
        <x:f/>
      </x:c>
      <x:c r="J158" s="5">
        <x:f/>
      </x:c>
      <x:c r="K158" s="5">
        <x:f/>
      </x:c>
      <x:c r="L158" s="5">
        <x:f/>
      </x:c>
      <x:c r="M158" s="5">
        <x:f/>
      </x:c>
      <x:c r="N158" s="5">
        <x:f/>
      </x:c>
      <x:c r="O158" s="5">
        <x:f/>
      </x:c>
      <x:c r="P158" s="5">
        <x:f/>
      </x:c>
      <x:c r="Q158" s="5">
        <x:f/>
      </x:c>
      <x:c r="R158" s="5">
        <x:f/>
      </x:c>
      <x:c r="S158" s="5">
        <x:f/>
      </x:c>
      <x:c r="T158" s="5">
        <x:f/>
      </x:c>
      <x:c r="U158" s="5">
        <x:f/>
      </x:c>
      <x:c r="V158" s="5">
        <x:f/>
      </x:c>
      <x:c r="W158" s="0">
        <x:f/>
      </x:c>
      <x:c r="X158" s="0">
        <x:f/>
      </x:c>
      <x:c r="Y158" s="0">
        <x:f/>
      </x:c>
      <x:c r="Z158" s="0">
        <x:f/>
      </x:c>
    </x:row>
    <x:row r="159" spans="1:40" ht="16.15" customHeight="1" x14ac:dyDescent="0.25">
      <x:c r="C159" s="35">
        <x:f>IF(E159=0,"",HYPERLINK("H:\Projekte\Projekte aktuell\Sonstige Projekte\1139 - ENSET\AP09_Innolab\Akquise\Datenbank &amp; Liste\"&amp;E159&amp;"_"&amp;G159,E159&amp;"_"&amp;G159))</x:f>
      </x:c>
      <x:c r="D159" s="5">
        <x:f/>
      </x:c>
      <x:c r="E159" s="5">
        <x:f/>
      </x:c>
      <x:c r="F159" s="5">
        <x:f/>
      </x:c>
      <x:c r="G159" s="5">
        <x:f/>
      </x:c>
      <x:c r="H159" s="5">
        <x:f/>
      </x:c>
      <x:c r="I159" s="5">
        <x:f/>
      </x:c>
      <x:c r="J159" s="5">
        <x:f/>
      </x:c>
      <x:c r="K159" s="5">
        <x:f/>
      </x:c>
      <x:c r="L159" s="5">
        <x:f/>
      </x:c>
      <x:c r="M159" s="5">
        <x:f/>
      </x:c>
      <x:c r="N159" s="5">
        <x:f/>
      </x:c>
      <x:c r="O159" s="5">
        <x:f/>
      </x:c>
      <x:c r="P159" s="5">
        <x:f/>
      </x:c>
      <x:c r="Q159" s="5">
        <x:f/>
      </x:c>
      <x:c r="R159" s="5">
        <x:f/>
      </x:c>
      <x:c r="S159" s="5">
        <x:f/>
      </x:c>
      <x:c r="T159" s="5">
        <x:f/>
      </x:c>
      <x:c r="U159" s="5">
        <x:f/>
      </x:c>
      <x:c r="V159" s="5">
        <x:f/>
      </x:c>
      <x:c r="W159" s="0">
        <x:f/>
      </x:c>
      <x:c r="X159" s="0">
        <x:f/>
      </x:c>
      <x:c r="Y159" s="0">
        <x:f/>
      </x:c>
      <x:c r="Z159" s="0">
        <x:f/>
      </x:c>
    </x:row>
    <x:row r="160" spans="1:40" ht="16.15" customHeight="1" x14ac:dyDescent="0.25">
      <x:c r="C160" s="35">
        <x:f>IF(E160=0,"",HYPERLINK("H:\Projekte\Projekte aktuell\Sonstige Projekte\1139 - ENSET\AP09_Innolab\Akquise\Datenbank &amp; Liste\"&amp;E160&amp;"_"&amp;G160,E160&amp;"_"&amp;G160))</x:f>
      </x:c>
      <x:c r="D160" s="5">
        <x:f/>
      </x:c>
      <x:c r="E160" s="5">
        <x:f/>
      </x:c>
      <x:c r="F160" s="5">
        <x:f/>
      </x:c>
      <x:c r="G160" s="5">
        <x:f/>
      </x:c>
      <x:c r="H160" s="5">
        <x:f/>
      </x:c>
      <x:c r="I160" s="5">
        <x:f/>
      </x:c>
      <x:c r="J160" s="5">
        <x:f/>
      </x:c>
      <x:c r="K160" s="5">
        <x:f/>
      </x:c>
      <x:c r="L160" s="5">
        <x:f/>
      </x:c>
      <x:c r="M160" s="5">
        <x:f/>
      </x:c>
      <x:c r="N160" s="5">
        <x:f/>
      </x:c>
      <x:c r="O160" s="5">
        <x:f/>
      </x:c>
      <x:c r="P160" s="5">
        <x:f/>
      </x:c>
      <x:c r="Q160" s="5">
        <x:f/>
      </x:c>
      <x:c r="R160" s="5">
        <x:f/>
      </x:c>
      <x:c r="S160" s="5">
        <x:f/>
      </x:c>
      <x:c r="T160" s="5">
        <x:f/>
      </x:c>
      <x:c r="U160" s="5">
        <x:f/>
      </x:c>
      <x:c r="V160" s="5">
        <x:f/>
      </x:c>
      <x:c r="W160" s="0">
        <x:f/>
      </x:c>
      <x:c r="X160" s="0">
        <x:f/>
      </x:c>
      <x:c r="Y160" s="0">
        <x:f/>
      </x:c>
      <x:c r="Z160" s="0">
        <x:f/>
      </x:c>
    </x:row>
    <x:row r="161" spans="1:40" ht="16.15" customHeight="1" x14ac:dyDescent="0.25">
      <x:c r="C161" s="35">
        <x:f>IF(E161=0,"",HYPERLINK("H:\Projekte\Projekte aktuell\Sonstige Projekte\1139 - ENSET\AP09_Innolab\Akquise\Datenbank &amp; Liste\"&amp;E161&amp;"_"&amp;G161,E161&amp;"_"&amp;G161))</x:f>
      </x:c>
      <x:c r="D161" s="5">
        <x:f/>
      </x:c>
      <x:c r="E161" s="5">
        <x:f/>
      </x:c>
      <x:c r="F161" s="5">
        <x:f/>
      </x:c>
      <x:c r="G161" s="5">
        <x:f/>
      </x:c>
      <x:c r="H161" s="5">
        <x:f/>
      </x:c>
      <x:c r="I161" s="5">
        <x:f/>
      </x:c>
      <x:c r="J161" s="5">
        <x:f/>
      </x:c>
      <x:c r="K161" s="5">
        <x:f/>
      </x:c>
      <x:c r="L161" s="5">
        <x:f/>
      </x:c>
      <x:c r="M161" s="5">
        <x:f/>
      </x:c>
      <x:c r="N161" s="5">
        <x:f/>
      </x:c>
      <x:c r="O161" s="5">
        <x:f/>
      </x:c>
      <x:c r="P161" s="5">
        <x:f/>
      </x:c>
      <x:c r="Q161" s="5">
        <x:f/>
      </x:c>
      <x:c r="R161" s="5">
        <x:f/>
      </x:c>
      <x:c r="S161" s="5">
        <x:f/>
      </x:c>
      <x:c r="T161" s="5">
        <x:f/>
      </x:c>
      <x:c r="U161" s="5">
        <x:f/>
      </x:c>
      <x:c r="V161" s="5">
        <x:f/>
      </x:c>
      <x:c r="W161" s="0">
        <x:f/>
      </x:c>
      <x:c r="X161" s="0">
        <x:f/>
      </x:c>
      <x:c r="Y161" s="0">
        <x:f/>
      </x:c>
      <x:c r="Z161" s="0">
        <x:f/>
      </x:c>
    </x:row>
    <x:row r="162" spans="1:40" ht="16.15" customHeight="1" x14ac:dyDescent="0.25">
      <x:c r="C162" s="35">
        <x:f>IF(E162=0,"",HYPERLINK("H:\Projekte\Projekte aktuell\Sonstige Projekte\1139 - ENSET\AP09_Innolab\Akquise\Datenbank &amp; Liste\"&amp;E162&amp;"_"&amp;G162,E162&amp;"_"&amp;G162))</x:f>
      </x:c>
      <x:c r="D162" s="5">
        <x:f/>
      </x:c>
      <x:c r="E162" s="5">
        <x:f/>
      </x:c>
      <x:c r="F162" s="5">
        <x:f/>
      </x:c>
      <x:c r="G162" s="5">
        <x:f/>
      </x:c>
      <x:c r="H162" s="5">
        <x:f/>
      </x:c>
      <x:c r="I162" s="5">
        <x:f/>
      </x:c>
      <x:c r="J162" s="5">
        <x:f/>
      </x:c>
      <x:c r="K162" s="5">
        <x:f/>
      </x:c>
      <x:c r="L162" s="5">
        <x:f/>
      </x:c>
      <x:c r="M162" s="5">
        <x:f/>
      </x:c>
      <x:c r="N162" s="5">
        <x:f/>
      </x:c>
      <x:c r="O162" s="5">
        <x:f/>
      </x:c>
      <x:c r="P162" s="5">
        <x:f/>
      </x:c>
      <x:c r="Q162" s="5">
        <x:f/>
      </x:c>
      <x:c r="R162" s="5">
        <x:f/>
      </x:c>
      <x:c r="S162" s="5">
        <x:f/>
      </x:c>
      <x:c r="T162" s="5">
        <x:f/>
      </x:c>
      <x:c r="U162" s="5">
        <x:f/>
      </x:c>
      <x:c r="V162" s="5">
        <x:f/>
      </x:c>
      <x:c r="W162" s="0">
        <x:f/>
      </x:c>
      <x:c r="X162" s="0">
        <x:f/>
      </x:c>
      <x:c r="Y162" s="0">
        <x:f/>
      </x:c>
      <x:c r="Z162" s="0">
        <x:f/>
      </x:c>
    </x:row>
    <x:row r="163" spans="1:40" ht="16.15" customHeight="1" x14ac:dyDescent="0.25">
      <x:c r="C163" s="35">
        <x:f>IF(E163=0,"",HYPERLINK("H:\Projekte\Projekte aktuell\Sonstige Projekte\1139 - ENSET\AP09_Innolab\Akquise\Datenbank &amp; Liste\"&amp;E163&amp;"_"&amp;G163,E163&amp;"_"&amp;G163))</x:f>
      </x:c>
      <x:c r="D163" s="5">
        <x:f/>
      </x:c>
      <x:c r="E163" s="5">
        <x:f/>
      </x:c>
      <x:c r="F163" s="5">
        <x:f/>
      </x:c>
      <x:c r="G163" s="5">
        <x:f/>
      </x:c>
      <x:c r="H163" s="5">
        <x:f/>
      </x:c>
      <x:c r="I163" s="5">
        <x:f/>
      </x:c>
      <x:c r="J163" s="5">
        <x:f/>
      </x:c>
      <x:c r="K163" s="5">
        <x:f/>
      </x:c>
      <x:c r="L163" s="5">
        <x:f/>
      </x:c>
      <x:c r="M163" s="5">
        <x:f/>
      </x:c>
      <x:c r="N163" s="5">
        <x:f/>
      </x:c>
      <x:c r="O163" s="5">
        <x:f/>
      </x:c>
      <x:c r="P163" s="5">
        <x:f/>
      </x:c>
      <x:c r="Q163" s="5">
        <x:f/>
      </x:c>
      <x:c r="R163" s="5">
        <x:f/>
      </x:c>
      <x:c r="S163" s="5">
        <x:f/>
      </x:c>
      <x:c r="T163" s="5">
        <x:f/>
      </x:c>
      <x:c r="U163" s="5">
        <x:f/>
      </x:c>
      <x:c r="V163" s="5">
        <x:f/>
      </x:c>
      <x:c r="W163" s="0">
        <x:f/>
      </x:c>
      <x:c r="X163" s="0">
        <x:f/>
      </x:c>
      <x:c r="Y163" s="0">
        <x:f/>
      </x:c>
      <x:c r="Z163" s="0">
        <x:f/>
      </x:c>
    </x:row>
    <x:row r="164" spans="1:40" ht="16.15" customHeight="1" x14ac:dyDescent="0.25">
      <x:c r="C164" s="35">
        <x:f>IF(E164=0,"",HYPERLINK("H:\Projekte\Projekte aktuell\Sonstige Projekte\1139 - ENSET\AP09_Innolab\Akquise\Datenbank &amp; Liste\"&amp;E164&amp;"_"&amp;G164,E164&amp;"_"&amp;G164))</x:f>
      </x:c>
      <x:c r="D164" s="5">
        <x:f/>
      </x:c>
      <x:c r="E164" s="5">
        <x:f/>
      </x:c>
      <x:c r="F164" s="5">
        <x:f/>
      </x:c>
      <x:c r="G164" s="5">
        <x:f/>
      </x:c>
      <x:c r="H164" s="5">
        <x:f/>
      </x:c>
      <x:c r="I164" s="5">
        <x:f/>
      </x:c>
      <x:c r="J164" s="5">
        <x:f/>
      </x:c>
      <x:c r="K164" s="5">
        <x:f/>
      </x:c>
      <x:c r="L164" s="5">
        <x:f/>
      </x:c>
      <x:c r="M164" s="5">
        <x:f/>
      </x:c>
      <x:c r="N164" s="5">
        <x:f/>
      </x:c>
      <x:c r="O164" s="5">
        <x:f/>
      </x:c>
      <x:c r="P164" s="5">
        <x:f/>
      </x:c>
      <x:c r="Q164" s="5">
        <x:f/>
      </x:c>
      <x:c r="R164" s="5">
        <x:f/>
      </x:c>
      <x:c r="S164" s="5">
        <x:f/>
      </x:c>
      <x:c r="T164" s="5">
        <x:f/>
      </x:c>
      <x:c r="U164" s="5">
        <x:f/>
      </x:c>
      <x:c r="V164" s="5">
        <x:f/>
      </x:c>
      <x:c r="W164" s="0">
        <x:f/>
      </x:c>
      <x:c r="X164" s="0">
        <x:f/>
      </x:c>
      <x:c r="Y164" s="0">
        <x:f/>
      </x:c>
      <x:c r="Z164" s="0">
        <x:f/>
      </x:c>
    </x:row>
    <x:row r="165" spans="1:40" ht="16.15" customHeight="1" x14ac:dyDescent="0.25">
      <x:c r="C165" s="35">
        <x:f>IF(E165=0,"",HYPERLINK("H:\Projekte\Projekte aktuell\Sonstige Projekte\1139 - ENSET\AP09_Innolab\Akquise\Datenbank &amp; Liste\"&amp;E165&amp;"_"&amp;G165,E165&amp;"_"&amp;G165))</x:f>
      </x:c>
      <x:c r="D165" s="5">
        <x:f/>
      </x:c>
      <x:c r="E165" s="5">
        <x:f/>
      </x:c>
      <x:c r="F165" s="5">
        <x:f/>
      </x:c>
      <x:c r="G165" s="5">
        <x:f/>
      </x:c>
      <x:c r="H165" s="5">
        <x:f/>
      </x:c>
      <x:c r="I165" s="5">
        <x:f/>
      </x:c>
      <x:c r="J165" s="5">
        <x:f/>
      </x:c>
      <x:c r="K165" s="5">
        <x:f/>
      </x:c>
      <x:c r="L165" s="5">
        <x:f/>
      </x:c>
      <x:c r="M165" s="5">
        <x:f/>
      </x:c>
      <x:c r="N165" s="5">
        <x:f/>
      </x:c>
      <x:c r="O165" s="5">
        <x:f/>
      </x:c>
      <x:c r="P165" s="5">
        <x:f/>
      </x:c>
      <x:c r="Q165" s="5">
        <x:f/>
      </x:c>
      <x:c r="R165" s="5">
        <x:f/>
      </x:c>
      <x:c r="S165" s="5">
        <x:f/>
      </x:c>
      <x:c r="T165" s="5">
        <x:f/>
      </x:c>
      <x:c r="U165" s="5">
        <x:f/>
      </x:c>
      <x:c r="V165" s="5">
        <x:f/>
      </x:c>
      <x:c r="W165" s="0">
        <x:f/>
      </x:c>
      <x:c r="X165" s="0">
        <x:f/>
      </x:c>
      <x:c r="Y165" s="0">
        <x:f/>
      </x:c>
      <x:c r="Z165" s="0">
        <x:f/>
      </x:c>
    </x:row>
    <x:row r="166" spans="1:40" ht="16.15" customHeight="1" x14ac:dyDescent="0.25">
      <x:c r="C166" s="35">
        <x:f>IF(E166=0,"",HYPERLINK("H:\Projekte\Projekte aktuell\Sonstige Projekte\1139 - ENSET\AP09_Innolab\Akquise\Datenbank &amp; Liste\"&amp;E166&amp;"_"&amp;G166,E166&amp;"_"&amp;G166))</x:f>
      </x:c>
      <x:c r="D166" s="5">
        <x:f/>
      </x:c>
      <x:c r="E166" s="5">
        <x:f/>
      </x:c>
      <x:c r="F166" s="5">
        <x:f/>
      </x:c>
      <x:c r="G166" s="5">
        <x:f/>
      </x:c>
      <x:c r="H166" s="5">
        <x:f/>
      </x:c>
      <x:c r="I166" s="5">
        <x:f/>
      </x:c>
      <x:c r="J166" s="5">
        <x:f/>
      </x:c>
      <x:c r="K166" s="5">
        <x:f/>
      </x:c>
      <x:c r="L166" s="5">
        <x:f/>
      </x:c>
      <x:c r="M166" s="5">
        <x:f/>
      </x:c>
      <x:c r="N166" s="5">
        <x:f/>
      </x:c>
      <x:c r="O166" s="5">
        <x:f/>
      </x:c>
      <x:c r="P166" s="5">
        <x:f/>
      </x:c>
      <x:c r="Q166" s="5">
        <x:f/>
      </x:c>
      <x:c r="R166" s="5">
        <x:f/>
      </x:c>
      <x:c r="S166" s="5">
        <x:f/>
      </x:c>
      <x:c r="T166" s="5">
        <x:f/>
      </x:c>
      <x:c r="U166" s="5">
        <x:f/>
      </x:c>
      <x:c r="V166" s="5">
        <x:f/>
      </x:c>
      <x:c r="W166" s="0">
        <x:f/>
      </x:c>
      <x:c r="X166" s="0">
        <x:f/>
      </x:c>
      <x:c r="Y166" s="0">
        <x:f/>
      </x:c>
      <x:c r="Z166" s="0">
        <x:f/>
      </x:c>
    </x:row>
    <x:row r="167" spans="1:40" ht="16.15" customHeight="1" x14ac:dyDescent="0.25">
      <x:c r="C167" s="35">
        <x:f>IF(E167=0,"",HYPERLINK("H:\Projekte\Projekte aktuell\Sonstige Projekte\1139 - ENSET\AP09_Innolab\Akquise\Datenbank &amp; Liste\"&amp;E167&amp;"_"&amp;G167,E167&amp;"_"&amp;G167))</x:f>
      </x:c>
      <x:c r="D167" s="5">
        <x:f/>
      </x:c>
      <x:c r="E167" s="5">
        <x:f/>
      </x:c>
      <x:c r="F167" s="5">
        <x:f/>
      </x:c>
      <x:c r="G167" s="5">
        <x:f/>
      </x:c>
      <x:c r="H167" s="5">
        <x:f/>
      </x:c>
      <x:c r="I167" s="5">
        <x:f/>
      </x:c>
      <x:c r="J167" s="5">
        <x:f/>
      </x:c>
      <x:c r="K167" s="5">
        <x:f/>
      </x:c>
      <x:c r="L167" s="5">
        <x:f/>
      </x:c>
      <x:c r="M167" s="5">
        <x:f/>
      </x:c>
      <x:c r="N167" s="5">
        <x:f/>
      </x:c>
      <x:c r="O167" s="5">
        <x:f/>
      </x:c>
      <x:c r="P167" s="5">
        <x:f/>
      </x:c>
      <x:c r="Q167" s="5">
        <x:f/>
      </x:c>
      <x:c r="R167" s="5">
        <x:f/>
      </x:c>
      <x:c r="S167" s="5">
        <x:f/>
      </x:c>
      <x:c r="T167" s="5">
        <x:f/>
      </x:c>
      <x:c r="U167" s="5">
        <x:f/>
      </x:c>
      <x:c r="V167" s="5">
        <x:f/>
      </x:c>
      <x:c r="W167" s="0">
        <x:f/>
      </x:c>
      <x:c r="X167" s="0">
        <x:f/>
      </x:c>
      <x:c r="Y167" s="0">
        <x:f/>
      </x:c>
      <x:c r="Z167" s="0">
        <x:f/>
      </x:c>
    </x:row>
    <x:row r="168" spans="1:40" ht="16.15" customHeight="1" x14ac:dyDescent="0.25">
      <x:c r="C168" s="35">
        <x:f>IF(E168=0,"",HYPERLINK("H:\Projekte\Projekte aktuell\Sonstige Projekte\1139 - ENSET\AP09_Innolab\Akquise\Datenbank &amp; Liste\"&amp;E168&amp;"_"&amp;G168,E168&amp;"_"&amp;G168))</x:f>
      </x:c>
      <x:c r="D168" s="5">
        <x:f/>
      </x:c>
      <x:c r="E168" s="5">
        <x:f/>
      </x:c>
      <x:c r="F168" s="5">
        <x:f/>
      </x:c>
      <x:c r="G168" s="5">
        <x:f/>
      </x:c>
      <x:c r="H168" s="5">
        <x:f/>
      </x:c>
      <x:c r="I168" s="5">
        <x:f/>
      </x:c>
      <x:c r="J168" s="5">
        <x:f/>
      </x:c>
      <x:c r="K168" s="5">
        <x:f/>
      </x:c>
      <x:c r="L168" s="5">
        <x:f/>
      </x:c>
      <x:c r="M168" s="5">
        <x:f/>
      </x:c>
      <x:c r="N168" s="5">
        <x:f/>
      </x:c>
      <x:c r="O168" s="5">
        <x:f/>
      </x:c>
      <x:c r="P168" s="5">
        <x:f/>
      </x:c>
      <x:c r="Q168" s="5">
        <x:f/>
      </x:c>
      <x:c r="R168" s="5">
        <x:f/>
      </x:c>
      <x:c r="S168" s="5">
        <x:f/>
      </x:c>
      <x:c r="T168" s="5">
        <x:f/>
      </x:c>
      <x:c r="U168" s="5">
        <x:f/>
      </x:c>
      <x:c r="V168" s="5">
        <x:f/>
      </x:c>
      <x:c r="W168" s="0">
        <x:f/>
      </x:c>
      <x:c r="X168" s="0">
        <x:f/>
      </x:c>
      <x:c r="Y168" s="0">
        <x:f/>
      </x:c>
      <x:c r="Z168" s="0">
        <x:f/>
      </x:c>
    </x:row>
    <x:row r="169" spans="1:40" ht="16.15" customHeight="1" x14ac:dyDescent="0.25">
      <x:c r="C169" s="35">
        <x:f>IF(E169=0,"",HYPERLINK("H:\Projekte\Projekte aktuell\Sonstige Projekte\1139 - ENSET\AP09_Innolab\Akquise\Datenbank &amp; Liste\"&amp;E169&amp;"_"&amp;G169,E169&amp;"_"&amp;G169))</x:f>
      </x:c>
      <x:c r="D169" s="5">
        <x:f/>
      </x:c>
      <x:c r="E169" s="5">
        <x:f/>
      </x:c>
      <x:c r="F169" s="5">
        <x:f/>
      </x:c>
      <x:c r="G169" s="5">
        <x:f/>
      </x:c>
      <x:c r="H169" s="5">
        <x:f/>
      </x:c>
      <x:c r="I169" s="5">
        <x:f/>
      </x:c>
      <x:c r="J169" s="5">
        <x:f/>
      </x:c>
      <x:c r="K169" s="5">
        <x:f/>
      </x:c>
      <x:c r="L169" s="5">
        <x:f/>
      </x:c>
      <x:c r="M169" s="5">
        <x:f/>
      </x:c>
      <x:c r="N169" s="5">
        <x:f/>
      </x:c>
      <x:c r="O169" s="5">
        <x:f/>
      </x:c>
      <x:c r="P169" s="5">
        <x:f/>
      </x:c>
      <x:c r="Q169" s="5">
        <x:f/>
      </x:c>
      <x:c r="R169" s="5">
        <x:f/>
      </x:c>
      <x:c r="S169" s="5">
        <x:f/>
      </x:c>
      <x:c r="T169" s="5">
        <x:f/>
      </x:c>
      <x:c r="U169" s="5">
        <x:f/>
      </x:c>
      <x:c r="V169" s="5">
        <x:f/>
      </x:c>
      <x:c r="W169" s="0">
        <x:f/>
      </x:c>
      <x:c r="X169" s="0">
        <x:f/>
      </x:c>
      <x:c r="Y169" s="0">
        <x:f/>
      </x:c>
      <x:c r="Z169" s="0">
        <x:f/>
      </x:c>
    </x:row>
    <x:row r="170" spans="1:40" ht="16.15" customHeight="1" x14ac:dyDescent="0.25">
      <x:c r="C170" s="35">
        <x:f>IF(E170=0,"",HYPERLINK("H:\Projekte\Projekte aktuell\Sonstige Projekte\1139 - ENSET\AP09_Innolab\Akquise\Datenbank &amp; Liste\"&amp;E170&amp;"_"&amp;G170,E170&amp;"_"&amp;G170))</x:f>
      </x:c>
      <x:c r="D170" s="5">
        <x:f/>
      </x:c>
      <x:c r="E170" s="5">
        <x:f/>
      </x:c>
      <x:c r="F170" s="5">
        <x:f/>
      </x:c>
      <x:c r="G170" s="5">
        <x:f/>
      </x:c>
      <x:c r="H170" s="5">
        <x:f/>
      </x:c>
      <x:c r="I170" s="5">
        <x:f/>
      </x:c>
      <x:c r="J170" s="5">
        <x:f/>
      </x:c>
      <x:c r="K170" s="5">
        <x:f/>
      </x:c>
      <x:c r="L170" s="5">
        <x:f/>
      </x:c>
      <x:c r="M170" s="5">
        <x:f/>
      </x:c>
      <x:c r="N170" s="5">
        <x:f/>
      </x:c>
      <x:c r="O170" s="5">
        <x:f/>
      </x:c>
      <x:c r="P170" s="5">
        <x:f/>
      </x:c>
      <x:c r="Q170" s="5">
        <x:f/>
      </x:c>
      <x:c r="R170" s="5">
        <x:f/>
      </x:c>
      <x:c r="S170" s="5">
        <x:f/>
      </x:c>
      <x:c r="T170" s="5">
        <x:f/>
      </x:c>
      <x:c r="U170" s="5">
        <x:f/>
      </x:c>
      <x:c r="V170" s="5">
        <x:f/>
      </x:c>
      <x:c r="W170" s="0">
        <x:f/>
      </x:c>
      <x:c r="X170" s="0">
        <x:f/>
      </x:c>
      <x:c r="Y170" s="0">
        <x:f/>
      </x:c>
      <x:c r="Z170" s="0">
        <x:f/>
      </x:c>
    </x:row>
    <x:row r="171" spans="1:40" ht="16.15" customHeight="1" x14ac:dyDescent="0.25">
      <x:c r="C171" s="35">
        <x:f>IF(E171=0,"",HYPERLINK("H:\Projekte\Projekte aktuell\Sonstige Projekte\1139 - ENSET\AP09_Innolab\Akquise\Datenbank &amp; Liste\"&amp;E171&amp;"_"&amp;G171,E171&amp;"_"&amp;G171))</x:f>
      </x:c>
      <x:c r="D171" s="5">
        <x:f/>
      </x:c>
      <x:c r="E171" s="5">
        <x:f/>
      </x:c>
      <x:c r="F171" s="5">
        <x:f/>
      </x:c>
      <x:c r="G171" s="5">
        <x:f/>
      </x:c>
      <x:c r="H171" s="5">
        <x:f/>
      </x:c>
      <x:c r="I171" s="5">
        <x:f/>
      </x:c>
      <x:c r="J171" s="5">
        <x:f/>
      </x:c>
      <x:c r="K171" s="5">
        <x:f/>
      </x:c>
      <x:c r="L171" s="5">
        <x:f/>
      </x:c>
      <x:c r="M171" s="5">
        <x:f/>
      </x:c>
      <x:c r="N171" s="5">
        <x:f/>
      </x:c>
      <x:c r="O171" s="5">
        <x:f/>
      </x:c>
      <x:c r="P171" s="5">
        <x:f/>
      </x:c>
      <x:c r="Q171" s="5">
        <x:f/>
      </x:c>
      <x:c r="R171" s="5">
        <x:f/>
      </x:c>
      <x:c r="S171" s="5">
        <x:f/>
      </x:c>
      <x:c r="T171" s="5">
        <x:f/>
      </x:c>
      <x:c r="U171" s="5">
        <x:f/>
      </x:c>
      <x:c r="V171" s="5">
        <x:f/>
      </x:c>
      <x:c r="W171" s="0">
        <x:f/>
      </x:c>
      <x:c r="X171" s="0">
        <x:f/>
      </x:c>
      <x:c r="Y171" s="0">
        <x:f/>
      </x:c>
      <x:c r="Z171" s="0">
        <x:f/>
      </x:c>
    </x:row>
    <x:row r="172" spans="1:40" ht="16.15" customHeight="1" x14ac:dyDescent="0.25">
      <x:c r="C172" s="35">
        <x:f>IF(E172=0,"",HYPERLINK("H:\Projekte\Projekte aktuell\Sonstige Projekte\1139 - ENSET\AP09_Innolab\Akquise\Datenbank &amp; Liste\"&amp;E172&amp;"_"&amp;G172,E172&amp;"_"&amp;G172))</x:f>
      </x:c>
      <x:c r="D172" s="5">
        <x:f/>
      </x:c>
      <x:c r="E172" s="5">
        <x:f/>
      </x:c>
      <x:c r="F172" s="5">
        <x:f/>
      </x:c>
      <x:c r="G172" s="5">
        <x:f/>
      </x:c>
      <x:c r="H172" s="5">
        <x:f/>
      </x:c>
      <x:c r="I172" s="5">
        <x:f/>
      </x:c>
      <x:c r="J172" s="5">
        <x:f/>
      </x:c>
      <x:c r="K172" s="5">
        <x:f/>
      </x:c>
      <x:c r="L172" s="5">
        <x:f/>
      </x:c>
      <x:c r="M172" s="5">
        <x:f/>
      </x:c>
      <x:c r="N172" s="5">
        <x:f/>
      </x:c>
      <x:c r="O172" s="5">
        <x:f/>
      </x:c>
      <x:c r="P172" s="5">
        <x:f/>
      </x:c>
      <x:c r="Q172" s="5">
        <x:f/>
      </x:c>
      <x:c r="R172" s="5">
        <x:f/>
      </x:c>
      <x:c r="S172" s="5">
        <x:f/>
      </x:c>
      <x:c r="T172" s="5">
        <x:f/>
      </x:c>
      <x:c r="U172" s="5">
        <x:f/>
      </x:c>
      <x:c r="V172" s="5">
        <x:f/>
      </x:c>
      <x:c r="W172" s="0">
        <x:f/>
      </x:c>
      <x:c r="X172" s="0">
        <x:f/>
      </x:c>
      <x:c r="Y172" s="0">
        <x:f/>
      </x:c>
      <x:c r="Z172" s="0">
        <x:f/>
      </x:c>
    </x:row>
    <x:row r="173" spans="1:40" ht="16.15" customHeight="1" x14ac:dyDescent="0.25">
      <x:c r="C173" s="35">
        <x:f>IF(E173=0,"",HYPERLINK("H:\Projekte\Projekte aktuell\Sonstige Projekte\1139 - ENSET\AP09_Innolab\Akquise\Datenbank &amp; Liste\"&amp;E173&amp;"_"&amp;G173,E173&amp;"_"&amp;G173))</x:f>
      </x:c>
      <x:c r="D173" s="5">
        <x:f/>
      </x:c>
      <x:c r="E173" s="5">
        <x:f/>
      </x:c>
      <x:c r="F173" s="5">
        <x:f/>
      </x:c>
      <x:c r="G173" s="5">
        <x:f/>
      </x:c>
      <x:c r="H173" s="5">
        <x:f/>
      </x:c>
      <x:c r="I173" s="5">
        <x:f/>
      </x:c>
      <x:c r="J173" s="5">
        <x:f/>
      </x:c>
      <x:c r="K173" s="5">
        <x:f/>
      </x:c>
      <x:c r="L173" s="5">
        <x:f/>
      </x:c>
      <x:c r="M173" s="5">
        <x:f/>
      </x:c>
      <x:c r="N173" s="5">
        <x:f/>
      </x:c>
      <x:c r="O173" s="5">
        <x:f/>
      </x:c>
      <x:c r="P173" s="5">
        <x:f/>
      </x:c>
      <x:c r="Q173" s="5">
        <x:f/>
      </x:c>
      <x:c r="R173" s="5">
        <x:f/>
      </x:c>
      <x:c r="S173" s="5">
        <x:f/>
      </x:c>
      <x:c r="T173" s="5">
        <x:f/>
      </x:c>
      <x:c r="U173" s="5">
        <x:f/>
      </x:c>
      <x:c r="V173" s="5">
        <x:f/>
      </x:c>
      <x:c r="W173" s="0">
        <x:f/>
      </x:c>
      <x:c r="X173" s="0">
        <x:f/>
      </x:c>
      <x:c r="Y173" s="0">
        <x:f/>
      </x:c>
      <x:c r="Z173" s="0">
        <x:f/>
      </x:c>
    </x:row>
    <x:row r="174" spans="1:40" ht="16.15" customHeight="1" x14ac:dyDescent="0.25">
      <x:c r="C174" s="35">
        <x:f>IF(E174=0,"",HYPERLINK("H:\Projekte\Projekte aktuell\Sonstige Projekte\1139 - ENSET\AP09_Innolab\Akquise\Datenbank &amp; Liste\"&amp;E174&amp;"_"&amp;G174,E174&amp;"_"&amp;G174))</x:f>
      </x:c>
      <x:c r="D174" s="5">
        <x:f/>
      </x:c>
      <x:c r="E174" s="5">
        <x:f/>
      </x:c>
      <x:c r="F174" s="5">
        <x:f/>
      </x:c>
      <x:c r="G174" s="5">
        <x:f/>
      </x:c>
      <x:c r="H174" s="5">
        <x:f/>
      </x:c>
      <x:c r="I174" s="5">
        <x:f/>
      </x:c>
      <x:c r="J174" s="5">
        <x:f/>
      </x:c>
      <x:c r="K174" s="5">
        <x:f/>
      </x:c>
      <x:c r="L174" s="5">
        <x:f/>
      </x:c>
      <x:c r="M174" s="5">
        <x:f/>
      </x:c>
      <x:c r="N174" s="5">
        <x:f/>
      </x:c>
      <x:c r="O174" s="5">
        <x:f/>
      </x:c>
      <x:c r="P174" s="5">
        <x:f/>
      </x:c>
      <x:c r="Q174" s="5">
        <x:f/>
      </x:c>
      <x:c r="R174" s="5">
        <x:f/>
      </x:c>
      <x:c r="S174" s="5">
        <x:f/>
      </x:c>
      <x:c r="T174" s="5">
        <x:f/>
      </x:c>
      <x:c r="U174" s="5">
        <x:f/>
      </x:c>
      <x:c r="V174" s="5">
        <x:f/>
      </x:c>
      <x:c r="W174" s="0">
        <x:f/>
      </x:c>
      <x:c r="X174" s="0">
        <x:f/>
      </x:c>
      <x:c r="Y174" s="0">
        <x:f/>
      </x:c>
      <x:c r="Z174" s="0">
        <x:f/>
      </x:c>
    </x:row>
    <x:row r="175" spans="1:40" ht="16.15" customHeight="1" x14ac:dyDescent="0.25">
      <x:c r="C175" s="35">
        <x:f>IF(E175=0,"",HYPERLINK("H:\Projekte\Projekte aktuell\Sonstige Projekte\1139 - ENSET\AP09_Innolab\Akquise\Datenbank &amp; Liste\"&amp;E175&amp;"_"&amp;G175,E175&amp;"_"&amp;G175))</x:f>
      </x:c>
      <x:c r="D175" s="5">
        <x:f/>
      </x:c>
      <x:c r="E175" s="5">
        <x:f/>
      </x:c>
      <x:c r="F175" s="5">
        <x:f/>
      </x:c>
      <x:c r="G175" s="5">
        <x:f/>
      </x:c>
      <x:c r="H175" s="5">
        <x:f/>
      </x:c>
      <x:c r="I175" s="5">
        <x:f/>
      </x:c>
      <x:c r="J175" s="5">
        <x:f/>
      </x:c>
      <x:c r="K175" s="5">
        <x:f/>
      </x:c>
      <x:c r="L175" s="5">
        <x:f/>
      </x:c>
      <x:c r="M175" s="5">
        <x:f/>
      </x:c>
      <x:c r="N175" s="5">
        <x:f/>
      </x:c>
      <x:c r="O175" s="5">
        <x:f/>
      </x:c>
      <x:c r="P175" s="5">
        <x:f/>
      </x:c>
      <x:c r="Q175" s="5">
        <x:f/>
      </x:c>
      <x:c r="R175" s="5">
        <x:f/>
      </x:c>
      <x:c r="S175" s="5">
        <x:f/>
      </x:c>
      <x:c r="T175" s="5">
        <x:f/>
      </x:c>
      <x:c r="U175" s="5">
        <x:f/>
      </x:c>
      <x:c r="V175" s="5">
        <x:f/>
      </x:c>
      <x:c r="W175" s="0">
        <x:f/>
      </x:c>
      <x:c r="X175" s="0">
        <x:f/>
      </x:c>
      <x:c r="Y175" s="0">
        <x:f/>
      </x:c>
      <x:c r="Z175" s="0">
        <x:f/>
      </x:c>
    </x:row>
    <x:row r="176" spans="1:40" ht="16.15" customHeight="1" x14ac:dyDescent="0.25">
      <x:c r="C176" s="35">
        <x:f>IF(E176=0,"",HYPERLINK("H:\Projekte\Projekte aktuell\Sonstige Projekte\1139 - ENSET\AP09_Innolab\Akquise\Datenbank &amp; Liste\"&amp;E176&amp;"_"&amp;G176,E176&amp;"_"&amp;G176))</x:f>
      </x:c>
      <x:c r="D176" s="5">
        <x:f/>
      </x:c>
      <x:c r="E176" s="5">
        <x:f/>
      </x:c>
      <x:c r="F176" s="5">
        <x:f/>
      </x:c>
      <x:c r="G176" s="5">
        <x:f/>
      </x:c>
      <x:c r="H176" s="5">
        <x:f/>
      </x:c>
      <x:c r="I176" s="5">
        <x:f/>
      </x:c>
      <x:c r="J176" s="5">
        <x:f/>
      </x:c>
      <x:c r="K176" s="5">
        <x:f/>
      </x:c>
      <x:c r="L176" s="5">
        <x:f/>
      </x:c>
      <x:c r="M176" s="5">
        <x:f/>
      </x:c>
      <x:c r="N176" s="5">
        <x:f/>
      </x:c>
      <x:c r="O176" s="5">
        <x:f/>
      </x:c>
      <x:c r="P176" s="5">
        <x:f/>
      </x:c>
      <x:c r="Q176" s="5">
        <x:f/>
      </x:c>
      <x:c r="R176" s="5">
        <x:f/>
      </x:c>
      <x:c r="S176" s="5">
        <x:f/>
      </x:c>
      <x:c r="T176" s="5">
        <x:f/>
      </x:c>
      <x:c r="U176" s="5">
        <x:f/>
      </x:c>
      <x:c r="V176" s="5">
        <x:f/>
      </x:c>
      <x:c r="W176" s="0">
        <x:f/>
      </x:c>
      <x:c r="X176" s="0">
        <x:f/>
      </x:c>
      <x:c r="Y176" s="0">
        <x:f/>
      </x:c>
      <x:c r="Z176" s="0">
        <x:f/>
      </x:c>
    </x:row>
    <x:row r="177" spans="1:40" ht="16.15" customHeight="1" x14ac:dyDescent="0.25">
      <x:c r="C177" s="35">
        <x:f>IF(E177=0,"",HYPERLINK("H:\Projekte\Projekte aktuell\Sonstige Projekte\1139 - ENSET\AP09_Innolab\Akquise\Datenbank &amp; Liste\"&amp;E177&amp;"_"&amp;G177,E177&amp;"_"&amp;G177))</x:f>
      </x:c>
      <x:c r="D177" s="5">
        <x:f/>
      </x:c>
      <x:c r="E177" s="5">
        <x:f/>
      </x:c>
      <x:c r="F177" s="5">
        <x:f/>
      </x:c>
      <x:c r="G177" s="5">
        <x:f/>
      </x:c>
      <x:c r="H177" s="5">
        <x:f/>
      </x:c>
      <x:c r="I177" s="5">
        <x:f/>
      </x:c>
      <x:c r="J177" s="5">
        <x:f/>
      </x:c>
      <x:c r="K177" s="5">
        <x:f/>
      </x:c>
      <x:c r="L177" s="5">
        <x:f/>
      </x:c>
      <x:c r="M177" s="5">
        <x:f/>
      </x:c>
      <x:c r="N177" s="5">
        <x:f/>
      </x:c>
      <x:c r="O177" s="5">
        <x:f/>
      </x:c>
      <x:c r="P177" s="5">
        <x:f/>
      </x:c>
      <x:c r="Q177" s="5">
        <x:f/>
      </x:c>
      <x:c r="R177" s="5">
        <x:f/>
      </x:c>
      <x:c r="S177" s="5">
        <x:f/>
      </x:c>
      <x:c r="T177" s="5">
        <x:f/>
      </x:c>
      <x:c r="U177" s="5">
        <x:f/>
      </x:c>
      <x:c r="V177" s="5">
        <x:f/>
      </x:c>
      <x:c r="W177" s="0">
        <x:f/>
      </x:c>
      <x:c r="X177" s="0">
        <x:f/>
      </x:c>
      <x:c r="Y177" s="0">
        <x:f/>
      </x:c>
      <x:c r="Z177" s="0">
        <x:f/>
      </x:c>
    </x:row>
    <x:row r="178" spans="1:40" ht="16.15" customHeight="1" x14ac:dyDescent="0.25">
      <x:c r="C178" s="35">
        <x:f>IF(E178=0,"",HYPERLINK("H:\Projekte\Projekte aktuell\Sonstige Projekte\1139 - ENSET\AP09_Innolab\Akquise\Datenbank &amp; Liste\"&amp;E178&amp;"_"&amp;G178,E178&amp;"_"&amp;G178))</x:f>
      </x:c>
      <x:c r="D178" s="5">
        <x:f/>
      </x:c>
      <x:c r="E178" s="5">
        <x:f/>
      </x:c>
      <x:c r="F178" s="5">
        <x:f/>
      </x:c>
      <x:c r="G178" s="5">
        <x:f/>
      </x:c>
      <x:c r="H178" s="5">
        <x:f/>
      </x:c>
      <x:c r="I178" s="5">
        <x:f/>
      </x:c>
      <x:c r="J178" s="5">
        <x:f/>
      </x:c>
      <x:c r="K178" s="5">
        <x:f/>
      </x:c>
      <x:c r="L178" s="5">
        <x:f/>
      </x:c>
      <x:c r="M178" s="5">
        <x:f/>
      </x:c>
      <x:c r="N178" s="5">
        <x:f/>
      </x:c>
      <x:c r="O178" s="5">
        <x:f/>
      </x:c>
      <x:c r="P178" s="5">
        <x:f/>
      </x:c>
      <x:c r="Q178" s="5">
        <x:f/>
      </x:c>
      <x:c r="R178" s="5">
        <x:f/>
      </x:c>
      <x:c r="S178" s="5">
        <x:f/>
      </x:c>
      <x:c r="T178" s="5">
        <x:f/>
      </x:c>
      <x:c r="U178" s="5">
        <x:f/>
      </x:c>
      <x:c r="V178" s="5">
        <x:f/>
      </x:c>
      <x:c r="W178" s="0">
        <x:f/>
      </x:c>
      <x:c r="X178" s="0">
        <x:f/>
      </x:c>
      <x:c r="Y178" s="0">
        <x:f/>
      </x:c>
      <x:c r="Z178" s="0">
        <x:f/>
      </x:c>
    </x:row>
    <x:row r="179" spans="1:40" ht="16.15" customHeight="1" x14ac:dyDescent="0.25">
      <x:c r="C179" s="35">
        <x:f>IF(E179=0,"",HYPERLINK("H:\Projekte\Projekte aktuell\Sonstige Projekte\1139 - ENSET\AP09_Innolab\Akquise\Datenbank &amp; Liste\"&amp;E179&amp;"_"&amp;G179,E179&amp;"_"&amp;G179))</x:f>
      </x:c>
      <x:c r="D179" s="5">
        <x:f/>
      </x:c>
      <x:c r="E179" s="5">
        <x:f/>
      </x:c>
      <x:c r="F179" s="5">
        <x:f/>
      </x:c>
      <x:c r="G179" s="5">
        <x:f/>
      </x:c>
      <x:c r="H179" s="5">
        <x:f/>
      </x:c>
      <x:c r="I179" s="5">
        <x:f/>
      </x:c>
      <x:c r="J179" s="5">
        <x:f/>
      </x:c>
      <x:c r="K179" s="5">
        <x:f/>
      </x:c>
      <x:c r="L179" s="5">
        <x:f/>
      </x:c>
      <x:c r="M179" s="5">
        <x:f/>
      </x:c>
      <x:c r="N179" s="5">
        <x:f/>
      </x:c>
      <x:c r="O179" s="5">
        <x:f/>
      </x:c>
      <x:c r="P179" s="5">
        <x:f/>
      </x:c>
      <x:c r="Q179" s="5">
        <x:f/>
      </x:c>
      <x:c r="R179" s="5">
        <x:f/>
      </x:c>
      <x:c r="S179" s="5">
        <x:f/>
      </x:c>
      <x:c r="T179" s="5">
        <x:f/>
      </x:c>
      <x:c r="U179" s="5">
        <x:f/>
      </x:c>
      <x:c r="V179" s="5">
        <x:f/>
      </x:c>
      <x:c r="W179" s="0">
        <x:f/>
      </x:c>
      <x:c r="X179" s="0">
        <x:f/>
      </x:c>
      <x:c r="Y179" s="0">
        <x:f/>
      </x:c>
      <x:c r="Z179" s="0">
        <x:f/>
      </x:c>
    </x:row>
    <x:row r="180" spans="1:40" ht="16.15" customHeight="1" x14ac:dyDescent="0.25">
      <x:c r="C180" s="35">
        <x:f>IF(E180=0,"",HYPERLINK("H:\Projekte\Projekte aktuell\Sonstige Projekte\1139 - ENSET\AP09_Innolab\Akquise\Datenbank &amp; Liste\"&amp;E180&amp;"_"&amp;G180,E180&amp;"_"&amp;G180))</x:f>
      </x:c>
      <x:c r="D180" s="5">
        <x:f/>
      </x:c>
      <x:c r="E180" s="5">
        <x:f/>
      </x:c>
      <x:c r="F180" s="5">
        <x:f/>
      </x:c>
      <x:c r="G180" s="5">
        <x:f/>
      </x:c>
      <x:c r="H180" s="5">
        <x:f/>
      </x:c>
      <x:c r="I180" s="5">
        <x:f/>
      </x:c>
      <x:c r="J180" s="5">
        <x:f/>
      </x:c>
      <x:c r="K180" s="5">
        <x:f/>
      </x:c>
      <x:c r="L180" s="5">
        <x:f/>
      </x:c>
      <x:c r="M180" s="5">
        <x:f/>
      </x:c>
      <x:c r="N180" s="5">
        <x:f/>
      </x:c>
      <x:c r="O180" s="5">
        <x:f/>
      </x:c>
      <x:c r="P180" s="5">
        <x:f/>
      </x:c>
      <x:c r="Q180" s="5">
        <x:f/>
      </x:c>
      <x:c r="R180" s="5">
        <x:f/>
      </x:c>
      <x:c r="S180" s="5">
        <x:f/>
      </x:c>
      <x:c r="T180" s="5">
        <x:f/>
      </x:c>
      <x:c r="U180" s="5">
        <x:f/>
      </x:c>
      <x:c r="V180" s="5">
        <x:f/>
      </x:c>
      <x:c r="W180" s="0">
        <x:f/>
      </x:c>
      <x:c r="X180" s="0">
        <x:f/>
      </x:c>
      <x:c r="Y180" s="0">
        <x:f/>
      </x:c>
      <x:c r="Z180" s="0">
        <x:f/>
      </x:c>
    </x:row>
    <x:row r="181" spans="1:40" ht="16.15" customHeight="1" x14ac:dyDescent="0.25">
      <x:c r="C181" s="35">
        <x:f>IF(E181=0,"",HYPERLINK("H:\Projekte\Projekte aktuell\Sonstige Projekte\1139 - ENSET\AP09_Innolab\Akquise\Datenbank &amp; Liste\"&amp;E181&amp;"_"&amp;G181,E181&amp;"_"&amp;G181))</x:f>
      </x:c>
      <x:c r="D181" s="5">
        <x:f/>
      </x:c>
      <x:c r="E181" s="5">
        <x:f/>
      </x:c>
      <x:c r="F181" s="5">
        <x:f/>
      </x:c>
      <x:c r="G181" s="5">
        <x:f/>
      </x:c>
      <x:c r="H181" s="5">
        <x:f/>
      </x:c>
      <x:c r="I181" s="5">
        <x:f/>
      </x:c>
      <x:c r="J181" s="5">
        <x:f/>
      </x:c>
      <x:c r="K181" s="5">
        <x:f/>
      </x:c>
      <x:c r="L181" s="5">
        <x:f/>
      </x:c>
      <x:c r="M181" s="5">
        <x:f/>
      </x:c>
      <x:c r="N181" s="5">
        <x:f/>
      </x:c>
      <x:c r="O181" s="5">
        <x:f/>
      </x:c>
      <x:c r="P181" s="5">
        <x:f/>
      </x:c>
      <x:c r="Q181" s="5">
        <x:f/>
      </x:c>
      <x:c r="R181" s="5">
        <x:f/>
      </x:c>
      <x:c r="S181" s="5">
        <x:f/>
      </x:c>
      <x:c r="T181" s="5">
        <x:f/>
      </x:c>
      <x:c r="U181" s="5">
        <x:f/>
      </x:c>
      <x:c r="V181" s="5">
        <x:f/>
      </x:c>
      <x:c r="W181" s="0">
        <x:f/>
      </x:c>
      <x:c r="X181" s="0">
        <x:f/>
      </x:c>
      <x:c r="Y181" s="0">
        <x:f/>
      </x:c>
      <x:c r="Z181" s="0">
        <x:f/>
      </x:c>
    </x:row>
    <x:row r="182" spans="1:40" ht="16.15" customHeight="1" x14ac:dyDescent="0.25">
      <x:c r="C182" s="35">
        <x:f>IF(E182=0,"",HYPERLINK("H:\Projekte\Projekte aktuell\Sonstige Projekte\1139 - ENSET\AP09_Innolab\Akquise\Datenbank &amp; Liste\"&amp;E182&amp;"_"&amp;G182,E182&amp;"_"&amp;G182))</x:f>
      </x:c>
      <x:c r="D182" s="5">
        <x:f/>
      </x:c>
      <x:c r="E182" s="5">
        <x:f/>
      </x:c>
      <x:c r="F182" s="5">
        <x:f/>
      </x:c>
      <x:c r="G182" s="5">
        <x:f/>
      </x:c>
      <x:c r="H182" s="5">
        <x:f/>
      </x:c>
      <x:c r="I182" s="5">
        <x:f/>
      </x:c>
      <x:c r="J182" s="5">
        <x:f/>
      </x:c>
      <x:c r="K182" s="5">
        <x:f/>
      </x:c>
      <x:c r="L182" s="5">
        <x:f/>
      </x:c>
      <x:c r="M182" s="5">
        <x:f/>
      </x:c>
      <x:c r="N182" s="5">
        <x:f/>
      </x:c>
      <x:c r="O182" s="5">
        <x:f/>
      </x:c>
      <x:c r="P182" s="5">
        <x:f/>
      </x:c>
      <x:c r="Q182" s="5">
        <x:f/>
      </x:c>
      <x:c r="R182" s="5">
        <x:f/>
      </x:c>
      <x:c r="S182" s="5">
        <x:f/>
      </x:c>
      <x:c r="T182" s="5">
        <x:f/>
      </x:c>
      <x:c r="U182" s="5">
        <x:f/>
      </x:c>
      <x:c r="V182" s="5">
        <x:f/>
      </x:c>
      <x:c r="W182" s="0">
        <x:f/>
      </x:c>
      <x:c r="X182" s="0">
        <x:f/>
      </x:c>
      <x:c r="Y182" s="0">
        <x:f/>
      </x:c>
      <x:c r="Z182" s="0">
        <x:f/>
      </x:c>
    </x:row>
    <x:row r="183" spans="1:40" ht="16.15" customHeight="1" x14ac:dyDescent="0.25">
      <x:c r="C183" s="35">
        <x:f>IF(E183=0,"",HYPERLINK("H:\Projekte\Projekte aktuell\Sonstige Projekte\1139 - ENSET\AP09_Innolab\Akquise\Datenbank &amp; Liste\"&amp;E183&amp;"_"&amp;G183,E183&amp;"_"&amp;G183))</x:f>
      </x:c>
      <x:c r="D183" s="5">
        <x:f/>
      </x:c>
      <x:c r="E183" s="5">
        <x:f/>
      </x:c>
      <x:c r="F183" s="5">
        <x:f/>
      </x:c>
      <x:c r="G183" s="5">
        <x:f/>
      </x:c>
      <x:c r="H183" s="5">
        <x:f/>
      </x:c>
      <x:c r="I183" s="5">
        <x:f/>
      </x:c>
      <x:c r="J183" s="5">
        <x:f/>
      </x:c>
      <x:c r="K183" s="5">
        <x:f/>
      </x:c>
      <x:c r="L183" s="5">
        <x:f/>
      </x:c>
      <x:c r="M183" s="5">
        <x:f/>
      </x:c>
      <x:c r="N183" s="5">
        <x:f/>
      </x:c>
      <x:c r="O183" s="5">
        <x:f/>
      </x:c>
      <x:c r="P183" s="5">
        <x:f/>
      </x:c>
      <x:c r="Q183" s="5">
        <x:f/>
      </x:c>
      <x:c r="R183" s="5">
        <x:f/>
      </x:c>
      <x:c r="S183" s="5">
        <x:f/>
      </x:c>
      <x:c r="T183" s="5">
        <x:f/>
      </x:c>
      <x:c r="U183" s="5">
        <x:f/>
      </x:c>
      <x:c r="V183" s="5">
        <x:f/>
      </x:c>
      <x:c r="W183" s="0">
        <x:f/>
      </x:c>
      <x:c r="X183" s="0">
        <x:f/>
      </x:c>
      <x:c r="Y183" s="0">
        <x:f/>
      </x:c>
      <x:c r="Z183" s="0">
        <x:f/>
      </x:c>
    </x:row>
    <x:row r="184" spans="1:40" ht="16.15" customHeight="1" x14ac:dyDescent="0.25">
      <x:c r="C184" s="35">
        <x:f>IF(E184=0,"",HYPERLINK("H:\Projekte\Projekte aktuell\Sonstige Projekte\1139 - ENSET\AP09_Innolab\Akquise\Datenbank &amp; Liste\"&amp;E184&amp;"_"&amp;G184,E184&amp;"_"&amp;G184))</x:f>
      </x:c>
      <x:c r="D184" s="5">
        <x:f/>
      </x:c>
      <x:c r="E184" s="5">
        <x:f/>
      </x:c>
      <x:c r="F184" s="5">
        <x:f/>
      </x:c>
      <x:c r="G184" s="5">
        <x:f/>
      </x:c>
      <x:c r="H184" s="5">
        <x:f/>
      </x:c>
      <x:c r="I184" s="5">
        <x:f/>
      </x:c>
      <x:c r="J184" s="5">
        <x:f/>
      </x:c>
      <x:c r="K184" s="5">
        <x:f/>
      </x:c>
      <x:c r="L184" s="5">
        <x:f/>
      </x:c>
      <x:c r="M184" s="5">
        <x:f/>
      </x:c>
      <x:c r="N184" s="5">
        <x:f/>
      </x:c>
      <x:c r="O184" s="5">
        <x:f/>
      </x:c>
      <x:c r="P184" s="5">
        <x:f/>
      </x:c>
      <x:c r="Q184" s="5">
        <x:f/>
      </x:c>
      <x:c r="R184" s="5">
        <x:f/>
      </x:c>
      <x:c r="S184" s="5">
        <x:f/>
      </x:c>
      <x:c r="T184" s="5">
        <x:f/>
      </x:c>
      <x:c r="U184" s="5">
        <x:f/>
      </x:c>
      <x:c r="V184" s="5">
        <x:f/>
      </x:c>
      <x:c r="W184" s="0">
        <x:f/>
      </x:c>
      <x:c r="X184" s="0">
        <x:f/>
      </x:c>
      <x:c r="Y184" s="0">
        <x:f/>
      </x:c>
      <x:c r="Z184" s="0">
        <x:f/>
      </x:c>
    </x:row>
    <x:row r="185" spans="1:40" ht="16.15" customHeight="1" x14ac:dyDescent="0.25">
      <x:c r="C185" s="35">
        <x:f>IF(E185=0,"",HYPERLINK("H:\Projekte\Projekte aktuell\Sonstige Projekte\1139 - ENSET\AP09_Innolab\Akquise\Datenbank &amp; Liste\"&amp;E185&amp;"_"&amp;G185,E185&amp;"_"&amp;G185))</x:f>
      </x:c>
      <x:c r="D185" s="5">
        <x:f/>
      </x:c>
      <x:c r="E185" s="5">
        <x:f/>
      </x:c>
      <x:c r="F185" s="5">
        <x:f/>
      </x:c>
      <x:c r="G185" s="5">
        <x:f/>
      </x:c>
      <x:c r="H185" s="5">
        <x:f/>
      </x:c>
      <x:c r="I185" s="5">
        <x:f/>
      </x:c>
      <x:c r="J185" s="5">
        <x:f/>
      </x:c>
      <x:c r="K185" s="5">
        <x:f/>
      </x:c>
      <x:c r="L185" s="5">
        <x:f/>
      </x:c>
      <x:c r="M185" s="5">
        <x:f/>
      </x:c>
      <x:c r="N185" s="5">
        <x:f/>
      </x:c>
      <x:c r="O185" s="5">
        <x:f/>
      </x:c>
      <x:c r="P185" s="5">
        <x:f/>
      </x:c>
      <x:c r="Q185" s="5">
        <x:f/>
      </x:c>
      <x:c r="R185" s="5">
        <x:f/>
      </x:c>
      <x:c r="S185" s="5">
        <x:f/>
      </x:c>
      <x:c r="T185" s="5">
        <x:f/>
      </x:c>
      <x:c r="U185" s="5">
        <x:f/>
      </x:c>
      <x:c r="V185" s="5">
        <x:f/>
      </x:c>
      <x:c r="W185" s="0">
        <x:f/>
      </x:c>
      <x:c r="X185" s="0">
        <x:f/>
      </x:c>
      <x:c r="Y185" s="0">
        <x:f/>
      </x:c>
      <x:c r="Z185" s="0">
        <x:f/>
      </x:c>
    </x:row>
    <x:row r="186" spans="1:40" ht="16.15" customHeight="1" x14ac:dyDescent="0.25">
      <x:c r="C186" s="33"/>
      <x:c r="D186" s="5">
        <x:f/>
      </x:c>
      <x:c r="E186" s="5">
        <x:f/>
      </x:c>
      <x:c r="F186" s="5">
        <x:f/>
      </x:c>
      <x:c r="G186" s="5">
        <x:f/>
      </x:c>
      <x:c r="H186" s="5">
        <x:f/>
      </x:c>
      <x:c r="I186" s="5">
        <x:f/>
      </x:c>
      <x:c r="J186" s="5">
        <x:f/>
      </x:c>
      <x:c r="K186" s="5">
        <x:f/>
      </x:c>
      <x:c r="L186" s="5">
        <x:f/>
      </x:c>
      <x:c r="M186" s="5">
        <x:f/>
      </x:c>
      <x:c r="N186" s="5">
        <x:f/>
      </x:c>
      <x:c r="O186" s="5">
        <x:f/>
      </x:c>
      <x:c r="P186" s="5">
        <x:f/>
      </x:c>
      <x:c r="Q186" s="5">
        <x:f/>
      </x:c>
      <x:c r="R186" s="5">
        <x:f/>
      </x:c>
      <x:c r="S186" s="5">
        <x:f/>
      </x:c>
      <x:c r="T186" s="5">
        <x:f/>
      </x:c>
      <x:c r="U186" s="5">
        <x:f/>
      </x:c>
      <x:c r="V186" s="5">
        <x:f/>
      </x:c>
      <x:c r="W186" s="0">
        <x:f/>
      </x:c>
      <x:c r="X186" s="0">
        <x:f/>
      </x:c>
      <x:c r="Y186" s="0">
        <x:f/>
      </x:c>
      <x:c r="Z186" s="0">
        <x:f/>
      </x:c>
    </x:row>
    <x:row r="187" spans="1:40" ht="16.15" customHeight="1" x14ac:dyDescent="0.25">
      <x:c r="C187" s="33"/>
      <x:c r="D187" s="5">
        <x:f/>
      </x:c>
      <x:c r="E187" s="5">
        <x:f/>
      </x:c>
      <x:c r="F187" s="5">
        <x:f/>
      </x:c>
      <x:c r="G187" s="5">
        <x:f/>
      </x:c>
      <x:c r="H187" s="5">
        <x:f/>
      </x:c>
      <x:c r="I187" s="5">
        <x:f/>
      </x:c>
      <x:c r="J187" s="5">
        <x:f/>
      </x:c>
      <x:c r="K187" s="5">
        <x:f/>
      </x:c>
      <x:c r="L187" s="5">
        <x:f/>
      </x:c>
      <x:c r="M187" s="5">
        <x:f/>
      </x:c>
      <x:c r="N187" s="5">
        <x:f/>
      </x:c>
      <x:c r="O187" s="5">
        <x:f/>
      </x:c>
      <x:c r="P187" s="5">
        <x:f/>
      </x:c>
      <x:c r="Q187" s="5">
        <x:f/>
      </x:c>
      <x:c r="R187" s="5">
        <x:f/>
      </x:c>
      <x:c r="S187" s="5">
        <x:f/>
      </x:c>
      <x:c r="T187" s="5">
        <x:f/>
      </x:c>
      <x:c r="U187" s="5">
        <x:f/>
      </x:c>
      <x:c r="V187" s="5">
        <x:f/>
      </x:c>
      <x:c r="W187" s="0">
        <x:f/>
      </x:c>
      <x:c r="X187" s="0">
        <x:f/>
      </x:c>
      <x:c r="Y187" s="0">
        <x:f/>
      </x:c>
      <x:c r="Z187" s="0">
        <x:f/>
      </x:c>
    </x:row>
    <x:row r="188" spans="1:40" ht="16.15" customHeight="1" x14ac:dyDescent="0.25">
      <x:c r="C188" s="33"/>
      <x:c r="D188" s="5">
        <x:f/>
      </x:c>
      <x:c r="E188" s="5">
        <x:f/>
      </x:c>
      <x:c r="F188" s="5">
        <x:f/>
      </x:c>
      <x:c r="G188" s="5">
        <x:f/>
      </x:c>
      <x:c r="H188" s="5">
        <x:f/>
      </x:c>
      <x:c r="I188" s="5">
        <x:f/>
      </x:c>
      <x:c r="J188" s="5">
        <x:f/>
      </x:c>
      <x:c r="K188" s="5">
        <x:f/>
      </x:c>
      <x:c r="L188" s="5">
        <x:f/>
      </x:c>
      <x:c r="M188" s="5">
        <x:f/>
      </x:c>
      <x:c r="N188" s="5">
        <x:f/>
      </x:c>
      <x:c r="O188" s="5">
        <x:f/>
      </x:c>
      <x:c r="P188" s="5">
        <x:f/>
      </x:c>
      <x:c r="Q188" s="5">
        <x:f/>
      </x:c>
      <x:c r="R188" s="5">
        <x:f/>
      </x:c>
      <x:c r="S188" s="5">
        <x:f/>
      </x:c>
      <x:c r="T188" s="5">
        <x:f/>
      </x:c>
      <x:c r="U188" s="5">
        <x:f/>
      </x:c>
      <x:c r="V188" s="5">
        <x:f/>
      </x:c>
      <x:c r="W188" s="0">
        <x:f/>
      </x:c>
      <x:c r="X188" s="0">
        <x:f/>
      </x:c>
      <x:c r="Y188" s="0">
        <x:f/>
      </x:c>
      <x:c r="Z188" s="0">
        <x:f/>
      </x:c>
    </x:row>
    <x:row r="189" spans="1:40" ht="16.15" customHeight="1" x14ac:dyDescent="0.25">
      <x:c r="C189" s="33"/>
      <x:c r="D189" s="5">
        <x:f/>
      </x:c>
      <x:c r="E189" s="5">
        <x:f/>
      </x:c>
      <x:c r="F189" s="5">
        <x:f/>
      </x:c>
      <x:c r="G189" s="5">
        <x:f/>
      </x:c>
      <x:c r="H189" s="5">
        <x:f/>
      </x:c>
      <x:c r="I189" s="5">
        <x:f/>
      </x:c>
      <x:c r="J189" s="5">
        <x:f/>
      </x:c>
      <x:c r="K189" s="5">
        <x:f/>
      </x:c>
      <x:c r="L189" s="5">
        <x:f/>
      </x:c>
      <x:c r="M189" s="5">
        <x:f/>
      </x:c>
      <x:c r="N189" s="5">
        <x:f/>
      </x:c>
      <x:c r="O189" s="5">
        <x:f/>
      </x:c>
      <x:c r="P189" s="5">
        <x:f/>
      </x:c>
      <x:c r="Q189" s="5">
        <x:f/>
      </x:c>
      <x:c r="R189" s="5">
        <x:f/>
      </x:c>
      <x:c r="S189" s="5">
        <x:f/>
      </x:c>
      <x:c r="T189" s="5">
        <x:f/>
      </x:c>
      <x:c r="U189" s="5">
        <x:f/>
      </x:c>
      <x:c r="V189" s="5">
        <x:f/>
      </x:c>
      <x:c r="W189" s="0">
        <x:f/>
      </x:c>
      <x:c r="X189" s="0">
        <x:f/>
      </x:c>
      <x:c r="Y189" s="0">
        <x:f/>
      </x:c>
      <x:c r="Z189" s="0">
        <x:f/>
      </x:c>
    </x:row>
    <x:row r="190" spans="1:40" ht="16.15" customHeight="1" x14ac:dyDescent="0.25">
      <x:c r="C190" s="33"/>
      <x:c r="D190" s="5">
        <x:f/>
      </x:c>
      <x:c r="E190" s="5">
        <x:f/>
      </x:c>
      <x:c r="F190" s="5">
        <x:f/>
      </x:c>
      <x:c r="G190" s="5">
        <x:f/>
      </x:c>
      <x:c r="H190" s="5">
        <x:f/>
      </x:c>
      <x:c r="I190" s="5">
        <x:f/>
      </x:c>
      <x:c r="J190" s="5">
        <x:f/>
      </x:c>
      <x:c r="K190" s="5">
        <x:f/>
      </x:c>
      <x:c r="L190" s="5">
        <x:f/>
      </x:c>
      <x:c r="M190" s="5">
        <x:f/>
      </x:c>
      <x:c r="N190" s="5">
        <x:f/>
      </x:c>
      <x:c r="O190" s="5">
        <x:f/>
      </x:c>
      <x:c r="P190" s="5">
        <x:f/>
      </x:c>
      <x:c r="Q190" s="5">
        <x:f/>
      </x:c>
      <x:c r="R190" s="5">
        <x:f/>
      </x:c>
      <x:c r="S190" s="5">
        <x:f/>
      </x:c>
      <x:c r="T190" s="5">
        <x:f/>
      </x:c>
      <x:c r="U190" s="5">
        <x:f/>
      </x:c>
      <x:c r="V190" s="5">
        <x:f/>
      </x:c>
      <x:c r="W190" s="0">
        <x:f/>
      </x:c>
      <x:c r="X190" s="0">
        <x:f/>
      </x:c>
      <x:c r="Y190" s="0">
        <x:f/>
      </x:c>
      <x:c r="Z190" s="0">
        <x:f/>
      </x:c>
    </x:row>
    <x:row r="191" spans="1:40" ht="16.15" customHeight="1" x14ac:dyDescent="0.25">
      <x:c r="C191" s="33"/>
      <x:c r="D191" s="5">
        <x:f/>
      </x:c>
      <x:c r="E191" s="5">
        <x:f/>
      </x:c>
      <x:c r="F191" s="5">
        <x:f/>
      </x:c>
      <x:c r="G191" s="5">
        <x:f/>
      </x:c>
      <x:c r="H191" s="5">
        <x:f/>
      </x:c>
      <x:c r="I191" s="5">
        <x:f/>
      </x:c>
      <x:c r="J191" s="5">
        <x:f/>
      </x:c>
      <x:c r="K191" s="5">
        <x:f/>
      </x:c>
      <x:c r="L191" s="5">
        <x:f/>
      </x:c>
      <x:c r="M191" s="5">
        <x:f/>
      </x:c>
      <x:c r="N191" s="5">
        <x:f/>
      </x:c>
      <x:c r="O191" s="5">
        <x:f/>
      </x:c>
      <x:c r="P191" s="5">
        <x:f/>
      </x:c>
      <x:c r="Q191" s="5">
        <x:f/>
      </x:c>
      <x:c r="R191" s="5">
        <x:f/>
      </x:c>
      <x:c r="S191" s="5">
        <x:f/>
      </x:c>
      <x:c r="T191" s="5">
        <x:f/>
      </x:c>
      <x:c r="U191" s="5">
        <x:f/>
      </x:c>
      <x:c r="V191" s="5">
        <x:f/>
      </x:c>
      <x:c r="W191" s="0">
        <x:f/>
      </x:c>
      <x:c r="X191" s="0">
        <x:f/>
      </x:c>
      <x:c r="Y191" s="0">
        <x:f/>
      </x:c>
      <x:c r="Z191" s="0">
        <x:f/>
      </x:c>
    </x:row>
    <x:row r="192" spans="1:40" ht="16.15" customHeight="1" x14ac:dyDescent="0.25">
      <x:c r="C192" s="33"/>
      <x:c r="D192" s="5">
        <x:f/>
      </x:c>
      <x:c r="E192" s="5">
        <x:f/>
      </x:c>
      <x:c r="F192" s="5">
        <x:f/>
      </x:c>
      <x:c r="G192" s="5">
        <x:f/>
      </x:c>
      <x:c r="H192" s="5">
        <x:f/>
      </x:c>
      <x:c r="I192" s="5">
        <x:f/>
      </x:c>
      <x:c r="J192" s="5">
        <x:f/>
      </x:c>
      <x:c r="K192" s="5">
        <x:f/>
      </x:c>
      <x:c r="L192" s="5">
        <x:f/>
      </x:c>
      <x:c r="M192" s="5">
        <x:f/>
      </x:c>
      <x:c r="N192" s="5">
        <x:f/>
      </x:c>
      <x:c r="O192" s="5">
        <x:f/>
      </x:c>
      <x:c r="P192" s="5">
        <x:f/>
      </x:c>
      <x:c r="Q192" s="5">
        <x:f/>
      </x:c>
      <x:c r="R192" s="5">
        <x:f/>
      </x:c>
      <x:c r="S192" s="5">
        <x:f/>
      </x:c>
      <x:c r="T192" s="5">
        <x:f/>
      </x:c>
      <x:c r="U192" s="5">
        <x:f/>
      </x:c>
      <x:c r="V192" s="5">
        <x:f/>
      </x:c>
      <x:c r="W192" s="0">
        <x:f/>
      </x:c>
      <x:c r="X192" s="0">
        <x:f/>
      </x:c>
      <x:c r="Y192" s="0">
        <x:f/>
      </x:c>
      <x:c r="Z192" s="0">
        <x:f/>
      </x:c>
    </x:row>
    <x:row r="193" spans="1:40" ht="16.15" customHeight="1" x14ac:dyDescent="0.25">
      <x:c r="C193" s="33"/>
      <x:c r="D193" s="5">
        <x:f/>
      </x:c>
      <x:c r="E193" s="5">
        <x:f/>
      </x:c>
      <x:c r="F193" s="5">
        <x:f/>
      </x:c>
      <x:c r="G193" s="5">
        <x:f/>
      </x:c>
      <x:c r="H193" s="5">
        <x:f/>
      </x:c>
      <x:c r="I193" s="5">
        <x:f/>
      </x:c>
      <x:c r="J193" s="5">
        <x:f/>
      </x:c>
      <x:c r="K193" s="5">
        <x:f/>
      </x:c>
      <x:c r="L193" s="5">
        <x:f/>
      </x:c>
      <x:c r="M193" s="5">
        <x:f/>
      </x:c>
      <x:c r="N193" s="5">
        <x:f/>
      </x:c>
      <x:c r="O193" s="5">
        <x:f/>
      </x:c>
      <x:c r="P193" s="5">
        <x:f/>
      </x:c>
      <x:c r="Q193" s="5">
        <x:f/>
      </x:c>
      <x:c r="R193" s="5">
        <x:f/>
      </x:c>
      <x:c r="S193" s="5">
        <x:f/>
      </x:c>
      <x:c r="T193" s="5">
        <x:f/>
      </x:c>
      <x:c r="U193" s="5">
        <x:f/>
      </x:c>
      <x:c r="V193" s="5">
        <x:f/>
      </x:c>
      <x:c r="W193" s="0">
        <x:f/>
      </x:c>
      <x:c r="X193" s="0">
        <x:f/>
      </x:c>
      <x:c r="Y193" s="0">
        <x:f/>
      </x:c>
      <x:c r="Z193" s="0">
        <x:f/>
      </x:c>
    </x:row>
    <x:row r="194" spans="1:40" ht="16.15" customHeight="1" x14ac:dyDescent="0.25">
      <x:c r="C194" s="33"/>
      <x:c r="D194" s="5">
        <x:f/>
      </x:c>
      <x:c r="E194" s="5">
        <x:f/>
      </x:c>
      <x:c r="F194" s="5">
        <x:f/>
      </x:c>
      <x:c r="G194" s="5">
        <x:f/>
      </x:c>
      <x:c r="H194" s="5">
        <x:f/>
      </x:c>
      <x:c r="I194" s="5">
        <x:f/>
      </x:c>
      <x:c r="J194" s="5">
        <x:f/>
      </x:c>
      <x:c r="K194" s="5">
        <x:f/>
      </x:c>
      <x:c r="L194" s="5">
        <x:f/>
      </x:c>
      <x:c r="M194" s="5">
        <x:f/>
      </x:c>
      <x:c r="N194" s="5">
        <x:f/>
      </x:c>
      <x:c r="O194" s="5">
        <x:f/>
      </x:c>
      <x:c r="P194" s="5">
        <x:f/>
      </x:c>
      <x:c r="Q194" s="5">
        <x:f/>
      </x:c>
      <x:c r="R194" s="5">
        <x:f/>
      </x:c>
      <x:c r="S194" s="5">
        <x:f/>
      </x:c>
      <x:c r="T194" s="5">
        <x:f/>
      </x:c>
      <x:c r="U194" s="5">
        <x:f/>
      </x:c>
      <x:c r="V194" s="5">
        <x:f/>
      </x:c>
      <x:c r="W194" s="0">
        <x:f/>
      </x:c>
      <x:c r="X194" s="0">
        <x:f/>
      </x:c>
      <x:c r="Y194" s="0">
        <x:f/>
      </x:c>
      <x:c r="Z194" s="0">
        <x:f/>
      </x:c>
    </x:row>
    <x:row r="195" spans="1:40" ht="16.15" customHeight="1" x14ac:dyDescent="0.25">
      <x:c r="C195" s="33"/>
      <x:c r="D195" s="5">
        <x:f/>
      </x:c>
      <x:c r="E195" s="5">
        <x:f/>
      </x:c>
      <x:c r="F195" s="5">
        <x:f/>
      </x:c>
      <x:c r="G195" s="5">
        <x:f/>
      </x:c>
      <x:c r="H195" s="5">
        <x:f/>
      </x:c>
      <x:c r="I195" s="5">
        <x:f/>
      </x:c>
      <x:c r="J195" s="5">
        <x:f/>
      </x:c>
      <x:c r="K195" s="5">
        <x:f/>
      </x:c>
      <x:c r="L195" s="5">
        <x:f/>
      </x:c>
      <x:c r="M195" s="5">
        <x:f/>
      </x:c>
      <x:c r="N195" s="5">
        <x:f/>
      </x:c>
      <x:c r="O195" s="5">
        <x:f/>
      </x:c>
      <x:c r="P195" s="5">
        <x:f/>
      </x:c>
      <x:c r="Q195" s="5">
        <x:f/>
      </x:c>
      <x:c r="R195" s="5">
        <x:f/>
      </x:c>
      <x:c r="S195" s="5">
        <x:f/>
      </x:c>
      <x:c r="T195" s="5">
        <x:f/>
      </x:c>
      <x:c r="U195" s="5">
        <x:f/>
      </x:c>
      <x:c r="V195" s="5">
        <x:f/>
      </x:c>
      <x:c r="W195" s="0">
        <x:f/>
      </x:c>
      <x:c r="X195" s="0">
        <x:f/>
      </x:c>
      <x:c r="Y195" s="0">
        <x:f/>
      </x:c>
      <x:c r="Z195" s="0">
        <x:f/>
      </x:c>
    </x:row>
    <x:row r="196" spans="1:40" ht="16.15" customHeight="1" x14ac:dyDescent="0.25">
      <x:c r="C196" s="33"/>
      <x:c r="D196" s="5">
        <x:f/>
      </x:c>
      <x:c r="E196" s="5">
        <x:f/>
      </x:c>
      <x:c r="F196" s="5">
        <x:f/>
      </x:c>
      <x:c r="G196" s="5">
        <x:f/>
      </x:c>
      <x:c r="H196" s="5">
        <x:f/>
      </x:c>
      <x:c r="I196" s="5">
        <x:f/>
      </x:c>
      <x:c r="J196" s="5">
        <x:f/>
      </x:c>
      <x:c r="K196" s="5">
        <x:f/>
      </x:c>
      <x:c r="L196" s="5">
        <x:f/>
      </x:c>
      <x:c r="M196" s="5">
        <x:f/>
      </x:c>
      <x:c r="N196" s="5">
        <x:f/>
      </x:c>
      <x:c r="O196" s="5">
        <x:f/>
      </x:c>
      <x:c r="P196" s="5">
        <x:f/>
      </x:c>
      <x:c r="Q196" s="5">
        <x:f/>
      </x:c>
      <x:c r="R196" s="5">
        <x:f/>
      </x:c>
      <x:c r="S196" s="5">
        <x:f/>
      </x:c>
      <x:c r="T196" s="5">
        <x:f/>
      </x:c>
      <x:c r="U196" s="5">
        <x:f/>
      </x:c>
      <x:c r="V196" s="5">
        <x:f/>
      </x:c>
      <x:c r="W196" s="0">
        <x:f/>
      </x:c>
      <x:c r="X196" s="0">
        <x:f/>
      </x:c>
      <x:c r="Y196" s="0">
        <x:f/>
      </x:c>
      <x:c r="Z196" s="0">
        <x:f/>
      </x:c>
    </x:row>
    <x:row r="197" spans="1:40" ht="16.15" customHeight="1" x14ac:dyDescent="0.25">
      <x:c r="C197" s="33"/>
      <x:c r="D197" s="5">
        <x:f/>
      </x:c>
      <x:c r="E197" s="5">
        <x:f/>
      </x:c>
      <x:c r="F197" s="5">
        <x:f/>
      </x:c>
      <x:c r="G197" s="5">
        <x:f/>
      </x:c>
      <x:c r="H197" s="5">
        <x:f/>
      </x:c>
      <x:c r="I197" s="5">
        <x:f/>
      </x:c>
      <x:c r="J197" s="5">
        <x:f/>
      </x:c>
      <x:c r="K197" s="5">
        <x:f/>
      </x:c>
      <x:c r="L197" s="5">
        <x:f/>
      </x:c>
      <x:c r="M197" s="5">
        <x:f/>
      </x:c>
      <x:c r="N197" s="5">
        <x:f/>
      </x:c>
      <x:c r="O197" s="5">
        <x:f/>
      </x:c>
      <x:c r="P197" s="5">
        <x:f/>
      </x:c>
      <x:c r="Q197" s="5">
        <x:f/>
      </x:c>
      <x:c r="R197" s="5">
        <x:f/>
      </x:c>
      <x:c r="S197" s="5">
        <x:f/>
      </x:c>
      <x:c r="T197" s="5">
        <x:f/>
      </x:c>
      <x:c r="U197" s="5">
        <x:f/>
      </x:c>
      <x:c r="V197" s="5">
        <x:f/>
      </x:c>
      <x:c r="W197" s="0">
        <x:f/>
      </x:c>
      <x:c r="X197" s="0">
        <x:f/>
      </x:c>
      <x:c r="Y197" s="0">
        <x:f/>
      </x:c>
      <x:c r="Z197" s="0">
        <x:f/>
      </x:c>
    </x:row>
    <x:row r="198" spans="1:40" ht="16.15" customHeight="1" x14ac:dyDescent="0.25">
      <x:c r="C198" s="33"/>
      <x:c r="D198" s="5">
        <x:f/>
      </x:c>
      <x:c r="E198" s="5">
        <x:f/>
      </x:c>
      <x:c r="F198" s="5">
        <x:f/>
      </x:c>
      <x:c r="G198" s="5">
        <x:f/>
      </x:c>
      <x:c r="H198" s="5">
        <x:f/>
      </x:c>
      <x:c r="I198" s="5">
        <x:f/>
      </x:c>
      <x:c r="J198" s="5">
        <x:f/>
      </x:c>
      <x:c r="K198" s="5">
        <x:f/>
      </x:c>
      <x:c r="L198" s="5">
        <x:f/>
      </x:c>
      <x:c r="M198" s="5">
        <x:f/>
      </x:c>
      <x:c r="N198" s="5">
        <x:f/>
      </x:c>
      <x:c r="O198" s="5">
        <x:f/>
      </x:c>
      <x:c r="P198" s="5">
        <x:f/>
      </x:c>
      <x:c r="Q198" s="5">
        <x:f/>
      </x:c>
      <x:c r="R198" s="5">
        <x:f/>
      </x:c>
      <x:c r="S198" s="5">
        <x:f/>
      </x:c>
      <x:c r="T198" s="5">
        <x:f/>
      </x:c>
      <x:c r="U198" s="5">
        <x:f/>
      </x:c>
      <x:c r="V198" s="5">
        <x:f/>
      </x:c>
      <x:c r="W198" s="0">
        <x:f/>
      </x:c>
      <x:c r="X198" s="0">
        <x:f/>
      </x:c>
      <x:c r="Y198" s="0">
        <x:f/>
      </x:c>
      <x:c r="Z198" s="0">
        <x:f/>
      </x:c>
    </x:row>
    <x:row r="199" spans="1:40" ht="16.15" customHeight="1" x14ac:dyDescent="0.25">
      <x:c r="C199" s="33"/>
      <x:c r="D199" s="5">
        <x:f/>
      </x:c>
      <x:c r="E199" s="5">
        <x:f/>
      </x:c>
      <x:c r="F199" s="5">
        <x:f/>
      </x:c>
      <x:c r="G199" s="5">
        <x:f/>
      </x:c>
      <x:c r="H199" s="5">
        <x:f/>
      </x:c>
      <x:c r="I199" s="5">
        <x:f/>
      </x:c>
      <x:c r="J199" s="5">
        <x:f/>
      </x:c>
      <x:c r="K199" s="5">
        <x:f/>
      </x:c>
      <x:c r="L199" s="5">
        <x:f/>
      </x:c>
      <x:c r="M199" s="5">
        <x:f/>
      </x:c>
      <x:c r="N199" s="5">
        <x:f/>
      </x:c>
      <x:c r="O199" s="5">
        <x:f/>
      </x:c>
      <x:c r="P199" s="5">
        <x:f/>
      </x:c>
      <x:c r="Q199" s="5">
        <x:f/>
      </x:c>
      <x:c r="R199" s="5">
        <x:f/>
      </x:c>
      <x:c r="S199" s="5">
        <x:f/>
      </x:c>
      <x:c r="T199" s="5">
        <x:f/>
      </x:c>
      <x:c r="U199" s="5">
        <x:f/>
      </x:c>
      <x:c r="V199" s="5">
        <x:f/>
      </x:c>
      <x:c r="W199" s="0">
        <x:f/>
      </x:c>
      <x:c r="X199" s="0">
        <x:f/>
      </x:c>
      <x:c r="Y199" s="0">
        <x:f/>
      </x:c>
      <x:c r="Z199" s="0">
        <x:f/>
      </x:c>
    </x:row>
    <x:row r="200" spans="1:40" ht="16.15" customHeight="1" x14ac:dyDescent="0.25">
      <x:c r="C200" s="33"/>
      <x:c r="D200" s="5">
        <x:f/>
      </x:c>
      <x:c r="E200" s="5">
        <x:f/>
      </x:c>
      <x:c r="F200" s="5">
        <x:f/>
      </x:c>
      <x:c r="G200" s="5">
        <x:f/>
      </x:c>
      <x:c r="H200" s="5">
        <x:f/>
      </x:c>
      <x:c r="I200" s="5">
        <x:f/>
      </x:c>
      <x:c r="J200" s="5">
        <x:f/>
      </x:c>
      <x:c r="K200" s="5">
        <x:f/>
      </x:c>
      <x:c r="L200" s="5">
        <x:f/>
      </x:c>
      <x:c r="M200" s="5">
        <x:f/>
      </x:c>
      <x:c r="N200" s="5">
        <x:f/>
      </x:c>
      <x:c r="O200" s="5">
        <x:f/>
      </x:c>
      <x:c r="P200" s="5">
        <x:f/>
      </x:c>
      <x:c r="Q200" s="5">
        <x:f/>
      </x:c>
      <x:c r="R200" s="5">
        <x:f/>
      </x:c>
      <x:c r="S200" s="5">
        <x:f/>
      </x:c>
      <x:c r="T200" s="5">
        <x:f/>
      </x:c>
      <x:c r="U200" s="5">
        <x:f/>
      </x:c>
      <x:c r="V200" s="5">
        <x:f/>
      </x:c>
      <x:c r="W200" s="0">
        <x:f/>
      </x:c>
      <x:c r="X200" s="0">
        <x:f/>
      </x:c>
      <x:c r="Y200" s="0">
        <x:f/>
      </x:c>
      <x:c r="Z200" s="0">
        <x:f/>
      </x:c>
    </x:row>
    <x:row r="201" spans="1:40" x14ac:dyDescent="0.25">
      <x:c r="D201" s="5">
        <x:f/>
      </x:c>
      <x:c r="E201" s="5">
        <x:f/>
      </x:c>
      <x:c r="F201" s="5">
        <x:f/>
      </x:c>
      <x:c r="G201" s="5">
        <x:f/>
      </x:c>
      <x:c r="H201" s="5">
        <x:f/>
      </x:c>
      <x:c r="I201" s="5">
        <x:f/>
      </x:c>
      <x:c r="J201" s="5">
        <x:f/>
      </x:c>
      <x:c r="K201" s="5">
        <x:f/>
      </x:c>
      <x:c r="L201" s="5">
        <x:f/>
      </x:c>
      <x:c r="M201" s="5">
        <x:f/>
      </x:c>
      <x:c r="N201" s="5">
        <x:f/>
      </x:c>
      <x:c r="O201" s="5">
        <x:f/>
      </x:c>
      <x:c r="P201" s="5">
        <x:f/>
      </x:c>
      <x:c r="Q201" s="5">
        <x:f/>
      </x:c>
      <x:c r="R201" s="5">
        <x:f/>
      </x:c>
      <x:c r="S201" s="5">
        <x:f/>
      </x:c>
      <x:c r="T201" s="5">
        <x:f/>
      </x:c>
      <x:c r="U201" s="5">
        <x:f/>
      </x:c>
      <x:c r="V201" s="5">
        <x:f/>
      </x:c>
      <x:c r="W201" s="0">
        <x:f/>
      </x:c>
      <x:c r="X201" s="0">
        <x:f/>
      </x:c>
      <x:c r="Y201" s="0">
        <x:f/>
      </x:c>
      <x:c r="Z201" s="0">
        <x:f/>
      </x:c>
    </x:row>
    <x:row r="202" spans="1:40" x14ac:dyDescent="0.25">
      <x:c r="D202" s="5">
        <x:f/>
      </x:c>
      <x:c r="E202" s="5">
        <x:f/>
      </x:c>
      <x:c r="F202" s="5">
        <x:f/>
      </x:c>
      <x:c r="G202" s="5">
        <x:f/>
      </x:c>
      <x:c r="H202" s="5">
        <x:f/>
      </x:c>
      <x:c r="I202" s="5">
        <x:f/>
      </x:c>
      <x:c r="J202" s="5">
        <x:f/>
      </x:c>
      <x:c r="K202" s="5">
        <x:f/>
      </x:c>
      <x:c r="L202" s="5">
        <x:f/>
      </x:c>
      <x:c r="M202" s="5">
        <x:f/>
      </x:c>
      <x:c r="N202" s="5">
        <x:f/>
      </x:c>
      <x:c r="O202" s="5">
        <x:f/>
      </x:c>
      <x:c r="P202" s="5">
        <x:f/>
      </x:c>
      <x:c r="Q202" s="5">
        <x:f/>
      </x:c>
      <x:c r="R202" s="5">
        <x:f/>
      </x:c>
      <x:c r="S202" s="5">
        <x:f/>
      </x:c>
      <x:c r="T202" s="5">
        <x:f/>
      </x:c>
      <x:c r="U202" s="5">
        <x:f/>
      </x:c>
      <x:c r="V202" s="5">
        <x:f/>
      </x:c>
      <x:c r="W202" s="0">
        <x:f/>
      </x:c>
      <x:c r="X202" s="0">
        <x:f/>
      </x:c>
      <x:c r="Y202" s="0">
        <x:f/>
      </x:c>
      <x:c r="Z202" s="0">
        <x:f/>
      </x:c>
    </x:row>
    <x:row r="203" spans="1:40" x14ac:dyDescent="0.25">
      <x:c r="D203" s="5">
        <x:f/>
      </x:c>
      <x:c r="E203" s="5">
        <x:f/>
      </x:c>
      <x:c r="F203" s="5">
        <x:f/>
      </x:c>
      <x:c r="G203" s="5">
        <x:f/>
      </x:c>
      <x:c r="H203" s="5">
        <x:f/>
      </x:c>
      <x:c r="I203" s="5">
        <x:f/>
      </x:c>
      <x:c r="J203" s="5">
        <x:f/>
      </x:c>
      <x:c r="K203" s="5">
        <x:f/>
      </x:c>
      <x:c r="L203" s="5">
        <x:f/>
      </x:c>
      <x:c r="M203" s="5">
        <x:f/>
      </x:c>
      <x:c r="N203" s="5">
        <x:f/>
      </x:c>
      <x:c r="O203" s="5">
        <x:f/>
      </x:c>
      <x:c r="P203" s="5">
        <x:f/>
      </x:c>
      <x:c r="Q203" s="5">
        <x:f/>
      </x:c>
      <x:c r="R203" s="5">
        <x:f/>
      </x:c>
      <x:c r="S203" s="5">
        <x:f/>
      </x:c>
      <x:c r="T203" s="5">
        <x:f/>
      </x:c>
      <x:c r="U203" s="5">
        <x:f/>
      </x:c>
      <x:c r="V203" s="5">
        <x:f/>
      </x:c>
      <x:c r="W203" s="0">
        <x:f/>
      </x:c>
      <x:c r="X203" s="0">
        <x:f/>
      </x:c>
      <x:c r="Y203" s="0">
        <x:f/>
      </x:c>
      <x:c r="Z203" s="0">
        <x:f/>
      </x:c>
    </x:row>
    <x:row r="204" spans="1:40" x14ac:dyDescent="0.25">
      <x:c r="D204" s="5">
        <x:f/>
      </x:c>
      <x:c r="E204" s="5">
        <x:f/>
      </x:c>
      <x:c r="F204" s="5">
        <x:f/>
      </x:c>
      <x:c r="G204" s="5">
        <x:f/>
      </x:c>
      <x:c r="H204" s="5">
        <x:f/>
      </x:c>
      <x:c r="I204" s="5">
        <x:f/>
      </x:c>
      <x:c r="J204" s="5">
        <x:f/>
      </x:c>
      <x:c r="K204" s="5">
        <x:f/>
      </x:c>
      <x:c r="L204" s="5">
        <x:f/>
      </x:c>
      <x:c r="M204" s="5">
        <x:f/>
      </x:c>
      <x:c r="N204" s="5">
        <x:f/>
      </x:c>
      <x:c r="O204" s="5">
        <x:f/>
      </x:c>
      <x:c r="P204" s="5">
        <x:f/>
      </x:c>
      <x:c r="Q204" s="5">
        <x:f/>
      </x:c>
      <x:c r="R204" s="5">
        <x:f/>
      </x:c>
      <x:c r="S204" s="5">
        <x:f/>
      </x:c>
      <x:c r="T204" s="5">
        <x:f/>
      </x:c>
      <x:c r="U204" s="5">
        <x:f/>
      </x:c>
      <x:c r="V204" s="5">
        <x:f/>
      </x:c>
      <x:c r="W204" s="0">
        <x:f/>
      </x:c>
      <x:c r="X204" s="0">
        <x:f/>
      </x:c>
      <x:c r="Y204" s="0">
        <x:f/>
      </x:c>
      <x:c r="Z204" s="0">
        <x:f/>
      </x:c>
    </x:row>
    <x:row r="205" spans="1:40" x14ac:dyDescent="0.25">
      <x:c r="D205" s="5">
        <x:f/>
      </x:c>
      <x:c r="E205" s="5">
        <x:f/>
      </x:c>
      <x:c r="F205" s="5">
        <x:f/>
      </x:c>
      <x:c r="G205" s="5">
        <x:f/>
      </x:c>
      <x:c r="H205" s="5">
        <x:f/>
      </x:c>
      <x:c r="I205" s="5">
        <x:f/>
      </x:c>
      <x:c r="J205" s="5">
        <x:f/>
      </x:c>
      <x:c r="K205" s="5">
        <x:f/>
      </x:c>
      <x:c r="L205" s="5">
        <x:f/>
      </x:c>
      <x:c r="M205" s="5">
        <x:f/>
      </x:c>
      <x:c r="N205" s="5">
        <x:f/>
      </x:c>
      <x:c r="O205" s="5">
        <x:f/>
      </x:c>
      <x:c r="P205" s="5">
        <x:f/>
      </x:c>
      <x:c r="Q205" s="5">
        <x:f/>
      </x:c>
      <x:c r="R205" s="5">
        <x:f/>
      </x:c>
      <x:c r="S205" s="5">
        <x:f/>
      </x:c>
      <x:c r="T205" s="5">
        <x:f/>
      </x:c>
      <x:c r="U205" s="5">
        <x:f/>
      </x:c>
      <x:c r="V205" s="5">
        <x:f/>
      </x:c>
      <x:c r="W205" s="0">
        <x:f/>
      </x:c>
      <x:c r="X205" s="0">
        <x:f/>
      </x:c>
      <x:c r="Y205" s="0">
        <x:f/>
      </x:c>
      <x:c r="Z205" s="0">
        <x:f/>
      </x:c>
    </x:row>
    <x:row r="206" spans="1:40" x14ac:dyDescent="0.25">
      <x:c r="D206" s="5">
        <x:f/>
      </x:c>
      <x:c r="E206" s="5">
        <x:f/>
      </x:c>
      <x:c r="F206" s="5">
        <x:f/>
      </x:c>
      <x:c r="G206" s="5">
        <x:f/>
      </x:c>
      <x:c r="H206" s="5">
        <x:f/>
      </x:c>
      <x:c r="I206" s="5">
        <x:f/>
      </x:c>
      <x:c r="J206" s="5">
        <x:f/>
      </x:c>
      <x:c r="K206" s="5">
        <x:f/>
      </x:c>
      <x:c r="L206" s="5">
        <x:f/>
      </x:c>
      <x:c r="M206" s="5">
        <x:f/>
      </x:c>
      <x:c r="N206" s="5">
        <x:f/>
      </x:c>
      <x:c r="O206" s="5">
        <x:f/>
      </x:c>
      <x:c r="P206" s="5">
        <x:f/>
      </x:c>
      <x:c r="Q206" s="5">
        <x:f/>
      </x:c>
      <x:c r="R206" s="5">
        <x:f/>
      </x:c>
      <x:c r="S206" s="5">
        <x:f/>
      </x:c>
      <x:c r="T206" s="5">
        <x:f/>
      </x:c>
      <x:c r="U206" s="5">
        <x:f/>
      </x:c>
      <x:c r="V206" s="5">
        <x:f/>
      </x:c>
      <x:c r="W206" s="0">
        <x:f/>
      </x:c>
      <x:c r="X206" s="0">
        <x:f/>
      </x:c>
      <x:c r="Y206" s="0">
        <x:f/>
      </x:c>
      <x:c r="Z206" s="0">
        <x:f/>
      </x:c>
    </x:row>
    <x:row r="207" spans="1:40" x14ac:dyDescent="0.25">
      <x:c r="D207" s="5">
        <x:f/>
      </x:c>
      <x:c r="E207" s="5">
        <x:f/>
      </x:c>
      <x:c r="F207" s="5">
        <x:f/>
      </x:c>
      <x:c r="G207" s="5">
        <x:f/>
      </x:c>
      <x:c r="H207" s="5">
        <x:f/>
      </x:c>
      <x:c r="I207" s="5">
        <x:f/>
      </x:c>
      <x:c r="J207" s="5">
        <x:f/>
      </x:c>
      <x:c r="K207" s="5">
        <x:f/>
      </x:c>
      <x:c r="L207" s="5">
        <x:f/>
      </x:c>
      <x:c r="M207" s="5">
        <x:f/>
      </x:c>
      <x:c r="N207" s="5">
        <x:f/>
      </x:c>
      <x:c r="O207" s="5">
        <x:f/>
      </x:c>
      <x:c r="P207" s="5">
        <x:f/>
      </x:c>
      <x:c r="Q207" s="5">
        <x:f/>
      </x:c>
      <x:c r="R207" s="5">
        <x:f/>
      </x:c>
      <x:c r="S207" s="5">
        <x:f/>
      </x:c>
      <x:c r="T207" s="5">
        <x:f/>
      </x:c>
      <x:c r="U207" s="5">
        <x:f/>
      </x:c>
      <x:c r="V207" s="5">
        <x:f/>
      </x:c>
      <x:c r="W207" s="0">
        <x:f/>
      </x:c>
      <x:c r="X207" s="0">
        <x:f/>
      </x:c>
      <x:c r="Y207" s="0">
        <x:f/>
      </x:c>
      <x:c r="Z207" s="0">
        <x:f/>
      </x:c>
    </x:row>
    <x:row r="208" spans="1:40" x14ac:dyDescent="0.25">
      <x:c r="D208" s="5">
        <x:f/>
      </x:c>
      <x:c r="E208" s="5">
        <x:f/>
      </x:c>
      <x:c r="F208" s="5">
        <x:f/>
      </x:c>
      <x:c r="G208" s="5">
        <x:f/>
      </x:c>
      <x:c r="H208" s="5">
        <x:f/>
      </x:c>
      <x:c r="I208" s="5">
        <x:f/>
      </x:c>
      <x:c r="J208" s="5">
        <x:f/>
      </x:c>
      <x:c r="K208" s="5">
        <x:f/>
      </x:c>
      <x:c r="L208" s="5">
        <x:f/>
      </x:c>
      <x:c r="M208" s="5">
        <x:f/>
      </x:c>
      <x:c r="N208" s="5">
        <x:f/>
      </x:c>
      <x:c r="O208" s="5">
        <x:f/>
      </x:c>
      <x:c r="P208" s="5">
        <x:f/>
      </x:c>
      <x:c r="Q208" s="5">
        <x:f/>
      </x:c>
      <x:c r="R208" s="5">
        <x:f/>
      </x:c>
      <x:c r="S208" s="5">
        <x:f/>
      </x:c>
      <x:c r="T208" s="5">
        <x:f/>
      </x:c>
      <x:c r="U208" s="5">
        <x:f/>
      </x:c>
      <x:c r="V208" s="5">
        <x:f/>
      </x:c>
      <x:c r="W208" s="0">
        <x:f/>
      </x:c>
      <x:c r="X208" s="0">
        <x:f/>
      </x:c>
      <x:c r="Y208" s="0">
        <x:f/>
      </x:c>
      <x:c r="Z208" s="0">
        <x:f/>
      </x:c>
    </x:row>
    <x:row r="209" spans="1:40" x14ac:dyDescent="0.25">
      <x:c r="D209" s="5">
        <x:f/>
      </x:c>
      <x:c r="E209" s="5">
        <x:f/>
      </x:c>
      <x:c r="F209" s="5">
        <x:f/>
      </x:c>
      <x:c r="G209" s="5">
        <x:f/>
      </x:c>
      <x:c r="H209" s="5">
        <x:f/>
      </x:c>
      <x:c r="I209" s="5">
        <x:f/>
      </x:c>
      <x:c r="J209" s="5">
        <x:f/>
      </x:c>
      <x:c r="K209" s="5">
        <x:f/>
      </x:c>
      <x:c r="L209" s="5">
        <x:f/>
      </x:c>
      <x:c r="M209" s="5">
        <x:f/>
      </x:c>
      <x:c r="N209" s="5">
        <x:f/>
      </x:c>
      <x:c r="O209" s="5">
        <x:f/>
      </x:c>
      <x:c r="P209" s="5">
        <x:f/>
      </x:c>
      <x:c r="Q209" s="5">
        <x:f/>
      </x:c>
      <x:c r="R209" s="5">
        <x:f/>
      </x:c>
      <x:c r="S209" s="5">
        <x:f/>
      </x:c>
      <x:c r="T209" s="5">
        <x:f/>
      </x:c>
      <x:c r="U209" s="5">
        <x:f/>
      </x:c>
      <x:c r="V209" s="5">
        <x:f/>
      </x:c>
      <x:c r="W209" s="0">
        <x:f/>
      </x:c>
      <x:c r="X209" s="0">
        <x:f/>
      </x:c>
      <x:c r="Y209" s="0">
        <x:f/>
      </x:c>
      <x:c r="Z209" s="0">
        <x:f/>
      </x:c>
    </x:row>
  </x:sheetData>
  <x:mergeCells count="4">
    <x:mergeCell ref="D2:F3"/>
    <x:mergeCell ref="G2:I3"/>
    <x:mergeCell ref="K2:Q2"/>
    <x:mergeCell ref="D5:E5"/>
  </x:mergeCells>
  <x:dataValidations count="2">
    <x:dataValidation type="list" errorStyle="stop" operator="between" allowBlank="1" showDropDown="0" showInputMessage="1" showErrorMessage="1" errorTitle="" error="" promptTitle="" prompt="" sqref="D5:D5">
      <x:formula1>INDIRECT("Reiter")</x:formula1>
      <x:formula2/>
    </x:dataValidation>
    <x:dataValidation type="list" errorStyle="stop" operator="between" allowBlank="1" showDropDown="0" showInputMessage="1" showErrorMessage="1" errorTitle="" error="" promptTitle="" prompt="" sqref="G2:I3">
      <x:formula1>INDIRECT($F$5)</x:formula1>
      <x:formula2/>
    </x:dataValidation>
  </x:dataValidation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54" r:id="rId4" name="Button 30">
              <x:controlPr defaultSize="0" print="0" autoFill="0" autoPict="0" macro="[0]!Datenbank_bearbeiten">
                <x:anchor moveWithCells="1" sizeWithCells="1">
                  <x:from>
                    <xdr:col>1</xdr:col>
                    <xdr:colOff>152400</xdr:colOff>
                    <xdr:row>1</xdr:row>
                    <xdr:rowOff>19050</xdr:rowOff>
                  </x:from>
                  <x:to>
                    <xdr:col>1</xdr:col>
                    <xdr:colOff>1828800</xdr:colOff>
                    <xdr:row>3</xdr:row>
                    <xdr:rowOff>152400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5" r:id="rId5" name="Button 31">
              <x:controlPr defaultSize="0" print="0" autoFill="0" autoPict="0" macro="[0]!Gebaeudedaten_bearbeiten">
                <x:anchor moveWithCells="1" sizeWithCells="1">
                  <x:from>
                    <xdr:col>1</xdr:col>
                    <xdr:colOff>152400</xdr:colOff>
                    <xdr:row>4</xdr:row>
                    <xdr:rowOff>104775</xdr:rowOff>
                  </x:from>
                  <x:to>
                    <xdr:col>1</xdr:col>
                    <xdr:colOff>1828800</xdr:colOff>
                    <xdr:row>6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6" r:id="rId6" name="Button 32">
              <x:controlPr defaultSize="0" print="0" autoFill="0" autoPict="0" macro="[0]!Mobilitaetsdaten_bearbeiten">
                <x:anchor moveWithCells="1" sizeWithCells="1">
                  <x:from>
                    <xdr:col>1</xdr:col>
                    <xdr:colOff>152400</xdr:colOff>
                    <xdr:row>7</xdr:row>
                    <xdr:rowOff>114300</xdr:rowOff>
                  </x:from>
                  <x:to>
                    <xdr:col>1</xdr:col>
                    <xdr:colOff>1828800</xdr:colOff>
                    <xdr:row>9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7" r:id="rId7" name="Button 33">
              <x:controlPr defaultSize="0" print="0" autoFill="0" autoPict="0" macro="[0]!EEGDaten_bearbeiten">
                <x:anchor moveWithCells="1" sizeWithCells="1">
                  <x:from>
                    <xdr:col>1</xdr:col>
                    <xdr:colOff>152400</xdr:colOff>
                    <xdr:row>10</xdr:row>
                    <xdr:rowOff>114300</xdr:rowOff>
                  </x:from>
                  <x:to>
                    <xdr:col>1</xdr:col>
                    <xdr:colOff>1828800</xdr:colOff>
                    <xdr:row>12</xdr:row>
                    <xdr:rowOff>171450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8" r:id="rId8" name="Button 34">
              <x:controlPr defaultSize="0" print="0" autoFill="0" autoPict="0" macro="[0]!EEGTeilnehmer_bearbeiten">
                <x:anchor moveWithCells="1" sizeWithCells="1">
                  <x:from>
                    <xdr:col>1</xdr:col>
                    <xdr:colOff>152400</xdr:colOff>
                    <xdr:row>13</xdr:row>
                    <xdr:rowOff>123825</xdr:rowOff>
                  </x:from>
                  <x:to>
                    <xdr:col>1</xdr:col>
                    <xdr:colOff>1828800</xdr:colOff>
                    <xdr:row>15</xdr:row>
                    <xdr:rowOff>171450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B5F9EEC-5D3B-442F-8DB7-310604BFA92D}" mc:Ignorable="x14ac xr xr2 xr3">
  <x:sheetPr codeName="Tabelle2">
    <x:outlinePr summaryBelow="1" summaryRight="1"/>
  </x:sheetPr>
  <x:dimension ref="A1:W864"/>
  <x:sheetViews>
    <x:sheetView showGridLines="0" topLeftCell="A355" zoomScale="101" zoomScaleNormal="400" workbookViewId="0">
      <x:selection activeCell="F365" sqref="F365"/>
    </x:sheetView>
  </x:sheetViews>
  <x:sheetFormatPr baseColWidth="10" defaultColWidth="11.460625" defaultRowHeight="15" x14ac:dyDescent="0.25"/>
  <x:cols>
    <x:col min="1" max="1" width="6.710938" style="10" customWidth="1"/>
    <x:col min="2" max="2" width="18.710938" style="10" bestFit="1" customWidth="1"/>
    <x:col min="3" max="3" width="2.570312" style="10" customWidth="1"/>
    <x:col min="4" max="5" width="18.710938" style="10" customWidth="1"/>
    <x:col min="6" max="6" width="13.140625" style="1" bestFit="1" customWidth="1"/>
    <x:col min="7" max="7" width="14.710938" style="1" bestFit="1" customWidth="1"/>
    <x:col min="8" max="8" width="17.855469" style="10" bestFit="1" customWidth="1"/>
    <x:col min="9" max="9" width="21.855469" style="1" customWidth="1"/>
    <x:col min="10" max="10" width="15.425781" style="10" bestFit="1" customWidth="1"/>
    <x:col min="11" max="11" width="8.710938" style="1" bestFit="1" customWidth="1"/>
    <x:col min="12" max="12" width="14.710938" style="0" bestFit="1" customWidth="1"/>
    <x:col min="13" max="13" width="17.855469" style="0" bestFit="1" customWidth="1"/>
    <x:col min="14" max="14" width="19.285156" style="0" bestFit="1" customWidth="1"/>
    <x:col min="15" max="15" width="13.710938" style="0" bestFit="1" customWidth="1"/>
    <x:col min="16" max="16" width="18.570312" style="0" bestFit="1" customWidth="1"/>
    <x:col min="17" max="17" width="29.285156" style="0" bestFit="1" customWidth="1"/>
    <x:col min="18" max="18" width="28.285156" style="0" bestFit="1" customWidth="1"/>
    <x:col min="19" max="19" width="19.140625" style="0" bestFit="1" customWidth="1"/>
    <x:col min="20" max="22" width="21.710938" style="0" customWidth="1"/>
    <x:col min="23" max="23" width="11.570312" style="0" customWidth="1"/>
  </x:cols>
  <x:sheetData>
    <x:row r="1" spans="1:23" x14ac:dyDescent="0.25">
      <x:c r="A1" s="36" t="s">
        <x:v>18</x:v>
      </x:c>
      <x:c r="B1" s="36" t="s">
        <x:v>26</x:v>
      </x:c>
      <x:c r="C1" s="36" t="s">
        <x:v>27</x:v>
      </x:c>
      <x:c r="D1" s="36" t="s">
        <x:v>28</x:v>
      </x:c>
      <x:c r="E1" s="37" t="s">
        <x:v>0</x:v>
      </x:c>
      <x:c r="F1" s="37" t="s">
        <x:v>19</x:v>
      </x:c>
      <x:c r="G1" s="37" t="s">
        <x:v>20</x:v>
      </x:c>
      <x:c r="H1" s="36" t="s">
        <x:v>29</x:v>
      </x:c>
      <x:c r="I1" s="37" t="s">
        <x:v>30</x:v>
      </x:c>
      <x:c r="J1" s="36" t="s">
        <x:v>24</x:v>
      </x:c>
      <x:c r="K1" s="37" t="s">
        <x:v>31</x:v>
      </x:c>
      <x:c r="L1" s="37" t="s">
        <x:v>21</x:v>
      </x:c>
      <x:c r="M1" s="37" t="s">
        <x:v>32</x:v>
      </x:c>
      <x:c r="N1" s="37" t="s">
        <x:v>33</x:v>
      </x:c>
      <x:c r="O1" s="37" t="s">
        <x:v>34</x:v>
      </x:c>
      <x:c r="P1" s="37" t="s">
        <x:v>35</x:v>
      </x:c>
      <x:c r="Q1" s="37" t="s">
        <x:v>36</x:v>
      </x:c>
      <x:c r="R1" s="37" t="s">
        <x:v>37</x:v>
      </x:c>
      <x:c r="S1" s="37" t="s">
        <x:v>38</x:v>
      </x:c>
      <x:c r="T1" s="37" t="s">
        <x:v>39</x:v>
      </x:c>
      <x:c r="U1" s="37" t="s">
        <x:v>40</x:v>
      </x:c>
      <x:c r="V1" s="37" t="s">
        <x:v>41</x:v>
      </x:c>
      <x:c r="W1" s="37" t="s">
        <x:v>42</x:v>
      </x:c>
    </x:row>
    <x:row r="2" spans="1:23" ht="45" customHeight="1" x14ac:dyDescent="0.25">
      <x:c r="A2" s="1">
        <x:f>ROW(A2)-1</x:f>
      </x:c>
      <x:c r="B2" s="10">
        <x:v>836</x:v>
      </x:c>
      <x:c r="C2" s="10" t="s">
        <x:v>43</x:v>
      </x:c>
      <x:c r="D2" s="10" t="s">
        <x:v>44</x:v>
      </x:c>
      <x:c r="E2" s="10" t="s">
        <x:v>45</x:v>
      </x:c>
      <x:c r="F2" s="1" t="s">
        <x:v>46</x:v>
      </x:c>
      <x:c r="G2" s="10" t="s">
        <x:v>47</x:v>
      </x:c>
      <x:c r="H2" s="15" t="s">
        <x:v>48</x:v>
      </x:c>
      <x:c r="I2" s="15" t="s">
        <x:v>49</x:v>
      </x:c>
      <x:c r="J2" s="10">
        <x:v>3910</x:v>
      </x:c>
      <x:c r="K2" s="1" t="s">
        <x:v>50</x:v>
      </x:c>
      <x:c r="L2" s="0" t="s">
        <x:v>51</x:v>
      </x:c>
      <x:c r="M2" s="0">
        <x:v>34</x:v>
      </x:c>
      <x:c r="N2" s="0">
        <x:f>""</x:f>
      </x:c>
      <x:c r="O2" s="0">
        <x:f>""</x:f>
      </x:c>
      <x:c r="P2" s="0">
        <x:f>""</x:f>
      </x:c>
      <x:c r="Q2" s="0">
        <x:f>""</x:f>
      </x:c>
      <x:c r="R2" s="0">
        <x:f>""</x:f>
      </x:c>
      <x:c r="S2" s="0">
        <x:f>""</x:f>
      </x:c>
      <x:c r="T2" s="0">
        <x:f>""</x:f>
      </x:c>
      <x:c r="W2" s="0">
        <x:f>""</x:f>
      </x:c>
    </x:row>
    <x:row r="3" spans="1:23" ht="60" customHeight="1" x14ac:dyDescent="0.25">
      <x:c r="A3" s="1">
        <x:f>ROW(A3)-1</x:f>
      </x:c>
      <x:c r="B3" s="10">
        <x:v>609</x:v>
      </x:c>
      <x:c r="C3" s="10" t="s">
        <x:v>43</x:v>
      </x:c>
      <x:c r="D3" s="10" t="s">
        <x:v>52</x:v>
      </x:c>
      <x:c r="E3" s="10" t="s">
        <x:v>53</x:v>
      </x:c>
      <x:c r="F3" s="1" t="s">
        <x:v>54</x:v>
      </x:c>
      <x:c r="G3" s="10" t="s">
        <x:v>55</x:v>
      </x:c>
      <x:c r="H3" s="15" t="s">
        <x:v>56</x:v>
      </x:c>
      <x:c r="I3" s="15" t="s">
        <x:v>57</x:v>
      </x:c>
      <x:c r="J3" s="10">
        <x:v>3571</x:v>
      </x:c>
      <x:c r="K3" s="1" t="s">
        <x:v>58</x:v>
      </x:c>
      <x:c r="L3" s="0" t="s">
        <x:v>59</x:v>
      </x:c>
      <x:c r="M3" s="0">
        <x:v>163</x:v>
      </x:c>
      <x:c r="N3" s="0">
        <x:f>""</x:f>
      </x:c>
      <x:c r="O3" s="0">
        <x:f>""</x:f>
      </x:c>
      <x:c r="P3" s="0">
        <x:f>""</x:f>
      </x:c>
      <x:c r="Q3" s="0">
        <x:f>""</x:f>
      </x:c>
      <x:c r="R3" s="0">
        <x:f>""</x:f>
      </x:c>
      <x:c r="S3" s="0">
        <x:f>""</x:f>
      </x:c>
      <x:c r="T3" s="0">
        <x:f>""</x:f>
      </x:c>
      <x:c r="W3" s="0">
        <x:f>""</x:f>
      </x:c>
    </x:row>
    <x:row r="4" spans="1:23" ht="30" customHeight="1" x14ac:dyDescent="0.25">
      <x:c r="A4" s="1">
        <x:f>ROW(A4)-1</x:f>
      </x:c>
      <x:c r="B4" s="10">
        <x:v>1106</x:v>
      </x:c>
      <x:c r="C4" s="10" t="s">
        <x:v>43</x:v>
      </x:c>
      <x:c r="D4" s="10" t="s">
        <x:v>60</x:v>
      </x:c>
      <x:c r="E4" s="10" t="s">
        <x:v>61</x:v>
      </x:c>
      <x:c r="F4" s="1" t="s">
        <x:v>62</x:v>
      </x:c>
      <x:c r="G4" s="10" t="s">
        <x:v>63</x:v>
      </x:c>
      <x:c r="H4" s="15" t="s">
        <x:v>64</x:v>
      </x:c>
      <x:c r="I4" s="15" t="s">
        <x:v>65</x:v>
      </x:c>
      <x:c r="J4" s="10">
        <x:v>3712</x:v>
      </x:c>
      <x:c r="K4" s="1" t="s">
        <x:v>66</x:v>
      </x:c>
      <x:c r="L4" s="0" t="s">
        <x:v>67</x:v>
      </x:c>
      <x:c r="M4" s="0">
        <x:v>12</x:v>
      </x:c>
      <x:c r="N4" s="0">
        <x:f>""</x:f>
      </x:c>
      <x:c r="O4" s="0">
        <x:f>""</x:f>
      </x:c>
      <x:c r="P4" s="0">
        <x:f>""</x:f>
      </x:c>
      <x:c r="Q4" s="0">
        <x:f>""</x:f>
      </x:c>
      <x:c r="R4" s="0">
        <x:f>""</x:f>
      </x:c>
      <x:c r="S4" s="0">
        <x:f>""</x:f>
      </x:c>
      <x:c r="T4" s="0">
        <x:f>""</x:f>
      </x:c>
      <x:c r="W4" s="0">
        <x:f>""</x:f>
      </x:c>
    </x:row>
    <x:row r="5" spans="1:23" ht="30" customHeight="1" x14ac:dyDescent="0.25">
      <x:c r="A5" s="1">
        <x:f>ROW(A5)-1</x:f>
      </x:c>
      <x:c r="B5" s="10">
        <x:v>3148</x:v>
      </x:c>
      <x:c r="C5" s="10" t="s">
        <x:v>43</x:v>
      </x:c>
      <x:c r="D5" s="10" t="s">
        <x:v>68</x:v>
      </x:c>
      <x:c r="E5" s="10" t="s">
        <x:v>69</x:v>
      </x:c>
      <x:c r="F5" s="1" t="s">
        <x:v>70</x:v>
      </x:c>
      <x:c r="G5" s="10" t="s">
        <x:v>71</x:v>
      </x:c>
      <x:c r="H5" s="15" t="s">
        <x:v>72</x:v>
      </x:c>
      <x:c r="I5" s="15" t="s">
        <x:v>73</x:v>
      </x:c>
      <x:c r="J5" s="10">
        <x:v>3492</x:v>
      </x:c>
      <x:c r="K5" s="1" t="s">
        <x:v>74</x:v>
      </x:c>
      <x:c r="L5" s="0" t="s">
        <x:v>75</x:v>
      </x:c>
      <x:c r="M5" s="0">
        <x:v>10</x:v>
      </x:c>
      <x:c r="N5" s="0">
        <x:f>""</x:f>
      </x:c>
      <x:c r="O5" s="0">
        <x:f>""</x:f>
      </x:c>
      <x:c r="P5" s="0">
        <x:f>""</x:f>
      </x:c>
      <x:c r="Q5" s="0">
        <x:f>""</x:f>
      </x:c>
      <x:c r="R5" s="0">
        <x:f>""</x:f>
      </x:c>
      <x:c r="S5" s="0">
        <x:f>""</x:f>
      </x:c>
      <x:c r="T5" s="0">
        <x:f>""</x:f>
      </x:c>
      <x:c r="W5" s="0">
        <x:f>""</x:f>
      </x:c>
    </x:row>
    <x:row r="6" spans="1:23" ht="30" customHeight="1" x14ac:dyDescent="0.25">
      <x:c r="A6" s="1">
        <x:f>ROW(A6)-1</x:f>
      </x:c>
      <x:c r="B6" s="10">
        <x:v>3151</x:v>
      </x:c>
      <x:c r="C6" s="10" t="s">
        <x:v>43</x:v>
      </x:c>
      <x:c r="D6" s="10" t="s">
        <x:v>76</x:v>
      </x:c>
      <x:c r="E6" s="10" t="s">
        <x:v>77</x:v>
      </x:c>
      <x:c r="F6" s="1" t="s">
        <x:v>78</x:v>
      </x:c>
      <x:c r="G6" s="10" t="s">
        <x:v>79</x:v>
      </x:c>
      <x:c r="H6" s="15" t="s">
        <x:v>80</x:v>
      </x:c>
      <x:c r="I6" s="15" t="s">
        <x:v>81</x:v>
      </x:c>
      <x:c r="J6" s="10">
        <x:v>3923</x:v>
      </x:c>
      <x:c r="K6" s="1" t="s">
        <x:v>82</x:v>
      </x:c>
      <x:c r="L6" s="0" t="s">
        <x:v>82</x:v>
      </x:c>
      <x:c r="M6" s="0">
        <x:v>135</x:v>
      </x:c>
      <x:c r="N6" s="0">
        <x:f>""</x:f>
      </x:c>
      <x:c r="O6" s="0">
        <x:f>""</x:f>
      </x:c>
      <x:c r="P6" s="0">
        <x:f>""</x:f>
      </x:c>
      <x:c r="Q6" s="0">
        <x:f>""</x:f>
      </x:c>
      <x:c r="R6" s="0">
        <x:f>""</x:f>
      </x:c>
      <x:c r="S6" s="0">
        <x:f>""</x:f>
      </x:c>
      <x:c r="T6" s="0">
        <x:f>""</x:f>
      </x:c>
      <x:c r="W6" s="0">
        <x:f>""</x:f>
      </x:c>
    </x:row>
    <x:row r="7" spans="1:23" ht="60" customHeight="1" x14ac:dyDescent="0.25">
      <x:c r="A7" s="1">
        <x:f>ROW(A7)-1</x:f>
      </x:c>
      <x:c r="B7" s="10">
        <x:v>1115</x:v>
      </x:c>
      <x:c r="C7" s="10" t="s">
        <x:v>43</x:v>
      </x:c>
      <x:c r="D7" s="10" t="s">
        <x:v>83</x:v>
      </x:c>
      <x:c r="E7" s="10" t="s">
        <x:v>84</x:v>
      </x:c>
      <x:c r="F7" s="1" t="s">
        <x:v>85</x:v>
      </x:c>
      <x:c r="G7" s="10" t="s">
        <x:v>86</x:v>
      </x:c>
      <x:c r="H7" s="15" t="s">
        <x:v>87</x:v>
      </x:c>
      <x:c r="I7" s="15" t="s">
        <x:v>88</x:v>
      </x:c>
      <x:c r="J7" s="10">
        <x:v>3525</x:v>
      </x:c>
      <x:c r="K7" s="1" t="s">
        <x:v>89</x:v>
      </x:c>
      <x:c r="L7" s="0" t="s">
        <x:v>75</x:v>
      </x:c>
      <x:c r="M7" s="0">
        <x:v>24</x:v>
      </x:c>
      <x:c r="N7" s="0">
        <x:f>""</x:f>
      </x:c>
      <x:c r="O7" s="0">
        <x:f>""</x:f>
      </x:c>
      <x:c r="P7" s="0">
        <x:f>""</x:f>
      </x:c>
      <x:c r="Q7" s="0">
        <x:f>""</x:f>
      </x:c>
      <x:c r="R7" s="0">
        <x:f>""</x:f>
      </x:c>
      <x:c r="S7" s="0">
        <x:f>""</x:f>
      </x:c>
      <x:c r="T7" s="0">
        <x:f>""</x:f>
      </x:c>
      <x:c r="W7" s="0">
        <x:f>""</x:f>
      </x:c>
    </x:row>
    <x:row r="8" spans="1:23" ht="60" customHeight="1" x14ac:dyDescent="0.25">
      <x:c r="A8" s="1">
        <x:f>ROW(A8)-1</x:f>
      </x:c>
      <x:c r="B8" s="10">
        <x:v>1118</x:v>
      </x:c>
      <x:c r="C8" s="10" t="s">
        <x:v>43</x:v>
      </x:c>
      <x:c r="D8" s="10" t="s">
        <x:v>90</x:v>
      </x:c>
      <x:c r="E8" s="10" t="s">
        <x:v>91</x:v>
      </x:c>
      <x:c r="F8" s="1" t="s">
        <x:v>92</x:v>
      </x:c>
      <x:c r="G8" s="10" t="s">
        <x:v>93</x:v>
      </x:c>
      <x:c r="H8" s="15" t="s">
        <x:v>94</x:v>
      </x:c>
      <x:c r="I8" s="15" t="s">
        <x:v>95</x:v>
      </x:c>
      <x:c r="J8" s="10">
        <x:v>2404</x:v>
      </x:c>
      <x:c r="K8" s="1" t="s">
        <x:v>96</x:v>
      </x:c>
      <x:c r="L8" s="0" t="s">
        <x:v>97</x:v>
      </x:c>
      <x:c r="M8" s="0">
        <x:v>1</x:v>
      </x:c>
      <x:c r="N8" s="0">
        <x:f>""</x:f>
      </x:c>
      <x:c r="O8" s="0">
        <x:f>""</x:f>
      </x:c>
      <x:c r="P8" s="0">
        <x:f>""</x:f>
      </x:c>
      <x:c r="Q8" s="0">
        <x:f>""</x:f>
      </x:c>
      <x:c r="R8" s="0">
        <x:f>""</x:f>
      </x:c>
      <x:c r="S8" s="0">
        <x:f>""</x:f>
      </x:c>
      <x:c r="T8" s="0">
        <x:f>""</x:f>
      </x:c>
      <x:c r="W8" s="0">
        <x:f>""</x:f>
      </x:c>
    </x:row>
    <x:row r="9" spans="1:23" ht="45" customHeight="1" x14ac:dyDescent="0.25">
      <x:c r="A9" s="1">
        <x:f>ROW(A9)-1</x:f>
      </x:c>
      <x:c r="B9" s="10">
        <x:v>350</x:v>
      </x:c>
      <x:c r="C9" s="10" t="s">
        <x:v>43</x:v>
      </x:c>
      <x:c r="D9" s="10" t="s">
        <x:v>98</x:v>
      </x:c>
      <x:c r="E9" s="10" t="s">
        <x:v>99</x:v>
      </x:c>
      <x:c r="F9" s="1" t="s">
        <x:v>100</x:v>
      </x:c>
      <x:c r="G9" s="10" t="s">
        <x:v>101</x:v>
      </x:c>
      <x:c r="H9" s="15" t="s">
        <x:v>102</x:v>
      </x:c>
      <x:c r="I9" s="15" t="s">
        <x:v>103</x:v>
      </x:c>
      <x:c r="J9" s="10">
        <x:v>3830</x:v>
      </x:c>
      <x:c r="K9" s="1" t="s">
        <x:v>104</x:v>
      </x:c>
      <x:c r="L9" s="0" t="s">
        <x:v>105</x:v>
      </x:c>
      <x:c r="M9" s="0">
        <x:v>22</x:v>
      </x:c>
      <x:c r="N9" s="0">
        <x:f>""</x:f>
      </x:c>
      <x:c r="O9" s="0">
        <x:f>""</x:f>
      </x:c>
      <x:c r="P9" s="0">
        <x:f>""</x:f>
      </x:c>
      <x:c r="Q9" s="0">
        <x:f>""</x:f>
      </x:c>
      <x:c r="R9" s="0">
        <x:f>""</x:f>
      </x:c>
      <x:c r="S9" s="0">
        <x:f>""</x:f>
      </x:c>
      <x:c r="T9" s="0">
        <x:f>""</x:f>
      </x:c>
      <x:c r="W9" s="0">
        <x:f>""</x:f>
      </x:c>
    </x:row>
    <x:row r="10" spans="1:23" ht="120" customHeight="1" x14ac:dyDescent="0.25">
      <x:c r="A10" s="1">
        <x:f>ROW(A10)-1</x:f>
      </x:c>
      <x:c r="B10" s="10">
        <x:v>3156</x:v>
      </x:c>
      <x:c r="C10" s="10" t="s">
        <x:v>43</x:v>
      </x:c>
      <x:c r="D10" s="10" t="s">
        <x:v>106</x:v>
      </x:c>
      <x:c r="E10" s="10" t="s">
        <x:v>107</x:v>
      </x:c>
      <x:c r="F10" s="1" t="s">
        <x:v>108</x:v>
      </x:c>
      <x:c r="G10" s="10" t="s">
        <x:v>109</x:v>
      </x:c>
      <x:c r="H10" s="15" t="s">
        <x:v>110</x:v>
      </x:c>
      <x:c r="I10" s="15" t="s">
        <x:v>111</x:v>
      </x:c>
      <x:c r="J10" s="10">
        <x:v>3533</x:v>
      </x:c>
      <x:c r="K10" s="1" t="s">
        <x:v>112</x:v>
      </x:c>
      <x:c r="L10" s="0" t="s">
        <x:v>113</x:v>
      </x:c>
      <x:c r="M10" s="0">
        <x:v>10</x:v>
      </x:c>
      <x:c r="N10" s="0">
        <x:f>""</x:f>
      </x:c>
      <x:c r="O10" s="0">
        <x:f>""</x:f>
      </x:c>
      <x:c r="P10" s="0">
        <x:f>""</x:f>
      </x:c>
      <x:c r="Q10" s="0">
        <x:f>""</x:f>
      </x:c>
      <x:c r="R10" s="0">
        <x:f>""</x:f>
      </x:c>
      <x:c r="S10" s="0">
        <x:f>""</x:f>
      </x:c>
      <x:c r="T10" s="0">
        <x:f>""</x:f>
      </x:c>
      <x:c r="W10" s="0">
        <x:f>""</x:f>
      </x:c>
    </x:row>
    <x:row r="11" spans="1:23" x14ac:dyDescent="0.25">
      <x:c r="A11" s="1">
        <x:f>ROW(A11)-1</x:f>
      </x:c>
      <x:c r="B11" s="10">
        <x:v>1126</x:v>
      </x:c>
      <x:c r="C11" s="10" t="s">
        <x:v>43</x:v>
      </x:c>
      <x:c r="D11" s="10" t="s">
        <x:v>114</x:v>
      </x:c>
      <x:c r="E11" s="10" t="s">
        <x:v>115</x:v>
      </x:c>
      <x:c r="F11" s="1" t="s">
        <x:v>108</x:v>
      </x:c>
      <x:c r="G11" s="10" t="s">
        <x:v>109</x:v>
      </x:c>
      <x:c r="H11" s="15" t="s">
        <x:v>116</x:v>
      </x:c>
      <x:c r="I11" s="15"/>
      <x:c r="N11" s="0">
        <x:f>""</x:f>
      </x:c>
      <x:c r="O11" s="0">
        <x:f>""</x:f>
      </x:c>
      <x:c r="P11" s="0">
        <x:f>""</x:f>
      </x:c>
      <x:c r="Q11" s="0">
        <x:f>""</x:f>
      </x:c>
      <x:c r="R11" s="0">
        <x:f>""</x:f>
      </x:c>
      <x:c r="S11" s="0">
        <x:f>""</x:f>
      </x:c>
      <x:c r="T11" s="0">
        <x:f>""</x:f>
      </x:c>
      <x:c r="W11" s="0">
        <x:f>""</x:f>
      </x:c>
    </x:row>
    <x:row r="12" spans="1:23" ht="45" customHeight="1" x14ac:dyDescent="0.25">
      <x:c r="A12" s="1">
        <x:f>ROW(A12)-1</x:f>
      </x:c>
      <x:c r="B12" s="10">
        <x:v>630</x:v>
      </x:c>
      <x:c r="C12" s="10" t="s">
        <x:v>43</x:v>
      </x:c>
      <x:c r="D12" s="10" t="s">
        <x:v>117</x:v>
      </x:c>
      <x:c r="E12" s="10" t="s">
        <x:v>118</x:v>
      </x:c>
      <x:c r="F12" s="1" t="s">
        <x:v>119</x:v>
      </x:c>
      <x:c r="G12" s="10" t="s">
        <x:v>120</x:v>
      </x:c>
      <x:c r="H12" s="15" t="s">
        <x:v>121</x:v>
      </x:c>
      <x:c r="I12" s="15" t="s">
        <x:v>122</x:v>
      </x:c>
      <x:c r="J12" s="10">
        <x:v>3812</x:v>
      </x:c>
      <x:c r="K12" s="1" t="s">
        <x:v>123</x:v>
      </x:c>
      <x:c r="L12" s="0" t="s">
        <x:v>124</x:v>
      </x:c>
      <x:c r="M12" s="0">
        <x:v>2</x:v>
      </x:c>
      <x:c r="N12" s="0">
        <x:f>""</x:f>
      </x:c>
      <x:c r="O12" s="0">
        <x:f>""</x:f>
      </x:c>
      <x:c r="P12" s="0">
        <x:f>""</x:f>
      </x:c>
      <x:c r="Q12" s="0">
        <x:f>""</x:f>
      </x:c>
      <x:c r="R12" s="0">
        <x:f>""</x:f>
      </x:c>
      <x:c r="S12" s="0">
        <x:f>""</x:f>
      </x:c>
      <x:c r="T12" s="0">
        <x:f>""</x:f>
      </x:c>
      <x:c r="W12" s="0">
        <x:f>""</x:f>
      </x:c>
    </x:row>
    <x:row r="13" spans="1:23" ht="30" customHeight="1" x14ac:dyDescent="0.25">
      <x:c r="A13" s="1">
        <x:f>ROW(A13)-1</x:f>
      </x:c>
      <x:c r="B13" s="10">
        <x:v>1131</x:v>
      </x:c>
      <x:c r="C13" s="10" t="s">
        <x:v>43</x:v>
      </x:c>
      <x:c r="D13" s="10" t="s">
        <x:v>114</x:v>
      </x:c>
      <x:c r="E13" s="10" t="s">
        <x:v>125</x:v>
      </x:c>
      <x:c r="F13" s="1" t="s">
        <x:v>126</x:v>
      </x:c>
      <x:c r="G13" s="10" t="s">
        <x:v>127</x:v>
      </x:c>
      <x:c r="H13" s="15" t="s">
        <x:v>128</x:v>
      </x:c>
      <x:c r="I13" s="15" t="s">
        <x:v>129</x:v>
      </x:c>
      <x:c r="J13" s="10">
        <x:v>3914</x:v>
      </x:c>
      <x:c r="K13" s="1" t="s">
        <x:v>130</x:v>
      </x:c>
      <x:c r="L13" s="0" t="s">
        <x:v>131</x:v>
      </x:c>
      <x:c r="M13" s="0">
        <x:v>7</x:v>
      </x:c>
      <x:c r="N13" s="0">
        <x:f>""</x:f>
      </x:c>
      <x:c r="O13" s="0">
        <x:f>""</x:f>
      </x:c>
      <x:c r="P13" s="0">
        <x:f>""</x:f>
      </x:c>
      <x:c r="Q13" s="0">
        <x:f>""</x:f>
      </x:c>
      <x:c r="R13" s="0">
        <x:f>""</x:f>
      </x:c>
      <x:c r="S13" s="0">
        <x:f>""</x:f>
      </x:c>
      <x:c r="T13" s="0">
        <x:f>""</x:f>
      </x:c>
      <x:c r="W13" s="0">
        <x:f>""</x:f>
      </x:c>
    </x:row>
    <x:row r="14" spans="1:23" ht="105" customHeight="1" x14ac:dyDescent="0.25">
      <x:c r="A14" s="1">
        <x:f>ROW(A14)-1</x:f>
      </x:c>
      <x:c r="B14" s="10">
        <x:v>3117</x:v>
      </x:c>
      <x:c r="C14" s="10" t="s">
        <x:v>43</x:v>
      </x:c>
      <x:c r="D14" s="10" t="s">
        <x:v>132</x:v>
      </x:c>
      <x:c r="E14" s="10" t="s">
        <x:v>133</x:v>
      </x:c>
      <x:c r="F14" s="1" t="s">
        <x:v>78</x:v>
      </x:c>
      <x:c r="G14" s="10" t="s">
        <x:v>133</x:v>
      </x:c>
      <x:c r="H14" s="15" t="s">
        <x:v>134</x:v>
      </x:c>
      <x:c r="I14" s="15" t="s">
        <x:v>135</x:v>
      </x:c>
      <x:c r="J14" s="10">
        <x:v>3861</x:v>
      </x:c>
      <x:c r="K14" s="1" t="s">
        <x:v>136</x:v>
      </x:c>
      <x:c r="L14" s="0" t="s">
        <x:v>137</x:v>
      </x:c>
      <x:c r="M14" s="0">
        <x:v>21</x:v>
      </x:c>
      <x:c r="N14" s="0">
        <x:f>""</x:f>
      </x:c>
      <x:c r="O14" s="0">
        <x:f>""</x:f>
      </x:c>
      <x:c r="P14" s="0">
        <x:f>""</x:f>
      </x:c>
      <x:c r="Q14" s="0">
        <x:f>""</x:f>
      </x:c>
      <x:c r="R14" s="0">
        <x:f>""</x:f>
      </x:c>
      <x:c r="S14" s="0">
        <x:f>""</x:f>
      </x:c>
      <x:c r="T14" s="0">
        <x:f>""</x:f>
      </x:c>
      <x:c r="W14" s="0">
        <x:f>""</x:f>
      </x:c>
    </x:row>
    <x:row r="15" spans="1:23" ht="60" customHeight="1" x14ac:dyDescent="0.25">
      <x:c r="A15" s="1">
        <x:f>ROW(A15)-1</x:f>
      </x:c>
      <x:c r="B15" s="10">
        <x:v>3169</x:v>
      </x:c>
      <x:c r="C15" s="10" t="s">
        <x:v>43</x:v>
      </x:c>
      <x:c r="D15" s="10" t="s">
        <x:v>138</x:v>
      </x:c>
      <x:c r="E15" s="10" t="s">
        <x:v>139</x:v>
      </x:c>
      <x:c r="F15" s="1" t="s">
        <x:v>85</x:v>
      </x:c>
      <x:c r="G15" s="10" t="s">
        <x:v>140</x:v>
      </x:c>
      <x:c r="H15" s="15" t="s">
        <x:v>141</x:v>
      </x:c>
      <x:c r="I15" s="15" t="s">
        <x:v>142</x:v>
      </x:c>
      <x:c r="J15" s="10">
        <x:v>3571</x:v>
      </x:c>
      <x:c r="K15" s="1" t="s">
        <x:v>143</x:v>
      </x:c>
      <x:c r="L15" s="0" t="s">
        <x:v>51</x:v>
      </x:c>
      <x:c r="M15" s="0">
        <x:v>649</x:v>
      </x:c>
      <x:c r="N15" s="0">
        <x:f>""</x:f>
      </x:c>
      <x:c r="O15" s="0">
        <x:f>""</x:f>
      </x:c>
      <x:c r="P15" s="0">
        <x:f>""</x:f>
      </x:c>
      <x:c r="Q15" s="0">
        <x:f>""</x:f>
      </x:c>
      <x:c r="R15" s="0">
        <x:f>""</x:f>
      </x:c>
      <x:c r="S15" s="0">
        <x:f>""</x:f>
      </x:c>
      <x:c r="T15" s="0">
        <x:f>""</x:f>
      </x:c>
      <x:c r="W15" s="0">
        <x:f>""</x:f>
      </x:c>
    </x:row>
    <x:row r="16" spans="1:23" ht="45" customHeight="1" x14ac:dyDescent="0.25">
      <x:c r="A16" s="1">
        <x:f>ROW(A16)-1</x:f>
      </x:c>
      <x:c r="B16" s="10">
        <x:v>1128</x:v>
      </x:c>
      <x:c r="C16" s="10" t="s">
        <x:v>43</x:v>
      </x:c>
      <x:c r="D16" s="10" t="s">
        <x:v>144</x:v>
      </x:c>
      <x:c r="E16" s="10" t="s">
        <x:v>145</x:v>
      </x:c>
      <x:c r="F16" s="1" t="s">
        <x:v>146</x:v>
      </x:c>
      <x:c r="G16" s="10" t="s">
        <x:v>147</x:v>
      </x:c>
      <x:c r="H16" s="15" t="s">
        <x:v>148</x:v>
      </x:c>
      <x:c r="I16" s="15" t="s">
        <x:v>149</x:v>
      </x:c>
      <x:c r="J16" s="10">
        <x:v>1010</x:v>
      </x:c>
      <x:c r="K16" s="1" t="s">
        <x:v>150</x:v>
      </x:c>
      <x:c r="L16" s="0" t="s">
        <x:v>151</x:v>
      </x:c>
      <x:c r="N16" s="0">
        <x:f>""</x:f>
      </x:c>
      <x:c r="O16" s="0">
        <x:f>""</x:f>
      </x:c>
      <x:c r="P16" s="0">
        <x:f>""</x:f>
      </x:c>
      <x:c r="Q16" s="0">
        <x:f>""</x:f>
      </x:c>
      <x:c r="R16" s="0">
        <x:f>""</x:f>
      </x:c>
      <x:c r="S16" s="0">
        <x:f>""</x:f>
      </x:c>
      <x:c r="T16" s="0">
        <x:f>""</x:f>
      </x:c>
      <x:c r="W16" s="0">
        <x:f>""</x:f>
      </x:c>
    </x:row>
    <x:row r="17" spans="1:23" ht="45" customHeight="1" x14ac:dyDescent="0.25">
      <x:c r="A17" s="1">
        <x:f>ROW(A17)-1</x:f>
      </x:c>
      <x:c r="B17" s="10">
        <x:v>3069</x:v>
      </x:c>
      <x:c r="C17" s="10" t="s">
        <x:v>43</x:v>
      </x:c>
      <x:c r="D17" s="10" t="s">
        <x:v>152</x:v>
      </x:c>
      <x:c r="E17" s="10" t="s">
        <x:v>153</x:v>
      </x:c>
      <x:c r="F17" s="1" t="s">
        <x:v>70</x:v>
      </x:c>
      <x:c r="G17" s="10" t="s">
        <x:v>154</x:v>
      </x:c>
      <x:c r="H17" s="15" t="s">
        <x:v>155</x:v>
      </x:c>
      <x:c r="I17" s="15" t="s">
        <x:v>156</x:v>
      </x:c>
      <x:c r="J17" s="10">
        <x:v>3571</x:v>
      </x:c>
      <x:c r="K17" s="1" t="s">
        <x:v>157</x:v>
      </x:c>
      <x:c r="L17" s="0" t="s">
        <x:v>158</x:v>
      </x:c>
      <x:c r="M17" s="0">
        <x:v>635</x:v>
      </x:c>
      <x:c r="N17" s="0">
        <x:f>""</x:f>
      </x:c>
      <x:c r="O17" s="0">
        <x:f>""</x:f>
      </x:c>
      <x:c r="P17" s="0">
        <x:f>""</x:f>
      </x:c>
      <x:c r="Q17" s="0">
        <x:f>""</x:f>
      </x:c>
      <x:c r="R17" s="0">
        <x:f>""</x:f>
      </x:c>
      <x:c r="S17" s="0">
        <x:f>""</x:f>
      </x:c>
      <x:c r="T17" s="0">
        <x:f>""</x:f>
      </x:c>
      <x:c r="W17" s="0">
        <x:f>""</x:f>
      </x:c>
    </x:row>
    <x:row r="18" spans="1:23" ht="30" customHeight="1" x14ac:dyDescent="0.25">
      <x:c r="A18" s="1">
        <x:f>ROW(A18)-1</x:f>
      </x:c>
      <x:c r="B18" s="10">
        <x:v>855</x:v>
      </x:c>
      <x:c r="C18" s="10" t="s">
        <x:v>43</x:v>
      </x:c>
      <x:c r="E18" s="10" t="s">
        <x:v>159</x:v>
      </x:c>
      <x:c r="F18" s="1" t="s">
        <x:v>160</x:v>
      </x:c>
      <x:c r="G18" s="10" t="s">
        <x:v>161</x:v>
      </x:c>
      <x:c r="H18" s="15" t="s">
        <x:v>162</x:v>
      </x:c>
      <x:c r="I18" s="15" t="s">
        <x:v>163</x:v>
      </x:c>
      <x:c r="J18" s="10">
        <x:v>3430</x:v>
      </x:c>
      <x:c r="K18" s="1" t="s">
        <x:v>164</x:v>
      </x:c>
      <x:c r="L18" s="0" t="s">
        <x:v>165</x:v>
      </x:c>
      <x:c r="M18" s="0">
        <x:v>1</x:v>
      </x:c>
      <x:c r="N18" s="0">
        <x:f>""</x:f>
      </x:c>
      <x:c r="O18" s="0">
        <x:f>""</x:f>
      </x:c>
      <x:c r="P18" s="0">
        <x:f>""</x:f>
      </x:c>
      <x:c r="Q18" s="0">
        <x:f>""</x:f>
      </x:c>
      <x:c r="R18" s="0">
        <x:f>""</x:f>
      </x:c>
      <x:c r="S18" s="0">
        <x:f>""</x:f>
      </x:c>
      <x:c r="T18" s="0">
        <x:f>""</x:f>
      </x:c>
      <x:c r="W18" s="0">
        <x:f>""</x:f>
      </x:c>
    </x:row>
    <x:row r="19" spans="1:23" ht="30" customHeight="1" x14ac:dyDescent="0.25">
      <x:c r="A19" s="1">
        <x:f>ROW(A19)-1</x:f>
      </x:c>
      <x:c r="B19" s="10">
        <x:v>304</x:v>
      </x:c>
      <x:c r="C19" s="10" t="s">
        <x:v>43</x:v>
      </x:c>
      <x:c r="E19" s="10" t="s">
        <x:v>166</x:v>
      </x:c>
      <x:c r="F19" s="1" t="s">
        <x:v>167</x:v>
      </x:c>
      <x:c r="G19" s="10" t="s">
        <x:v>168</x:v>
      </x:c>
      <x:c r="H19" s="15" t="s">
        <x:v>169</x:v>
      </x:c>
      <x:c r="I19" s="15" t="s">
        <x:v>170</x:v>
      </x:c>
      <x:c r="J19" s="10">
        <x:v>3910</x:v>
      </x:c>
      <x:c r="K19" s="1" t="s">
        <x:v>50</x:v>
      </x:c>
      <x:c r="L19" s="0" t="s">
        <x:v>51</x:v>
      </x:c>
      <x:c r="M19" s="0">
        <x:v>35</x:v>
      </x:c>
      <x:c r="N19" s="0">
        <x:f>""</x:f>
      </x:c>
      <x:c r="O19" s="0">
        <x:f>""</x:f>
      </x:c>
      <x:c r="P19" s="0">
        <x:f>""</x:f>
      </x:c>
      <x:c r="Q19" s="0">
        <x:f>""</x:f>
      </x:c>
      <x:c r="R19" s="0">
        <x:f>""</x:f>
      </x:c>
      <x:c r="S19" s="0">
        <x:f>""</x:f>
      </x:c>
      <x:c r="T19" s="0">
        <x:f>""</x:f>
      </x:c>
      <x:c r="W19" s="0">
        <x:f>""</x:f>
      </x:c>
    </x:row>
    <x:row r="20" spans="1:23" ht="45" customHeight="1" x14ac:dyDescent="0.25">
      <x:c r="A20" s="1">
        <x:f>ROW(A20)-1</x:f>
      </x:c>
      <x:c r="B20" s="10">
        <x:v>321</x:v>
      </x:c>
      <x:c r="C20" s="10" t="s">
        <x:v>43</x:v>
      </x:c>
      <x:c r="E20" s="10" t="s">
        <x:v>171</x:v>
      </x:c>
      <x:c r="F20" s="1" t="s">
        <x:v>172</x:v>
      </x:c>
      <x:c r="G20" s="10" t="s">
        <x:v>173</x:v>
      </x:c>
      <x:c r="H20" s="15" t="s">
        <x:v>174</x:v>
      </x:c>
      <x:c r="I20" s="15" t="s">
        <x:v>175</x:v>
      </x:c>
      <x:c r="J20" s="10">
        <x:v>3860</x:v>
      </x:c>
      <x:c r="K20" s="1" t="s">
        <x:v>176</x:v>
      </x:c>
      <x:c r="L20" s="0" t="s">
        <x:v>177</x:v>
      </x:c>
      <x:c r="M20" s="0">
        <x:v>2</x:v>
      </x:c>
      <x:c r="N20" s="0">
        <x:f>""</x:f>
      </x:c>
      <x:c r="O20" s="0">
        <x:f>""</x:f>
      </x:c>
      <x:c r="P20" s="0">
        <x:f>""</x:f>
      </x:c>
      <x:c r="Q20" s="0">
        <x:f>""</x:f>
      </x:c>
      <x:c r="R20" s="0">
        <x:f>""</x:f>
      </x:c>
      <x:c r="S20" s="0">
        <x:f>""</x:f>
      </x:c>
      <x:c r="T20" s="0">
        <x:f>""</x:f>
      </x:c>
      <x:c r="W20" s="0">
        <x:f>""</x:f>
      </x:c>
    </x:row>
    <x:row r="21" spans="1:23" ht="30" customHeight="1" x14ac:dyDescent="0.25">
      <x:c r="A21" s="1">
        <x:f>ROW(A21)-1</x:f>
      </x:c>
      <x:c r="B21" s="10">
        <x:v>329</x:v>
      </x:c>
      <x:c r="C21" s="10" t="s">
        <x:v>43</x:v>
      </x:c>
      <x:c r="E21" s="10" t="s">
        <x:v>178</x:v>
      </x:c>
      <x:c r="F21" s="1" t="s">
        <x:v>179</x:v>
      </x:c>
      <x:c r="G21" s="10" t="s">
        <x:v>180</x:v>
      </x:c>
      <x:c r="H21" s="15" t="s">
        <x:v>181</x:v>
      </x:c>
      <x:c r="I21" s="15" t="s">
        <x:v>182</x:v>
      </x:c>
      <x:c r="J21" s="10">
        <x:v>3943</x:v>
      </x:c>
      <x:c r="K21" s="1" t="s">
        <x:v>183</x:v>
      </x:c>
      <x:c r="L21" s="0" t="s">
        <x:v>184</x:v>
      </x:c>
      <x:c r="M21" s="0">
        <x:v>1</x:v>
      </x:c>
      <x:c r="N21" s="0">
        <x:f>""</x:f>
      </x:c>
      <x:c r="O21" s="0">
        <x:f>""</x:f>
      </x:c>
      <x:c r="P21" s="0">
        <x:f>""</x:f>
      </x:c>
      <x:c r="Q21" s="0">
        <x:f>""</x:f>
      </x:c>
      <x:c r="R21" s="0">
        <x:f>""</x:f>
      </x:c>
      <x:c r="S21" s="0">
        <x:f>""</x:f>
      </x:c>
      <x:c r="T21" s="0">
        <x:f>""</x:f>
      </x:c>
      <x:c r="W21" s="0">
        <x:f>""</x:f>
      </x:c>
    </x:row>
    <x:row r="22" spans="1:23" ht="45" customHeight="1" x14ac:dyDescent="0.25">
      <x:c r="A22" s="1">
        <x:f>ROW(A22)-1</x:f>
      </x:c>
      <x:c r="B22" s="10">
        <x:v>370</x:v>
      </x:c>
      <x:c r="C22" s="10" t="s">
        <x:v>43</x:v>
      </x:c>
      <x:c r="E22" s="10" t="s">
        <x:v>185</x:v>
      </x:c>
      <x:c r="F22" s="1" t="s">
        <x:v>186</x:v>
      </x:c>
      <x:c r="G22" s="10" t="s">
        <x:v>187</x:v>
      </x:c>
      <x:c r="H22" s="15" t="s">
        <x:v>188</x:v>
      </x:c>
      <x:c r="I22" s="15" t="s">
        <x:v>189</x:v>
      </x:c>
      <x:c r="J22" s="10">
        <x:v>3812</x:v>
      </x:c>
      <x:c r="K22" s="1" t="s">
        <x:v>190</x:v>
      </x:c>
      <x:c r="L22" s="0" t="s">
        <x:v>191</x:v>
      </x:c>
      <x:c r="M22" s="0">
        <x:v>2</x:v>
      </x:c>
      <x:c r="N22" s="0">
        <x:f>""</x:f>
      </x:c>
      <x:c r="O22" s="0">
        <x:f>""</x:f>
      </x:c>
      <x:c r="P22" s="0">
        <x:f>""</x:f>
      </x:c>
      <x:c r="Q22" s="0">
        <x:f>""</x:f>
      </x:c>
      <x:c r="R22" s="0">
        <x:f>""</x:f>
      </x:c>
      <x:c r="S22" s="0">
        <x:f>""</x:f>
      </x:c>
      <x:c r="T22" s="0">
        <x:f>""</x:f>
      </x:c>
      <x:c r="W22" s="0">
        <x:f>""</x:f>
      </x:c>
    </x:row>
    <x:row r="23" spans="1:23" ht="30" customHeight="1" x14ac:dyDescent="0.25">
      <x:c r="A23" s="1">
        <x:f>ROW(A23)-1</x:f>
      </x:c>
      <x:c r="B23" s="10">
        <x:v>3051</x:v>
      </x:c>
      <x:c r="C23" s="10" t="s">
        <x:v>43</x:v>
      </x:c>
      <x:c r="E23" s="10" t="s">
        <x:v>192</x:v>
      </x:c>
      <x:c r="F23" s="1" t="s">
        <x:v>193</x:v>
      </x:c>
      <x:c r="G23" s="10" t="s">
        <x:v>194</x:v>
      </x:c>
      <x:c r="H23" s="15" t="s">
        <x:v>195</x:v>
      </x:c>
      <x:c r="I23" s="15" t="s">
        <x:v>196</x:v>
      </x:c>
      <x:c r="J23" s="10">
        <x:v>3813</x:v>
      </x:c>
      <x:c r="K23" s="1" t="s">
        <x:v>197</x:v>
      </x:c>
      <x:c r="L23" s="0" t="s">
        <x:v>75</x:v>
      </x:c>
      <x:c r="M23" s="0">
        <x:v>52</x:v>
      </x:c>
      <x:c r="N23" s="0">
        <x:f>""</x:f>
      </x:c>
      <x:c r="O23" s="0">
        <x:f>""</x:f>
      </x:c>
      <x:c r="P23" s="0">
        <x:f>""</x:f>
      </x:c>
      <x:c r="Q23" s="0">
        <x:f>""</x:f>
      </x:c>
      <x:c r="R23" s="0">
        <x:f>""</x:f>
      </x:c>
      <x:c r="S23" s="0">
        <x:f>""</x:f>
      </x:c>
      <x:c r="T23" s="0">
        <x:f>""</x:f>
      </x:c>
      <x:c r="W23" s="0">
        <x:f>""</x:f>
      </x:c>
    </x:row>
    <x:row r="24" spans="1:23" ht="45" customHeight="1" x14ac:dyDescent="0.25">
      <x:c r="A24" s="1">
        <x:f>ROW(A24)-1</x:f>
      </x:c>
      <x:c r="C24" s="10" t="s">
        <x:v>43</x:v>
      </x:c>
      <x:c r="D24" s="10" t="s">
        <x:v>198</x:v>
      </x:c>
      <x:c r="G24" s="10"/>
      <x:c r="H24" s="15" t="s">
        <x:v>199</x:v>
      </x:c>
      <x:c r="I24" s="15" t="s">
        <x:v>200</x:v>
      </x:c>
      <x:c r="J24" s="10">
        <x:v>3500</x:v>
      </x:c>
      <x:c r="K24" s="1" t="s">
        <x:v>201</x:v>
      </x:c>
      <x:c r="L24" s="0" t="s">
        <x:v>202</x:v>
      </x:c>
      <x:c r="M24" s="0">
        <x:v>5</x:v>
      </x:c>
      <x:c r="N24" s="0">
        <x:f>""</x:f>
      </x:c>
      <x:c r="O24" s="0">
        <x:f>""</x:f>
      </x:c>
      <x:c r="P24" s="0">
        <x:f>""</x:f>
      </x:c>
      <x:c r="Q24" s="0">
        <x:f>""</x:f>
      </x:c>
      <x:c r="R24" s="0">
        <x:f>""</x:f>
      </x:c>
      <x:c r="S24" s="0">
        <x:f>""</x:f>
      </x:c>
      <x:c r="T24" s="0">
        <x:f>""</x:f>
      </x:c>
      <x:c r="W24" s="0">
        <x:f>""</x:f>
      </x:c>
    </x:row>
    <x:row r="25" spans="1:23" ht="30" customHeight="1" x14ac:dyDescent="0.25">
      <x:c r="A25" s="1">
        <x:f>ROW(A25)-1</x:f>
      </x:c>
      <x:c r="B25" s="10">
        <x:v>837</x:v>
      </x:c>
      <x:c r="C25" s="10" t="s">
        <x:v>43</x:v>
      </x:c>
      <x:c r="D25" s="10" t="s">
        <x:v>203</x:v>
      </x:c>
      <x:c r="E25" s="10" t="s">
        <x:v>204</x:v>
      </x:c>
      <x:c r="F25" s="1" t="s">
        <x:v>205</x:v>
      </x:c>
      <x:c r="G25" s="10" t="s">
        <x:v>204</x:v>
      </x:c>
      <x:c r="H25" s="15" t="s">
        <x:v>206</x:v>
      </x:c>
      <x:c r="I25" s="15" t="s">
        <x:v>207</x:v>
      </x:c>
      <x:c r="J25" s="10">
        <x:v>3730</x:v>
      </x:c>
      <x:c r="K25" s="1" t="s">
        <x:v>208</x:v>
      </x:c>
      <x:c r="L25" s="0" t="s">
        <x:v>209</x:v>
      </x:c>
      <x:c r="M25" s="0">
        <x:v>32</x:v>
      </x:c>
      <x:c r="N25" s="0">
        <x:f>""</x:f>
      </x:c>
      <x:c r="O25" s="0">
        <x:f>""</x:f>
      </x:c>
      <x:c r="P25" s="0">
        <x:f>""</x:f>
      </x:c>
      <x:c r="Q25" s="0">
        <x:f>""</x:f>
      </x:c>
      <x:c r="R25" s="0">
        <x:f>""</x:f>
      </x:c>
      <x:c r="S25" s="0">
        <x:f>""</x:f>
      </x:c>
      <x:c r="T25" s="0">
        <x:f>""</x:f>
      </x:c>
      <x:c r="W25" s="0">
        <x:f>""</x:f>
      </x:c>
    </x:row>
    <x:row r="26" spans="1:23" ht="75" customHeight="1" x14ac:dyDescent="0.25">
      <x:c r="A26" s="1">
        <x:f>ROW(A26)-1</x:f>
      </x:c>
      <x:c r="B26" s="10">
        <x:v>3124</x:v>
      </x:c>
      <x:c r="C26" s="10" t="s">
        <x:v>43</x:v>
      </x:c>
      <x:c r="D26" s="10" t="s">
        <x:v>210</x:v>
      </x:c>
      <x:c r="E26" s="10" t="s">
        <x:v>211</x:v>
      </x:c>
      <x:c r="F26" s="1" t="s">
        <x:v>212</x:v>
      </x:c>
      <x:c r="G26" s="10" t="s">
        <x:v>213</x:v>
      </x:c>
      <x:c r="H26" s="15" t="s">
        <x:v>214</x:v>
      </x:c>
      <x:c r="I26" s="15" t="s">
        <x:v>215</x:v>
      </x:c>
      <x:c r="J26" s="10">
        <x:v>3500</x:v>
      </x:c>
      <x:c r="K26" s="1" t="s">
        <x:v>201</x:v>
      </x:c>
      <x:c r="L26" s="0" t="s">
        <x:v>216</x:v>
      </x:c>
      <x:c r="M26" s="0">
        <x:v>18</x:v>
      </x:c>
      <x:c r="N26" s="0">
        <x:f>""</x:f>
      </x:c>
      <x:c r="O26" s="0">
        <x:f>""</x:f>
      </x:c>
      <x:c r="P26" s="0">
        <x:f>""</x:f>
      </x:c>
      <x:c r="Q26" s="0">
        <x:f>""</x:f>
      </x:c>
      <x:c r="R26" s="0">
        <x:f>""</x:f>
      </x:c>
      <x:c r="S26" s="0">
        <x:f>""</x:f>
      </x:c>
      <x:c r="T26" s="0">
        <x:f>""</x:f>
      </x:c>
      <x:c r="W26" s="0">
        <x:f>""</x:f>
      </x:c>
    </x:row>
    <x:row r="27" spans="1:23" ht="60" customHeight="1" x14ac:dyDescent="0.25">
      <x:c r="A27" s="1">
        <x:f>ROW(A27)-1</x:f>
      </x:c>
      <x:c r="B27" s="10">
        <x:v>3138</x:v>
      </x:c>
      <x:c r="C27" s="10" t="s">
        <x:v>43</x:v>
      </x:c>
      <x:c r="D27" s="10" t="s">
        <x:v>217</x:v>
      </x:c>
      <x:c r="E27" s="10" t="s">
        <x:v>218</x:v>
      </x:c>
      <x:c r="F27" s="1" t="s">
        <x:v>219</x:v>
      </x:c>
      <x:c r="G27" s="10" t="s">
        <x:v>220</x:v>
      </x:c>
      <x:c r="H27" s="15" t="s">
        <x:v>221</x:v>
      </x:c>
      <x:c r="I27" s="15" t="s">
        <x:v>222</x:v>
      </x:c>
      <x:c r="J27" s="10">
        <x:v>3500</x:v>
      </x:c>
      <x:c r="K27" s="1" t="s">
        <x:v>201</x:v>
      </x:c>
      <x:c r="L27" s="0" t="s">
        <x:v>223</x:v>
      </x:c>
      <x:c r="N27" s="0">
        <x:f>""</x:f>
      </x:c>
      <x:c r="O27" s="0">
        <x:f>""</x:f>
      </x:c>
      <x:c r="P27" s="0">
        <x:f>""</x:f>
      </x:c>
      <x:c r="Q27" s="0">
        <x:f>""</x:f>
      </x:c>
      <x:c r="R27" s="0">
        <x:f>""</x:f>
      </x:c>
      <x:c r="S27" s="0">
        <x:f>""</x:f>
      </x:c>
      <x:c r="T27" s="0">
        <x:f>""</x:f>
      </x:c>
      <x:c r="W27" s="0">
        <x:f>""</x:f>
      </x:c>
    </x:row>
    <x:row r="28" spans="1:23" ht="45" customHeight="1" x14ac:dyDescent="0.25">
      <x:c r="A28" s="1">
        <x:f>ROW(A28)-1</x:f>
      </x:c>
      <x:c r="B28" s="10">
        <x:v>3145</x:v>
      </x:c>
      <x:c r="C28" s="10" t="s">
        <x:v>43</x:v>
      </x:c>
      <x:c r="D28" s="10" t="s">
        <x:v>224</x:v>
      </x:c>
      <x:c r="E28" s="10" t="s">
        <x:v>225</x:v>
      </x:c>
      <x:c r="F28" s="1" t="s">
        <x:v>226</x:v>
      </x:c>
      <x:c r="G28" s="10" t="s">
        <x:v>227</x:v>
      </x:c>
      <x:c r="H28" s="15" t="s">
        <x:v>228</x:v>
      </x:c>
      <x:c r="I28" s="15" t="s">
        <x:v>229</x:v>
      </x:c>
      <x:c r="J28" s="10">
        <x:v>3500</x:v>
      </x:c>
      <x:c r="K28" s="1" t="s">
        <x:v>201</x:v>
      </x:c>
      <x:c r="L28" s="0" t="s">
        <x:v>230</x:v>
      </x:c>
      <x:c r="M28" s="0">
        <x:v>0</x:v>
      </x:c>
      <x:c r="N28" s="0">
        <x:f>""</x:f>
      </x:c>
      <x:c r="O28" s="0">
        <x:f>""</x:f>
      </x:c>
      <x:c r="P28" s="0">
        <x:f>""</x:f>
      </x:c>
      <x:c r="Q28" s="0">
        <x:f>""</x:f>
      </x:c>
      <x:c r="R28" s="0">
        <x:f>""</x:f>
      </x:c>
      <x:c r="S28" s="0">
        <x:f>""</x:f>
      </x:c>
      <x:c r="T28" s="0">
        <x:f>""</x:f>
      </x:c>
      <x:c r="W28" s="0">
        <x:f>""</x:f>
      </x:c>
    </x:row>
    <x:row r="29" spans="1:23" ht="30" customHeight="1" x14ac:dyDescent="0.25">
      <x:c r="A29" s="1">
        <x:f>ROW(A29)-1</x:f>
      </x:c>
      <x:c r="B29" s="10">
        <x:v>1132</x:v>
      </x:c>
      <x:c r="C29" s="10" t="s">
        <x:v>43</x:v>
      </x:c>
      <x:c r="E29" s="10" t="s">
        <x:v>231</x:v>
      </x:c>
      <x:c r="F29" s="1" t="s">
        <x:v>232</x:v>
      </x:c>
      <x:c r="G29" s="10" t="s">
        <x:v>233</x:v>
      </x:c>
      <x:c r="H29" s="15" t="s">
        <x:v>234</x:v>
      </x:c>
      <x:c r="I29" s="15" t="s">
        <x:v>235</x:v>
      </x:c>
      <x:c r="J29" s="10">
        <x:v>1030</x:v>
      </x:c>
      <x:c r="K29" s="1" t="s">
        <x:v>150</x:v>
      </x:c>
      <x:c r="L29" s="0" t="s">
        <x:v>236</x:v>
      </x:c>
      <x:c r="M29" s="0">
        <x:v>25</x:v>
      </x:c>
      <x:c r="N29" s="0">
        <x:f>""</x:f>
      </x:c>
      <x:c r="O29" s="0">
        <x:f>""</x:f>
      </x:c>
      <x:c r="P29" s="0">
        <x:f>""</x:f>
      </x:c>
      <x:c r="Q29" s="0">
        <x:f>""</x:f>
      </x:c>
      <x:c r="R29" s="0">
        <x:f>""</x:f>
      </x:c>
      <x:c r="S29" s="0">
        <x:f>""</x:f>
      </x:c>
      <x:c r="T29" s="0">
        <x:f>""</x:f>
      </x:c>
      <x:c r="W29" s="0">
        <x:f>""</x:f>
      </x:c>
    </x:row>
    <x:row r="30" spans="1:23" ht="45" customHeight="1" x14ac:dyDescent="0.25">
      <x:c r="A30" s="1">
        <x:f>ROW(A30)-1</x:f>
      </x:c>
      <x:c r="B30" s="10">
        <x:v>337</x:v>
      </x:c>
      <x:c r="C30" s="10" t="s">
        <x:v>43</x:v>
      </x:c>
      <x:c r="D30" s="10" t="s">
        <x:v>117</x:v>
      </x:c>
      <x:c r="E30" s="10" t="s">
        <x:v>237</x:v>
      </x:c>
      <x:c r="F30" s="1" t="s">
        <x:v>238</x:v>
      </x:c>
      <x:c r="G30" s="10" t="s">
        <x:v>213</x:v>
      </x:c>
      <x:c r="H30" s="15" t="s">
        <x:v>214</x:v>
      </x:c>
      <x:c r="I30" s="15" t="s">
        <x:v>215</x:v>
      </x:c>
      <x:c r="J30" s="10">
        <x:v>3502</x:v>
      </x:c>
      <x:c r="K30" s="1" t="s">
        <x:v>201</x:v>
      </x:c>
      <x:c r="L30" s="0" t="s">
        <x:v>216</x:v>
      </x:c>
      <x:c r="M30" s="0">
        <x:v>18</x:v>
      </x:c>
      <x:c r="N30" s="0">
        <x:f>""</x:f>
      </x:c>
      <x:c r="O30" s="0">
        <x:f>""</x:f>
      </x:c>
      <x:c r="P30" s="0">
        <x:f>""</x:f>
      </x:c>
      <x:c r="Q30" s="0">
        <x:f>""</x:f>
      </x:c>
      <x:c r="R30" s="0">
        <x:f>""</x:f>
      </x:c>
      <x:c r="S30" s="0">
        <x:f>""</x:f>
      </x:c>
      <x:c r="T30" s="0">
        <x:f>""</x:f>
      </x:c>
      <x:c r="W30" s="0">
        <x:f>""</x:f>
      </x:c>
    </x:row>
    <x:row r="31" spans="1:23" ht="75" customHeight="1" x14ac:dyDescent="0.25">
      <x:c r="A31" s="1">
        <x:f>ROW(A31)-1</x:f>
      </x:c>
      <x:c r="B31" s="10">
        <x:v>3021</x:v>
      </x:c>
      <x:c r="C31" s="10" t="s">
        <x:v>43</x:v>
      </x:c>
      <x:c r="D31" s="10" t="s">
        <x:v>239</x:v>
      </x:c>
      <x:c r="E31" s="10" t="s">
        <x:v>240</x:v>
      </x:c>
      <x:c r="F31" s="1" t="s">
        <x:v>241</x:v>
      </x:c>
      <x:c r="G31" s="10" t="s">
        <x:v>242</x:v>
      </x:c>
      <x:c r="H31" s="15" t="s">
        <x:v>243</x:v>
      </x:c>
      <x:c r="I31" s="15" t="s">
        <x:v>244</x:v>
      </x:c>
      <x:c r="J31" s="10">
        <x:v>3633</x:v>
      </x:c>
      <x:c r="K31" s="1" t="s">
        <x:v>245</x:v>
      </x:c>
      <x:c r="L31" s="0" t="s">
        <x:v>245</x:v>
      </x:c>
      <x:c r="M31" s="0">
        <x:v>2</x:v>
      </x:c>
      <x:c r="N31" s="0">
        <x:f>""</x:f>
      </x:c>
      <x:c r="O31" s="0">
        <x:f>""</x:f>
      </x:c>
      <x:c r="P31" s="0">
        <x:f>""</x:f>
      </x:c>
      <x:c r="Q31" s="0">
        <x:f>""</x:f>
      </x:c>
      <x:c r="R31" s="0">
        <x:f>""</x:f>
      </x:c>
      <x:c r="S31" s="0">
        <x:f>""</x:f>
      </x:c>
      <x:c r="T31" s="0">
        <x:f>""</x:f>
      </x:c>
      <x:c r="W31" s="0">
        <x:f>""</x:f>
      </x:c>
    </x:row>
    <x:row r="32" spans="1:23" x14ac:dyDescent="0.25">
      <x:c r="A32" s="1">
        <x:f>ROW(A32)-1</x:f>
      </x:c>
      <x:c r="B32" s="10">
        <x:v>3143</x:v>
      </x:c>
      <x:c r="C32" s="10" t="s">
        <x:v>43</x:v>
      </x:c>
      <x:c r="E32" s="10" t="s">
        <x:v>246</x:v>
      </x:c>
      <x:c r="G32" s="10"/>
      <x:c r="H32" s="15" t="s">
        <x:v>116</x:v>
      </x:c>
      <x:c r="I32" s="15"/>
      <x:c r="M32" s="0">
        <x:v>0</x:v>
      </x:c>
      <x:c r="N32" s="0">
        <x:f>""</x:f>
      </x:c>
      <x:c r="O32" s="0">
        <x:f>""</x:f>
      </x:c>
      <x:c r="P32" s="0">
        <x:f>""</x:f>
      </x:c>
      <x:c r="Q32" s="0">
        <x:f>""</x:f>
      </x:c>
      <x:c r="R32" s="0">
        <x:f>""</x:f>
      </x:c>
      <x:c r="S32" s="0">
        <x:f>""</x:f>
      </x:c>
      <x:c r="T32" s="0">
        <x:f>""</x:f>
      </x:c>
      <x:c r="W32" s="0">
        <x:f>""</x:f>
      </x:c>
    </x:row>
    <x:row r="33" spans="1:23" ht="30" customHeight="1" x14ac:dyDescent="0.25">
      <x:c r="A33" s="1">
        <x:f>ROW(A33)-1</x:f>
      </x:c>
      <x:c r="B33" s="10">
        <x:v>3166</x:v>
      </x:c>
      <x:c r="C33" s="10" t="s">
        <x:v>43</x:v>
      </x:c>
      <x:c r="D33" s="10" t="s">
        <x:v>203</x:v>
      </x:c>
      <x:c r="E33" s="10" t="s">
        <x:v>247</x:v>
      </x:c>
      <x:c r="F33" s="1" t="s">
        <x:v>248</x:v>
      </x:c>
      <x:c r="G33" s="10" t="s">
        <x:v>249</x:v>
      </x:c>
      <x:c r="H33" s="15" t="s">
        <x:v>116</x:v>
      </x:c>
      <x:c r="I33" s="15" t="s">
        <x:v>250</x:v>
      </x:c>
      <x:c r="J33" s="10">
        <x:v>3571</x:v>
      </x:c>
      <x:c r="K33" s="1" t="s">
        <x:v>58</x:v>
      </x:c>
      <x:c r="L33" s="0" t="s">
        <x:v>251</x:v>
      </x:c>
      <x:c r="M33" s="0">
        <x:v>55</x:v>
      </x:c>
      <x:c r="N33" s="0">
        <x:f>""</x:f>
      </x:c>
      <x:c r="O33" s="0">
        <x:f>""</x:f>
      </x:c>
      <x:c r="P33" s="0">
        <x:f>""</x:f>
      </x:c>
      <x:c r="Q33" s="0">
        <x:f>""</x:f>
      </x:c>
      <x:c r="R33" s="0">
        <x:f>""</x:f>
      </x:c>
      <x:c r="S33" s="0">
        <x:f>""</x:f>
      </x:c>
      <x:c r="T33" s="0">
        <x:f>""</x:f>
      </x:c>
      <x:c r="W33" s="0">
        <x:f>""</x:f>
      </x:c>
    </x:row>
    <x:row r="34" spans="1:23" ht="30" customHeight="1" x14ac:dyDescent="0.25">
      <x:c r="A34" s="1">
        <x:f>ROW(A34)-1</x:f>
      </x:c>
      <x:c r="B34" s="10">
        <x:v>737</x:v>
      </x:c>
      <x:c r="C34" s="10" t="s">
        <x:v>43</x:v>
      </x:c>
      <x:c r="E34" s="10" t="s">
        <x:v>252</x:v>
      </x:c>
      <x:c r="G34" s="10"/>
      <x:c r="H34" s="15" t="s">
        <x:v>116</x:v>
      </x:c>
      <x:c r="I34" s="15"/>
      <x:c r="M34" s="0">
        <x:v>0</x:v>
      </x:c>
      <x:c r="N34" s="0">
        <x:f>""</x:f>
      </x:c>
      <x:c r="O34" s="0">
        <x:f>""</x:f>
      </x:c>
      <x:c r="P34" s="0">
        <x:f>""</x:f>
      </x:c>
      <x:c r="Q34" s="0">
        <x:f>""</x:f>
      </x:c>
      <x:c r="R34" s="0">
        <x:f>""</x:f>
      </x:c>
      <x:c r="S34" s="0">
        <x:f>""</x:f>
      </x:c>
      <x:c r="T34" s="0">
        <x:f>""</x:f>
      </x:c>
      <x:c r="W34" s="0">
        <x:f>""</x:f>
      </x:c>
    </x:row>
    <x:row r="35" spans="1:23" x14ac:dyDescent="0.25">
      <x:c r="A35" s="1">
        <x:f>ROW(A35)-1</x:f>
      </x:c>
      <x:c r="B35" s="10">
        <x:v>851</x:v>
      </x:c>
      <x:c r="C35" s="10" t="s">
        <x:v>43</x:v>
      </x:c>
      <x:c r="E35" s="10" t="s">
        <x:v>253</x:v>
      </x:c>
      <x:c r="G35" s="10"/>
      <x:c r="H35" s="15" t="s">
        <x:v>254</x:v>
      </x:c>
      <x:c r="I35" s="15"/>
      <x:c r="M35" s="0">
        <x:v>0</x:v>
      </x:c>
      <x:c r="N35" s="0">
        <x:f>""</x:f>
      </x:c>
      <x:c r="O35" s="0">
        <x:f>""</x:f>
      </x:c>
      <x:c r="P35" s="0">
        <x:f>""</x:f>
      </x:c>
      <x:c r="Q35" s="0">
        <x:f>""</x:f>
      </x:c>
      <x:c r="R35" s="0">
        <x:f>""</x:f>
      </x:c>
      <x:c r="S35" s="0">
        <x:f>""</x:f>
      </x:c>
      <x:c r="T35" s="0">
        <x:f>""</x:f>
      </x:c>
      <x:c r="W35" s="0">
        <x:f>""</x:f>
      </x:c>
    </x:row>
    <x:row r="36" spans="1:23" x14ac:dyDescent="0.25">
      <x:c r="A36" s="1">
        <x:f>ROW(A36)-1</x:f>
      </x:c>
      <x:c r="B36" s="10">
        <x:v>856</x:v>
      </x:c>
      <x:c r="C36" s="10" t="s">
        <x:v>43</x:v>
      </x:c>
      <x:c r="E36" s="10" t="s">
        <x:v>255</x:v>
      </x:c>
      <x:c r="G36" s="10"/>
      <x:c r="H36" s="15" t="s">
        <x:v>116</x:v>
      </x:c>
      <x:c r="I36" s="15"/>
      <x:c r="M36" s="0">
        <x:v>0</x:v>
      </x:c>
      <x:c r="N36" s="0">
        <x:f>""</x:f>
      </x:c>
      <x:c r="O36" s="0">
        <x:f>""</x:f>
      </x:c>
      <x:c r="P36" s="0">
        <x:f>""</x:f>
      </x:c>
      <x:c r="Q36" s="0">
        <x:f>""</x:f>
      </x:c>
      <x:c r="R36" s="0">
        <x:f>""</x:f>
      </x:c>
      <x:c r="S36" s="0">
        <x:f>""</x:f>
      </x:c>
      <x:c r="T36" s="0">
        <x:f>""</x:f>
      </x:c>
      <x:c r="W36" s="0">
        <x:f>""</x:f>
      </x:c>
    </x:row>
    <x:row r="37" spans="1:23" x14ac:dyDescent="0.25">
      <x:c r="A37" s="1">
        <x:f>ROW(A37)-1</x:f>
      </x:c>
      <x:c r="B37" s="10">
        <x:v>774</x:v>
      </x:c>
      <x:c r="C37" s="10" t="s">
        <x:v>43</x:v>
      </x:c>
      <x:c r="D37" s="10" t="s">
        <x:v>256</x:v>
      </x:c>
      <x:c r="E37" s="10" t="s">
        <x:v>257</x:v>
      </x:c>
      <x:c r="G37" s="10"/>
      <x:c r="H37" s="15" t="s">
        <x:v>116</x:v>
      </x:c>
      <x:c r="I37" s="15"/>
      <x:c r="M37" s="0">
        <x:v>0</x:v>
      </x:c>
      <x:c r="N37" s="0">
        <x:f>""</x:f>
      </x:c>
      <x:c r="O37" s="0">
        <x:f>""</x:f>
      </x:c>
      <x:c r="P37" s="0">
        <x:f>""</x:f>
      </x:c>
      <x:c r="Q37" s="0">
        <x:f>""</x:f>
      </x:c>
      <x:c r="R37" s="0">
        <x:f>""</x:f>
      </x:c>
      <x:c r="S37" s="0">
        <x:f>""</x:f>
      </x:c>
      <x:c r="T37" s="0">
        <x:f>""</x:f>
      </x:c>
      <x:c r="W37" s="0">
        <x:f>""</x:f>
      </x:c>
    </x:row>
    <x:row r="38" spans="1:23" x14ac:dyDescent="0.25">
      <x:c r="A38" s="1">
        <x:f>ROW(A38)-1</x:f>
      </x:c>
      <x:c r="B38" s="10">
        <x:v>814</x:v>
      </x:c>
      <x:c r="C38" s="10" t="s">
        <x:v>43</x:v>
      </x:c>
      <x:c r="E38" s="10" t="s">
        <x:v>258</x:v>
      </x:c>
      <x:c r="G38" s="10"/>
      <x:c r="H38" s="15" t="s">
        <x:v>116</x:v>
      </x:c>
      <x:c r="I38" s="15"/>
      <x:c r="M38" s="0">
        <x:v>0</x:v>
      </x:c>
      <x:c r="N38" s="0">
        <x:f>""</x:f>
      </x:c>
      <x:c r="O38" s="0">
        <x:f>""</x:f>
      </x:c>
      <x:c r="P38" s="0">
        <x:f>""</x:f>
      </x:c>
      <x:c r="Q38" s="0">
        <x:f>""</x:f>
      </x:c>
      <x:c r="R38" s="0">
        <x:f>""</x:f>
      </x:c>
      <x:c r="S38" s="0">
        <x:f>""</x:f>
      </x:c>
      <x:c r="T38" s="0">
        <x:f>""</x:f>
      </x:c>
      <x:c r="W38" s="0">
        <x:f>""</x:f>
      </x:c>
    </x:row>
    <x:row r="39" spans="1:23" ht="60" customHeight="1" x14ac:dyDescent="0.25">
      <x:c r="A39" s="1">
        <x:f>ROW(A39)-1</x:f>
      </x:c>
      <x:c r="B39" s="10">
        <x:v>445</x:v>
      </x:c>
      <x:c r="C39" s="10" t="s">
        <x:v>43</x:v>
      </x:c>
      <x:c r="D39" s="10" t="s">
        <x:v>259</x:v>
      </x:c>
      <x:c r="E39" s="10" t="s">
        <x:v>260</x:v>
      </x:c>
      <x:c r="F39" s="1" t="s">
        <x:v>261</x:v>
      </x:c>
      <x:c r="G39" s="10" t="s">
        <x:v>262</x:v>
      </x:c>
      <x:c r="H39" s="15" t="s">
        <x:v>116</x:v>
      </x:c>
      <x:c r="I39" s="15"/>
      <x:c r="J39" s="10">
        <x:v>3860</x:v>
      </x:c>
      <x:c r="K39" s="1" t="s">
        <x:v>176</x:v>
      </x:c>
      <x:c r="L39" s="0" t="s">
        <x:v>263</x:v>
      </x:c>
      <x:c r="M39" s="0">
        <x:v>10</x:v>
      </x:c>
      <x:c r="N39" s="0">
        <x:f>""</x:f>
      </x:c>
      <x:c r="O39" s="0">
        <x:f>""</x:f>
      </x:c>
      <x:c r="P39" s="0">
        <x:f>""</x:f>
      </x:c>
      <x:c r="Q39" s="0">
        <x:f>""</x:f>
      </x:c>
      <x:c r="R39" s="0">
        <x:f>""</x:f>
      </x:c>
      <x:c r="S39" s="0">
        <x:f>""</x:f>
      </x:c>
      <x:c r="T39" s="0">
        <x:f>""</x:f>
      </x:c>
      <x:c r="W39" s="0">
        <x:f>""</x:f>
      </x:c>
    </x:row>
    <x:row r="40" spans="1:23" ht="90" customHeight="1" x14ac:dyDescent="0.25">
      <x:c r="A40" s="1">
        <x:f>ROW(A40)-1</x:f>
      </x:c>
      <x:c r="B40" s="10">
        <x:v>307</x:v>
      </x:c>
      <x:c r="C40" s="10" t="s">
        <x:v>43</x:v>
      </x:c>
      <x:c r="D40" s="10" t="s">
        <x:v>264</x:v>
      </x:c>
      <x:c r="E40" s="10" t="s">
        <x:v>265</x:v>
      </x:c>
      <x:c r="G40" s="10"/>
      <x:c r="H40" s="15" t="s">
        <x:v>116</x:v>
      </x:c>
      <x:c r="I40" s="15"/>
      <x:c r="J40" s="10">
        <x:v>3743</x:v>
      </x:c>
      <x:c r="K40" s="1" t="s">
        <x:v>266</x:v>
      </x:c>
      <x:c r="L40" s="0" t="s">
        <x:v>267</x:v>
      </x:c>
      <x:c r="M40" s="0">
        <x:v>46</x:v>
      </x:c>
      <x:c r="N40" s="0">
        <x:f>""</x:f>
      </x:c>
      <x:c r="O40" s="0">
        <x:f>""</x:f>
      </x:c>
      <x:c r="P40" s="0">
        <x:f>""</x:f>
      </x:c>
      <x:c r="Q40" s="0">
        <x:f>""</x:f>
      </x:c>
      <x:c r="R40" s="0">
        <x:f>""</x:f>
      </x:c>
      <x:c r="S40" s="0">
        <x:f>""</x:f>
      </x:c>
      <x:c r="T40" s="0">
        <x:f>""</x:f>
      </x:c>
      <x:c r="W40" s="0">
        <x:f>""</x:f>
      </x:c>
    </x:row>
    <x:row r="41" spans="1:23" ht="30" customHeight="1" x14ac:dyDescent="0.25">
      <x:c r="A41" s="1">
        <x:f>ROW(A41)-1</x:f>
      </x:c>
      <x:c r="B41" s="10">
        <x:v>497</x:v>
      </x:c>
      <x:c r="C41" s="10" t="s">
        <x:v>43</x:v>
      </x:c>
      <x:c r="D41" s="10" t="s">
        <x:v>224</x:v>
      </x:c>
      <x:c r="E41" s="10" t="s">
        <x:v>268</x:v>
      </x:c>
      <x:c r="F41" s="1" t="s">
        <x:v>126</x:v>
      </x:c>
      <x:c r="G41" s="10" t="s">
        <x:v>269</x:v>
      </x:c>
      <x:c r="H41" s="15" t="s">
        <x:v>116</x:v>
      </x:c>
      <x:c r="I41" s="15"/>
      <x:c r="J41" s="10">
        <x:v>3902</x:v>
      </x:c>
      <x:c r="K41" s="1" t="s">
        <x:v>270</x:v>
      </x:c>
      <x:c r="L41" s="0" t="s">
        <x:v>271</x:v>
      </x:c>
      <x:c r="M41" s="0">
        <x:v>5</x:v>
      </x:c>
      <x:c r="N41" s="0">
        <x:f>""</x:f>
      </x:c>
      <x:c r="O41" s="0">
        <x:f>""</x:f>
      </x:c>
      <x:c r="P41" s="0">
        <x:f>""</x:f>
      </x:c>
      <x:c r="Q41" s="0">
        <x:f>""</x:f>
      </x:c>
      <x:c r="R41" s="0">
        <x:f>""</x:f>
      </x:c>
      <x:c r="S41" s="0">
        <x:f>""</x:f>
      </x:c>
      <x:c r="T41" s="0">
        <x:f>""</x:f>
      </x:c>
      <x:c r="W41" s="0">
        <x:f>""</x:f>
      </x:c>
    </x:row>
    <x:row r="42" spans="1:23" ht="60" customHeight="1" x14ac:dyDescent="0.25">
      <x:c r="A42" s="1">
        <x:f>ROW(A42)-1</x:f>
      </x:c>
      <x:c r="B42" s="10">
        <x:v>479</x:v>
      </x:c>
      <x:c r="C42" s="10" t="s">
        <x:v>43</x:v>
      </x:c>
      <x:c r="D42" s="10" t="s">
        <x:v>272</x:v>
      </x:c>
      <x:c r="E42" s="10" t="s">
        <x:v>273</x:v>
      </x:c>
      <x:c r="F42" s="1" t="s">
        <x:v>274</x:v>
      </x:c>
      <x:c r="G42" s="10" t="s">
        <x:v>275</x:v>
      </x:c>
      <x:c r="H42" s="15" t="s">
        <x:v>116</x:v>
      </x:c>
      <x:c r="I42" s="15"/>
      <x:c r="J42" s="10">
        <x:v>3532</x:v>
      </x:c>
      <x:c r="K42" s="1" t="s">
        <x:v>276</x:v>
      </x:c>
      <x:c r="L42" s="0" t="s">
        <x:v>276</x:v>
      </x:c>
      <x:c r="M42" s="0">
        <x:v>173</x:v>
      </x:c>
      <x:c r="N42" s="0">
        <x:f>""</x:f>
      </x:c>
      <x:c r="O42" s="0">
        <x:f>""</x:f>
      </x:c>
      <x:c r="P42" s="0">
        <x:f>""</x:f>
      </x:c>
      <x:c r="Q42" s="0">
        <x:f>""</x:f>
      </x:c>
      <x:c r="R42" s="0">
        <x:f>""</x:f>
      </x:c>
      <x:c r="S42" s="0">
        <x:f>""</x:f>
      </x:c>
      <x:c r="T42" s="0">
        <x:f>""</x:f>
      </x:c>
      <x:c r="W42" s="0">
        <x:f>""</x:f>
      </x:c>
    </x:row>
    <x:row r="43" spans="1:23" ht="30" customHeight="1" x14ac:dyDescent="0.25">
      <x:c r="A43" s="1">
        <x:f>ROW(A43)-1</x:f>
      </x:c>
      <x:c r="B43" s="10">
        <x:v>567</x:v>
      </x:c>
      <x:c r="C43" s="10" t="s">
        <x:v>43</x:v>
      </x:c>
      <x:c r="D43" s="10" t="s">
        <x:v>277</x:v>
      </x:c>
      <x:c r="E43" s="10" t="s">
        <x:v>278</x:v>
      </x:c>
      <x:c r="F43" s="1" t="s">
        <x:v>279</x:v>
      </x:c>
      <x:c r="G43" s="10" t="s">
        <x:v>280</x:v>
      </x:c>
      <x:c r="H43" s="15" t="s">
        <x:v>281</x:v>
      </x:c>
      <x:c r="I43" s="15" t="s">
        <x:v>282</x:v>
      </x:c>
      <x:c r="J43" s="10">
        <x:v>3591</x:v>
      </x:c>
      <x:c r="K43" s="1" t="s">
        <x:v>283</x:v>
      </x:c>
      <x:c r="L43" s="0" t="s">
        <x:v>284</x:v>
      </x:c>
      <x:c r="M43" s="0">
        <x:v>13</x:v>
      </x:c>
      <x:c r="N43" s="0">
        <x:f>""</x:f>
      </x:c>
      <x:c r="O43" s="0">
        <x:f>""</x:f>
      </x:c>
      <x:c r="P43" s="0">
        <x:f>""</x:f>
      </x:c>
      <x:c r="Q43" s="0">
        <x:f>""</x:f>
      </x:c>
      <x:c r="R43" s="0">
        <x:f>""</x:f>
      </x:c>
      <x:c r="S43" s="0">
        <x:f>""</x:f>
      </x:c>
      <x:c r="T43" s="0">
        <x:f>""</x:f>
      </x:c>
      <x:c r="W43" s="0">
        <x:f>""</x:f>
      </x:c>
    </x:row>
    <x:row r="44" spans="1:23" ht="30" customHeight="1" x14ac:dyDescent="0.25">
      <x:c r="A44" s="1">
        <x:f>ROW(A44)-1</x:f>
      </x:c>
      <x:c r="B44" s="10">
        <x:v>562</x:v>
      </x:c>
      <x:c r="C44" s="10" t="s">
        <x:v>43</x:v>
      </x:c>
      <x:c r="D44" s="10" t="s">
        <x:v>285</x:v>
      </x:c>
      <x:c r="E44" s="10" t="s">
        <x:v>286</x:v>
      </x:c>
      <x:c r="G44" s="10"/>
      <x:c r="H44" s="15" t="s">
        <x:v>287</x:v>
      </x:c>
      <x:c r="I44" s="15" t="s">
        <x:v>288</x:v>
      </x:c>
      <x:c r="J44" s="10">
        <x:v>3753</x:v>
      </x:c>
      <x:c r="K44" s="1" t="s">
        <x:v>289</x:v>
      </x:c>
      <x:c r="L44" s="0" t="s">
        <x:v>289</x:v>
      </x:c>
      <x:c r="M44" s="0">
        <x:v>1</x:v>
      </x:c>
      <x:c r="N44" s="0">
        <x:f>""</x:f>
      </x:c>
      <x:c r="O44" s="0">
        <x:f>""</x:f>
      </x:c>
      <x:c r="P44" s="0">
        <x:f>""</x:f>
      </x:c>
      <x:c r="Q44" s="0">
        <x:f>""</x:f>
      </x:c>
      <x:c r="R44" s="0">
        <x:f>""</x:f>
      </x:c>
      <x:c r="S44" s="0">
        <x:f>""</x:f>
      </x:c>
      <x:c r="T44" s="0">
        <x:f>""</x:f>
      </x:c>
      <x:c r="W44" s="0">
        <x:f>""</x:f>
      </x:c>
    </x:row>
    <x:row r="45" spans="1:23" ht="75" customHeight="1" x14ac:dyDescent="0.25">
      <x:c r="A45" s="1">
        <x:f>ROW(A45)-1</x:f>
      </x:c>
      <x:c r="B45" s="10">
        <x:v>609</x:v>
      </x:c>
      <x:c r="C45" s="10" t="s">
        <x:v>43</x:v>
      </x:c>
      <x:c r="D45" s="10" t="s">
        <x:v>290</x:v>
      </x:c>
      <x:c r="E45" s="10" t="s">
        <x:v>291</x:v>
      </x:c>
      <x:c r="F45" s="1" t="s">
        <x:v>54</x:v>
      </x:c>
      <x:c r="G45" s="10" t="s">
        <x:v>55</x:v>
      </x:c>
      <x:c r="H45" s="15" t="s">
        <x:v>56</x:v>
      </x:c>
      <x:c r="I45" s="15" t="s">
        <x:v>57</x:v>
      </x:c>
      <x:c r="J45" s="10">
        <x:v>3571</x:v>
      </x:c>
      <x:c r="K45" s="1" t="s">
        <x:v>58</x:v>
      </x:c>
      <x:c r="L45" s="0" t="s">
        <x:v>158</x:v>
      </x:c>
      <x:c r="M45" s="0">
        <x:v>113</x:v>
      </x:c>
      <x:c r="N45" s="0">
        <x:f>""</x:f>
      </x:c>
      <x:c r="O45" s="0">
        <x:f>""</x:f>
      </x:c>
      <x:c r="P45" s="0">
        <x:f>""</x:f>
      </x:c>
      <x:c r="Q45" s="0">
        <x:f>""</x:f>
      </x:c>
      <x:c r="R45" s="0">
        <x:f>""</x:f>
      </x:c>
      <x:c r="S45" s="0">
        <x:f>""</x:f>
      </x:c>
      <x:c r="T45" s="0">
        <x:f>""</x:f>
      </x:c>
      <x:c r="W45" s="0">
        <x:f>""</x:f>
      </x:c>
    </x:row>
    <x:row r="46" spans="1:23" ht="45" customHeight="1" x14ac:dyDescent="0.25">
      <x:c r="A46" s="1">
        <x:f>ROW(A46)-1</x:f>
      </x:c>
      <x:c r="B46" s="10">
        <x:v>481</x:v>
      </x:c>
      <x:c r="C46" s="10" t="s">
        <x:v>43</x:v>
      </x:c>
      <x:c r="D46" s="10" t="s">
        <x:v>292</x:v>
      </x:c>
      <x:c r="E46" s="10" t="s">
        <x:v>293</x:v>
      </x:c>
      <x:c r="G46" s="10"/>
      <x:c r="H46" s="15" t="s">
        <x:v>116</x:v>
      </x:c>
      <x:c r="I46" s="15"/>
      <x:c r="J46" s="10">
        <x:v>3903</x:v>
      </x:c>
      <x:c r="K46" s="1" t="s">
        <x:v>294</x:v>
      </x:c>
      <x:c r="L46" s="0" t="s">
        <x:v>294</x:v>
      </x:c>
      <x:c r="M46" s="0">
        <x:v>21</x:v>
      </x:c>
      <x:c r="N46" s="0">
        <x:f>""</x:f>
      </x:c>
      <x:c r="O46" s="0">
        <x:f>""</x:f>
      </x:c>
      <x:c r="P46" s="0">
        <x:f>""</x:f>
      </x:c>
      <x:c r="Q46" s="0">
        <x:f>""</x:f>
      </x:c>
      <x:c r="R46" s="0">
        <x:f>""</x:f>
      </x:c>
      <x:c r="S46" s="0">
        <x:f>""</x:f>
      </x:c>
      <x:c r="T46" s="0">
        <x:f>""</x:f>
      </x:c>
      <x:c r="W46" s="0">
        <x:f>""</x:f>
      </x:c>
    </x:row>
    <x:row r="47" spans="1:23" ht="60" customHeight="1" x14ac:dyDescent="0.25">
      <x:c r="A47" s="1">
        <x:f>ROW(A47)-1</x:f>
      </x:c>
      <x:c r="B47" s="10">
        <x:v>363</x:v>
      </x:c>
      <x:c r="C47" s="10" t="s">
        <x:v>43</x:v>
      </x:c>
      <x:c r="D47" s="10" t="s">
        <x:v>295</x:v>
      </x:c>
      <x:c r="E47" s="10" t="s">
        <x:v>296</x:v>
      </x:c>
      <x:c r="G47" s="10"/>
      <x:c r="H47" s="15" t="s">
        <x:v>116</x:v>
      </x:c>
      <x:c r="I47" s="15"/>
      <x:c r="J47" s="10">
        <x:v>3830</x:v>
      </x:c>
      <x:c r="K47" s="1" t="s">
        <x:v>297</x:v>
      </x:c>
      <x:c r="L47" s="0" t="s">
        <x:v>298</x:v>
      </x:c>
      <x:c r="M47" s="0">
        <x:v>45</x:v>
      </x:c>
      <x:c r="N47" s="0">
        <x:f>""</x:f>
      </x:c>
      <x:c r="O47" s="0">
        <x:f>""</x:f>
      </x:c>
      <x:c r="P47" s="0">
        <x:f>""</x:f>
      </x:c>
      <x:c r="Q47" s="0">
        <x:f>""</x:f>
      </x:c>
      <x:c r="R47" s="0">
        <x:f>""</x:f>
      </x:c>
      <x:c r="S47" s="0">
        <x:f>""</x:f>
      </x:c>
      <x:c r="T47" s="0">
        <x:f>""</x:f>
      </x:c>
      <x:c r="W47" s="0">
        <x:f>""</x:f>
      </x:c>
    </x:row>
    <x:row r="48" spans="1:23" ht="120" customHeight="1" x14ac:dyDescent="0.25">
      <x:c r="A48" s="1">
        <x:f>ROW(A48)-1</x:f>
      </x:c>
      <x:c r="B48" s="10">
        <x:v>303</x:v>
      </x:c>
      <x:c r="C48" s="10" t="s">
        <x:v>43</x:v>
      </x:c>
      <x:c r="D48" s="10" t="s">
        <x:v>299</x:v>
      </x:c>
      <x:c r="E48" s="10" t="s">
        <x:v>300</x:v>
      </x:c>
      <x:c r="F48" s="1" t="s">
        <x:v>301</x:v>
      </x:c>
      <x:c r="G48" s="10" t="s">
        <x:v>302</x:v>
      </x:c>
      <x:c r="H48" s="15" t="s">
        <x:v>116</x:v>
      </x:c>
      <x:c r="I48" s="15"/>
      <x:c r="J48" s="10">
        <x:v>3830</x:v>
      </x:c>
      <x:c r="K48" s="1" t="s">
        <x:v>297</x:v>
      </x:c>
      <x:c r="L48" s="0" t="s">
        <x:v>303</x:v>
      </x:c>
      <x:c r="M48" s="0">
        <x:v>7</x:v>
      </x:c>
      <x:c r="N48" s="0">
        <x:f>""</x:f>
      </x:c>
      <x:c r="O48" s="0">
        <x:f>""</x:f>
      </x:c>
      <x:c r="P48" s="0">
        <x:f>""</x:f>
      </x:c>
      <x:c r="Q48" s="0">
        <x:f>""</x:f>
      </x:c>
      <x:c r="R48" s="0">
        <x:f>""</x:f>
      </x:c>
      <x:c r="S48" s="0">
        <x:f>""</x:f>
      </x:c>
      <x:c r="T48" s="0">
        <x:f>""</x:f>
      </x:c>
      <x:c r="W48" s="0">
        <x:f>""</x:f>
      </x:c>
    </x:row>
    <x:row r="49" spans="1:23" ht="30" customHeight="1" x14ac:dyDescent="0.25">
      <x:c r="A49" s="1">
        <x:f>ROW(A49)-1</x:f>
      </x:c>
      <x:c r="B49" s="10">
        <x:v>366</x:v>
      </x:c>
      <x:c r="C49" s="10" t="s">
        <x:v>43</x:v>
      </x:c>
      <x:c r="E49" s="10" t="s">
        <x:v>304</x:v>
      </x:c>
      <x:c r="G49" s="10"/>
      <x:c r="H49" s="15" t="s">
        <x:v>116</x:v>
      </x:c>
      <x:c r="I49" s="15"/>
      <x:c r="J49" s="10">
        <x:v>3852</x:v>
      </x:c>
      <x:c r="K49" s="1" t="s">
        <x:v>305</x:v>
      </x:c>
      <x:c r="L49" s="0" t="s">
        <x:v>306</x:v>
      </x:c>
      <x:c r="M49" s="0">
        <x:v>15</x:v>
      </x:c>
      <x:c r="N49" s="0">
        <x:f>""</x:f>
      </x:c>
      <x:c r="O49" s="0">
        <x:f>""</x:f>
      </x:c>
      <x:c r="P49" s="0">
        <x:f>""</x:f>
      </x:c>
      <x:c r="Q49" s="0">
        <x:f>""</x:f>
      </x:c>
      <x:c r="R49" s="0">
        <x:f>""</x:f>
      </x:c>
      <x:c r="S49" s="0">
        <x:f>""</x:f>
      </x:c>
      <x:c r="T49" s="0">
        <x:f>""</x:f>
      </x:c>
      <x:c r="W49" s="0">
        <x:f>""</x:f>
      </x:c>
    </x:row>
    <x:row r="50" spans="1:23" ht="120" customHeight="1" x14ac:dyDescent="0.25">
      <x:c r="A50" s="1">
        <x:f>ROW(A50)-1</x:f>
      </x:c>
      <x:c r="B50" s="10">
        <x:v>322</x:v>
      </x:c>
      <x:c r="C50" s="10" t="s">
        <x:v>43</x:v>
      </x:c>
      <x:c r="D50" s="10" t="s">
        <x:v>307</x:v>
      </x:c>
      <x:c r="E50" s="10" t="s">
        <x:v>308</x:v>
      </x:c>
      <x:c r="G50" s="10"/>
      <x:c r="H50" s="15" t="s">
        <x:v>116</x:v>
      </x:c>
      <x:c r="I50" s="15"/>
      <x:c r="J50" s="10">
        <x:v>3902</x:v>
      </x:c>
      <x:c r="K50" s="1" t="s">
        <x:v>270</x:v>
      </x:c>
      <x:c r="L50" s="0" t="s">
        <x:v>309</x:v>
      </x:c>
      <x:c r="M50" s="0">
        <x:v>3</x:v>
      </x:c>
      <x:c r="N50" s="0">
        <x:f>""</x:f>
      </x:c>
      <x:c r="O50" s="0">
        <x:f>""</x:f>
      </x:c>
      <x:c r="P50" s="0">
        <x:f>""</x:f>
      </x:c>
      <x:c r="Q50" s="0">
        <x:f>""</x:f>
      </x:c>
      <x:c r="R50" s="0">
        <x:f>""</x:f>
      </x:c>
      <x:c r="S50" s="0">
        <x:f>""</x:f>
      </x:c>
      <x:c r="T50" s="0">
        <x:f>""</x:f>
      </x:c>
      <x:c r="W50" s="0">
        <x:f>""</x:f>
      </x:c>
    </x:row>
    <x:row r="51" spans="1:23" ht="75" customHeight="1" x14ac:dyDescent="0.25">
      <x:c r="A51" s="1">
        <x:f>ROW(A51)-1</x:f>
      </x:c>
      <x:c r="B51" s="10">
        <x:v>396</x:v>
      </x:c>
      <x:c r="C51" s="10" t="s">
        <x:v>43</x:v>
      </x:c>
      <x:c r="D51" s="10" t="s">
        <x:v>310</x:v>
      </x:c>
      <x:c r="E51" s="10" t="s">
        <x:v>311</x:v>
      </x:c>
      <x:c r="F51" s="1" t="s">
        <x:v>312</x:v>
      </x:c>
      <x:c r="G51" s="10" t="s">
        <x:v>262</x:v>
      </x:c>
      <x:c r="H51" s="15" t="s">
        <x:v>116</x:v>
      </x:c>
      <x:c r="I51" s="15"/>
      <x:c r="J51" s="10">
        <x:v>3754</x:v>
      </x:c>
      <x:c r="K51" s="1" t="s">
        <x:v>313</x:v>
      </x:c>
      <x:c r="L51" s="0" t="s">
        <x:v>314</x:v>
      </x:c>
      <x:c r="M51" s="0">
        <x:v>10</x:v>
      </x:c>
      <x:c r="N51" s="0">
        <x:f>""</x:f>
      </x:c>
      <x:c r="O51" s="0">
        <x:f>""</x:f>
      </x:c>
      <x:c r="P51" s="0">
        <x:f>""</x:f>
      </x:c>
      <x:c r="Q51" s="0">
        <x:f>""</x:f>
      </x:c>
      <x:c r="R51" s="0">
        <x:f>""</x:f>
      </x:c>
      <x:c r="S51" s="0">
        <x:f>""</x:f>
      </x:c>
      <x:c r="T51" s="0">
        <x:f>""</x:f>
      </x:c>
      <x:c r="W51" s="0">
        <x:f>""</x:f>
      </x:c>
    </x:row>
    <x:row r="52" spans="1:23" ht="75" customHeight="1" x14ac:dyDescent="0.25">
      <x:c r="A52" s="1">
        <x:f>ROW(A52)-1</x:f>
      </x:c>
      <x:c r="B52" s="10">
        <x:v>476</x:v>
      </x:c>
      <x:c r="C52" s="10" t="s">
        <x:v>43</x:v>
      </x:c>
      <x:c r="D52" s="10" t="s">
        <x:v>315</x:v>
      </x:c>
      <x:c r="E52" s="10" t="s">
        <x:v>316</x:v>
      </x:c>
      <x:c r="F52" s="1" t="s">
        <x:v>317</x:v>
      </x:c>
      <x:c r="G52" s="10" t="s">
        <x:v>318</x:v>
      </x:c>
      <x:c r="H52" s="15" t="s">
        <x:v>116</x:v>
      </x:c>
      <x:c r="I52" s="15"/>
      <x:c r="J52" s="10">
        <x:v>3631</x:v>
      </x:c>
      <x:c r="K52" s="1" t="s">
        <x:v>319</x:v>
      </x:c>
      <x:c r="L52" s="0" t="s">
        <x:v>320</x:v>
      </x:c>
      <x:c r="M52" s="0">
        <x:v>37</x:v>
      </x:c>
      <x:c r="N52" s="0">
        <x:f>""</x:f>
      </x:c>
      <x:c r="O52" s="0">
        <x:f>""</x:f>
      </x:c>
      <x:c r="P52" s="0">
        <x:f>""</x:f>
      </x:c>
      <x:c r="Q52" s="0">
        <x:f>""</x:f>
      </x:c>
      <x:c r="R52" s="0">
        <x:f>""</x:f>
      </x:c>
      <x:c r="S52" s="0">
        <x:f>""</x:f>
      </x:c>
      <x:c r="T52" s="0">
        <x:f>""</x:f>
      </x:c>
      <x:c r="W52" s="0">
        <x:f>""</x:f>
      </x:c>
    </x:row>
    <x:row r="53" spans="1:23" ht="75" customHeight="1" x14ac:dyDescent="0.25">
      <x:c r="A53" s="1">
        <x:f>ROW(A53)-1</x:f>
      </x:c>
      <x:c r="B53" s="10">
        <x:v>442</x:v>
      </x:c>
      <x:c r="C53" s="10" t="s">
        <x:v>43</x:v>
      </x:c>
      <x:c r="D53" s="10" t="s">
        <x:v>321</x:v>
      </x:c>
      <x:c r="E53" s="10" t="s">
        <x:v>322</x:v>
      </x:c>
      <x:c r="G53" s="10"/>
      <x:c r="H53" s="15" t="s">
        <x:v>116</x:v>
      </x:c>
      <x:c r="I53" s="15"/>
      <x:c r="J53" s="10">
        <x:v>3761</x:v>
      </x:c>
      <x:c r="K53" s="1" t="s">
        <x:v>323</x:v>
      </x:c>
      <x:c r="L53" s="0" t="s">
        <x:v>323</x:v>
      </x:c>
      <x:c r="M53" s="0">
        <x:v>9</x:v>
      </x:c>
      <x:c r="N53" s="0">
        <x:f>""</x:f>
      </x:c>
      <x:c r="O53" s="0">
        <x:f>""</x:f>
      </x:c>
      <x:c r="P53" s="0">
        <x:f>""</x:f>
      </x:c>
      <x:c r="Q53" s="0">
        <x:f>""</x:f>
      </x:c>
      <x:c r="R53" s="0">
        <x:f>""</x:f>
      </x:c>
      <x:c r="S53" s="0">
        <x:f>""</x:f>
      </x:c>
      <x:c r="T53" s="0">
        <x:f>""</x:f>
      </x:c>
      <x:c r="W53" s="0">
        <x:f>""</x:f>
      </x:c>
    </x:row>
    <x:row r="54" spans="1:23" ht="30" customHeight="1" x14ac:dyDescent="0.25">
      <x:c r="A54" s="1">
        <x:f>ROW(A54)-1</x:f>
      </x:c>
      <x:c r="B54" s="10">
        <x:v>487</x:v>
      </x:c>
      <x:c r="C54" s="10" t="s">
        <x:v>43</x:v>
      </x:c>
      <x:c r="D54" s="10" t="s">
        <x:v>324</x:v>
      </x:c>
      <x:c r="E54" s="10" t="s">
        <x:v>325</x:v>
      </x:c>
      <x:c r="F54" s="1" t="s">
        <x:v>326</x:v>
      </x:c>
      <x:c r="G54" s="10" t="s">
        <x:v>47</x:v>
      </x:c>
      <x:c r="H54" s="15" t="s">
        <x:v>327</x:v>
      </x:c>
      <x:c r="I54" s="15" t="s">
        <x:v>328</x:v>
      </x:c>
      <x:c r="J54" s="10">
        <x:v>3580</x:v>
      </x:c>
      <x:c r="K54" s="1" t="s">
        <x:v>329</x:v>
      </x:c>
      <x:c r="L54" s="0" t="s">
        <x:v>298</x:v>
      </x:c>
      <x:c r="M54" s="0">
        <x:v>80</x:v>
      </x:c>
      <x:c r="N54" s="0">
        <x:f>""</x:f>
      </x:c>
      <x:c r="O54" s="0">
        <x:f>""</x:f>
      </x:c>
      <x:c r="P54" s="0">
        <x:f>""</x:f>
      </x:c>
      <x:c r="Q54" s="0">
        <x:f>""</x:f>
      </x:c>
      <x:c r="R54" s="0">
        <x:f>""</x:f>
      </x:c>
      <x:c r="S54" s="0">
        <x:f>""</x:f>
      </x:c>
      <x:c r="T54" s="0">
        <x:f>""</x:f>
      </x:c>
      <x:c r="W54" s="0">
        <x:f>""</x:f>
      </x:c>
    </x:row>
    <x:row r="55" spans="1:23" ht="45" customHeight="1" x14ac:dyDescent="0.25">
      <x:c r="A55" s="1">
        <x:f>ROW(A55)-1</x:f>
      </x:c>
      <x:c r="B55" s="10">
        <x:v>483</x:v>
      </x:c>
      <x:c r="C55" s="10" t="s">
        <x:v>43</x:v>
      </x:c>
      <x:c r="D55" s="10" t="s">
        <x:v>330</x:v>
      </x:c>
      <x:c r="E55" s="10" t="s">
        <x:v>331</x:v>
      </x:c>
      <x:c r="F55" s="1" t="s">
        <x:v>332</x:v>
      </x:c>
      <x:c r="G55" s="10" t="s">
        <x:v>333</x:v>
      </x:c>
      <x:c r="H55" s="15" t="s">
        <x:v>116</x:v>
      </x:c>
      <x:c r="I55" s="15"/>
      <x:c r="J55" s="10">
        <x:v>2070</x:v>
      </x:c>
      <x:c r="K55" s="1" t="s">
        <x:v>334</x:v>
      </x:c>
      <x:c r="L55" s="0" t="s">
        <x:v>335</x:v>
      </x:c>
      <x:c r="M55" s="0">
        <x:v>17</x:v>
      </x:c>
      <x:c r="N55" s="0">
        <x:f>""</x:f>
      </x:c>
      <x:c r="O55" s="0">
        <x:f>""</x:f>
      </x:c>
      <x:c r="P55" s="0">
        <x:f>""</x:f>
      </x:c>
      <x:c r="Q55" s="0">
        <x:f>""</x:f>
      </x:c>
      <x:c r="R55" s="0">
        <x:f>""</x:f>
      </x:c>
      <x:c r="S55" s="0">
        <x:f>""</x:f>
      </x:c>
      <x:c r="T55" s="0">
        <x:f>""</x:f>
      </x:c>
      <x:c r="W55" s="0">
        <x:f>""</x:f>
      </x:c>
    </x:row>
    <x:row r="56" spans="1:23" ht="30" customHeight="1" x14ac:dyDescent="0.25">
      <x:c r="A56" s="1">
        <x:f>ROW(A56)-1</x:f>
      </x:c>
      <x:c r="B56" s="10">
        <x:v>433</x:v>
      </x:c>
      <x:c r="C56" s="10" t="s">
        <x:v>43</x:v>
      </x:c>
      <x:c r="D56" s="10" t="s">
        <x:v>336</x:v>
      </x:c>
      <x:c r="E56" s="10" t="s">
        <x:v>337</x:v>
      </x:c>
      <x:c r="G56" s="10"/>
      <x:c r="H56" s="15" t="s">
        <x:v>116</x:v>
      </x:c>
      <x:c r="I56" s="15"/>
      <x:c r="J56" s="10">
        <x:v>3943</x:v>
      </x:c>
      <x:c r="K56" s="1" t="s">
        <x:v>183</x:v>
      </x:c>
      <x:c r="L56" s="0" t="s">
        <x:v>338</x:v>
      </x:c>
      <x:c r="M56" s="0">
        <x:v>14</x:v>
      </x:c>
      <x:c r="N56" s="0">
        <x:f>""</x:f>
      </x:c>
      <x:c r="O56" s="0">
        <x:f>""</x:f>
      </x:c>
      <x:c r="P56" s="0">
        <x:f>""</x:f>
      </x:c>
      <x:c r="Q56" s="0">
        <x:f>""</x:f>
      </x:c>
      <x:c r="R56" s="0">
        <x:f>""</x:f>
      </x:c>
      <x:c r="S56" s="0">
        <x:f>""</x:f>
      </x:c>
      <x:c r="T56" s="0">
        <x:f>""</x:f>
      </x:c>
      <x:c r="W56" s="0">
        <x:f>""</x:f>
      </x:c>
    </x:row>
    <x:row r="57" spans="1:23" ht="60" customHeight="1" x14ac:dyDescent="0.25">
      <x:c r="A57" s="1">
        <x:f>ROW(A57)-1</x:f>
      </x:c>
      <x:c r="B57" s="10">
        <x:v>600</x:v>
      </x:c>
      <x:c r="C57" s="10" t="s">
        <x:v>43</x:v>
      </x:c>
      <x:c r="D57" s="10" t="s">
        <x:v>117</x:v>
      </x:c>
      <x:c r="E57" s="10" t="s">
        <x:v>339</x:v>
      </x:c>
      <x:c r="F57" s="1" t="s">
        <x:v>332</x:v>
      </x:c>
      <x:c r="G57" s="10" t="s">
        <x:v>340</x:v>
      </x:c>
      <x:c r="H57" s="15" t="s">
        <x:v>341</x:v>
      </x:c>
      <x:c r="I57" s="15"/>
      <x:c r="J57" s="10">
        <x:v>3830</x:v>
      </x:c>
      <x:c r="K57" s="1" t="s">
        <x:v>297</x:v>
      </x:c>
      <x:c r="L57" s="0" t="s">
        <x:v>342</x:v>
      </x:c>
      <x:c r="M57" s="0">
        <x:v>28</x:v>
      </x:c>
      <x:c r="N57" s="0">
        <x:f>""</x:f>
      </x:c>
      <x:c r="O57" s="0">
        <x:f>""</x:f>
      </x:c>
      <x:c r="P57" s="0">
        <x:f>""</x:f>
      </x:c>
      <x:c r="Q57" s="0">
        <x:f>""</x:f>
      </x:c>
      <x:c r="R57" s="0">
        <x:f>""</x:f>
      </x:c>
      <x:c r="S57" s="0">
        <x:f>""</x:f>
      </x:c>
      <x:c r="T57" s="0">
        <x:f>""</x:f>
      </x:c>
      <x:c r="W57" s="0">
        <x:f>""</x:f>
      </x:c>
    </x:row>
    <x:row r="58" spans="1:23" ht="135" customHeight="1" x14ac:dyDescent="0.25">
      <x:c r="A58" s="1">
        <x:f>ROW(A58)-1</x:f>
      </x:c>
      <x:c r="B58" s="10">
        <x:v>395</x:v>
      </x:c>
      <x:c r="C58" s="10" t="s">
        <x:v>43</x:v>
      </x:c>
      <x:c r="D58" s="10" t="s">
        <x:v>343</x:v>
      </x:c>
      <x:c r="E58" s="10" t="s">
        <x:v>344</x:v>
      </x:c>
      <x:c r="F58" s="1" t="s">
        <x:v>345</x:v>
      </x:c>
      <x:c r="G58" s="10" t="s">
        <x:v>346</x:v>
      </x:c>
      <x:c r="H58" s="15" t="s">
        <x:v>347</x:v>
      </x:c>
      <x:c r="I58" s="15" t="s">
        <x:v>348</x:v>
      </x:c>
      <x:c r="J58" s="10">
        <x:v>3830</x:v>
      </x:c>
      <x:c r="K58" s="1" t="s">
        <x:v>297</x:v>
      </x:c>
      <x:c r="L58" s="0" t="s">
        <x:v>349</x:v>
      </x:c>
      <x:c r="M58" s="0">
        <x:v>2</x:v>
      </x:c>
      <x:c r="N58" s="0">
        <x:f>""</x:f>
      </x:c>
      <x:c r="O58" s="0">
        <x:f>""</x:f>
      </x:c>
      <x:c r="P58" s="0">
        <x:f>""</x:f>
      </x:c>
      <x:c r="Q58" s="0">
        <x:f>""</x:f>
      </x:c>
      <x:c r="R58" s="0">
        <x:f>""</x:f>
      </x:c>
      <x:c r="S58" s="0">
        <x:f>""</x:f>
      </x:c>
      <x:c r="T58" s="0">
        <x:f>""</x:f>
      </x:c>
      <x:c r="W58" s="0">
        <x:f>""</x:f>
      </x:c>
    </x:row>
    <x:row r="59" spans="1:23" ht="60" customHeight="1" x14ac:dyDescent="0.25">
      <x:c r="A59" s="1">
        <x:f>ROW(A59)-1</x:f>
      </x:c>
      <x:c r="B59" s="10">
        <x:v>550</x:v>
      </x:c>
      <x:c r="C59" s="10" t="s">
        <x:v>43</x:v>
      </x:c>
      <x:c r="D59" s="10" t="s">
        <x:v>350</x:v>
      </x:c>
      <x:c r="E59" s="10" t="s">
        <x:v>351</x:v>
      </x:c>
      <x:c r="F59" s="1" t="s">
        <x:v>352</x:v>
      </x:c>
      <x:c r="G59" s="10" t="s">
        <x:v>353</x:v>
      </x:c>
      <x:c r="H59" s="15" t="s">
        <x:v>116</x:v>
      </x:c>
      <x:c r="I59" s="15"/>
      <x:c r="J59" s="10">
        <x:v>3830</x:v>
      </x:c>
      <x:c r="K59" s="1" t="s">
        <x:v>297</x:v>
      </x:c>
      <x:c r="L59" s="0" t="s">
        <x:v>354</x:v>
      </x:c>
      <x:c r="M59" s="0">
        <x:v>12</x:v>
      </x:c>
      <x:c r="N59" s="0">
        <x:f>""</x:f>
      </x:c>
      <x:c r="O59" s="0">
        <x:f>""</x:f>
      </x:c>
      <x:c r="P59" s="0">
        <x:f>""</x:f>
      </x:c>
      <x:c r="Q59" s="0">
        <x:f>""</x:f>
      </x:c>
      <x:c r="R59" s="0">
        <x:f>""</x:f>
      </x:c>
      <x:c r="S59" s="0">
        <x:f>""</x:f>
      </x:c>
      <x:c r="T59" s="0">
        <x:f>""</x:f>
      </x:c>
      <x:c r="W59" s="0">
        <x:f>""</x:f>
      </x:c>
    </x:row>
    <x:row r="60" spans="1:23" ht="45" customHeight="1" x14ac:dyDescent="0.25">
      <x:c r="A60" s="1">
        <x:f>ROW(A60)-1</x:f>
      </x:c>
      <x:c r="B60" s="10">
        <x:v>348</x:v>
      </x:c>
      <x:c r="C60" s="10" t="s">
        <x:v>43</x:v>
      </x:c>
      <x:c r="D60" s="10" t="s">
        <x:v>117</x:v>
      </x:c>
      <x:c r="E60" s="10" t="s">
        <x:v>355</x:v>
      </x:c>
      <x:c r="F60" s="1" t="s">
        <x:v>356</x:v>
      </x:c>
      <x:c r="G60" s="10" t="s">
        <x:v>357</x:v>
      </x:c>
      <x:c r="H60" s="15" t="s">
        <x:v>358</x:v>
      </x:c>
      <x:c r="I60" s="15" t="s">
        <x:v>359</x:v>
      </x:c>
      <x:c r="J60" s="10">
        <x:v>3753</x:v>
      </x:c>
      <x:c r="K60" s="1" t="s">
        <x:v>360</x:v>
      </x:c>
      <x:c r="L60" s="0" t="s">
        <x:v>361</x:v>
      </x:c>
      <x:c r="M60" s="0">
        <x:v>53</x:v>
      </x:c>
      <x:c r="N60" s="0">
        <x:f>""</x:f>
      </x:c>
      <x:c r="O60" s="0">
        <x:f>""</x:f>
      </x:c>
      <x:c r="P60" s="0">
        <x:f>""</x:f>
      </x:c>
      <x:c r="Q60" s="0">
        <x:f>""</x:f>
      </x:c>
      <x:c r="R60" s="0">
        <x:f>""</x:f>
      </x:c>
      <x:c r="S60" s="0">
        <x:f>""</x:f>
      </x:c>
      <x:c r="T60" s="0">
        <x:f>""</x:f>
      </x:c>
      <x:c r="W60" s="0">
        <x:f>""</x:f>
      </x:c>
    </x:row>
    <x:row r="61" spans="1:23" ht="60" customHeight="1" x14ac:dyDescent="0.25">
      <x:c r="A61" s="1">
        <x:f>ROW(A61)-1</x:f>
      </x:c>
      <x:c r="B61" s="10">
        <x:v>618</x:v>
      </x:c>
      <x:c r="C61" s="10" t="s">
        <x:v>43</x:v>
      </x:c>
      <x:c r="D61" s="10" t="s">
        <x:v>362</x:v>
      </x:c>
      <x:c r="E61" s="10" t="s">
        <x:v>363</x:v>
      </x:c>
      <x:c r="G61" s="10"/>
      <x:c r="H61" s="15" t="s">
        <x:v>116</x:v>
      </x:c>
      <x:c r="I61" s="15"/>
      <x:c r="J61" s="10">
        <x:v>3834</x:v>
      </x:c>
      <x:c r="K61" s="1" t="s">
        <x:v>364</x:v>
      </x:c>
      <x:c r="L61" s="0" t="s">
        <x:v>365</x:v>
      </x:c>
      <x:c r="M61" s="0">
        <x:v>33</x:v>
      </x:c>
      <x:c r="N61" s="0">
        <x:f>""</x:f>
      </x:c>
      <x:c r="O61" s="0">
        <x:f>""</x:f>
      </x:c>
      <x:c r="P61" s="0">
        <x:f>""</x:f>
      </x:c>
      <x:c r="Q61" s="0">
        <x:f>""</x:f>
      </x:c>
      <x:c r="R61" s="0">
        <x:f>""</x:f>
      </x:c>
      <x:c r="S61" s="0">
        <x:f>""</x:f>
      </x:c>
      <x:c r="T61" s="0">
        <x:f>""</x:f>
      </x:c>
      <x:c r="W61" s="0">
        <x:f>""</x:f>
      </x:c>
    </x:row>
    <x:row r="62" spans="1:23" ht="60" customHeight="1" x14ac:dyDescent="0.25">
      <x:c r="A62" s="1">
        <x:f>ROW(A62)-1</x:f>
      </x:c>
      <x:c r="B62" s="10">
        <x:v>561</x:v>
      </x:c>
      <x:c r="C62" s="10" t="s">
        <x:v>43</x:v>
      </x:c>
      <x:c r="D62" s="10" t="s">
        <x:v>366</x:v>
      </x:c>
      <x:c r="E62" s="10" t="s">
        <x:v>367</x:v>
      </x:c>
      <x:c r="F62" s="1" t="s">
        <x:v>368</x:v>
      </x:c>
      <x:c r="G62" s="10" t="s">
        <x:v>369</x:v>
      </x:c>
      <x:c r="H62" s="15" t="s">
        <x:v>116</x:v>
      </x:c>
      <x:c r="I62" s="15"/>
      <x:c r="J62" s="10">
        <x:v>3713</x:v>
      </x:c>
      <x:c r="K62" s="1" t="s">
        <x:v>370</x:v>
      </x:c>
      <x:c r="L62" s="0" t="s">
        <x:v>371</x:v>
      </x:c>
      <x:c r="M62" s="0">
        <x:v>41</x:v>
      </x:c>
      <x:c r="N62" s="0">
        <x:f>""</x:f>
      </x:c>
      <x:c r="O62" s="0">
        <x:f>""</x:f>
      </x:c>
      <x:c r="P62" s="0">
        <x:f>""</x:f>
      </x:c>
      <x:c r="Q62" s="0">
        <x:f>""</x:f>
      </x:c>
      <x:c r="R62" s="0">
        <x:f>""</x:f>
      </x:c>
      <x:c r="S62" s="0">
        <x:f>""</x:f>
      </x:c>
      <x:c r="T62" s="0">
        <x:f>""</x:f>
      </x:c>
      <x:c r="W62" s="0">
        <x:f>""</x:f>
      </x:c>
    </x:row>
    <x:row r="63" spans="1:23" ht="105" customHeight="1" x14ac:dyDescent="0.25">
      <x:c r="A63" s="1">
        <x:f>ROW(A63)-1</x:f>
      </x:c>
      <x:c r="B63" s="10">
        <x:v>302</x:v>
      </x:c>
      <x:c r="C63" s="10" t="s">
        <x:v>43</x:v>
      </x:c>
      <x:c r="D63" s="10" t="s">
        <x:v>372</x:v>
      </x:c>
      <x:c r="E63" s="10" t="s">
        <x:v>373</x:v>
      </x:c>
      <x:c r="F63" s="1" t="s">
        <x:v>274</x:v>
      </x:c>
      <x:c r="G63" s="10" t="s">
        <x:v>374</x:v>
      </x:c>
      <x:c r="H63" s="15" t="s">
        <x:v>116</x:v>
      </x:c>
      <x:c r="I63" s="15"/>
      <x:c r="J63" s="10">
        <x:v>3592</x:v>
      </x:c>
      <x:c r="K63" s="1" t="s">
        <x:v>375</x:v>
      </x:c>
      <x:c r="L63" s="0" t="s">
        <x:v>375</x:v>
      </x:c>
      <x:c r="M63" s="0">
        <x:v>35</x:v>
      </x:c>
      <x:c r="N63" s="0">
        <x:f>""</x:f>
      </x:c>
      <x:c r="O63" s="0">
        <x:f>""</x:f>
      </x:c>
      <x:c r="P63" s="0">
        <x:f>""</x:f>
      </x:c>
      <x:c r="Q63" s="0">
        <x:f>""</x:f>
      </x:c>
      <x:c r="R63" s="0">
        <x:f>""</x:f>
      </x:c>
      <x:c r="S63" s="0">
        <x:f>""</x:f>
      </x:c>
      <x:c r="T63" s="0">
        <x:f>""</x:f>
      </x:c>
      <x:c r="W63" s="0">
        <x:f>""</x:f>
      </x:c>
    </x:row>
    <x:row r="64" spans="1:23" ht="75" customHeight="1" x14ac:dyDescent="0.25">
      <x:c r="A64" s="1">
        <x:f>ROW(A64)-1</x:f>
      </x:c>
      <x:c r="B64" s="10">
        <x:v>673</x:v>
      </x:c>
      <x:c r="C64" s="10" t="s">
        <x:v>43</x:v>
      </x:c>
      <x:c r="D64" s="10" t="s">
        <x:v>376</x:v>
      </x:c>
      <x:c r="E64" s="10" t="s">
        <x:v>377</x:v>
      </x:c>
      <x:c r="F64" s="1" t="s">
        <x:v>186</x:v>
      </x:c>
      <x:c r="G64" s="10" t="s">
        <x:v>187</x:v>
      </x:c>
      <x:c r="H64" s="15" t="s">
        <x:v>116</x:v>
      </x:c>
      <x:c r="I64" s="15"/>
      <x:c r="J64" s="10">
        <x:v>3812</x:v>
      </x:c>
      <x:c r="K64" s="1" t="s">
        <x:v>378</x:v>
      </x:c>
      <x:c r="L64" s="0" t="s">
        <x:v>191</x:v>
      </x:c>
      <x:c r="M64" s="0">
        <x:v>2</x:v>
      </x:c>
      <x:c r="N64" s="0">
        <x:f>""</x:f>
      </x:c>
      <x:c r="O64" s="0">
        <x:f>""</x:f>
      </x:c>
      <x:c r="P64" s="0">
        <x:f>""</x:f>
      </x:c>
      <x:c r="Q64" s="0">
        <x:f>""</x:f>
      </x:c>
      <x:c r="R64" s="0">
        <x:f>""</x:f>
      </x:c>
      <x:c r="S64" s="0">
        <x:f>""</x:f>
      </x:c>
      <x:c r="T64" s="0">
        <x:f>""</x:f>
      </x:c>
      <x:c r="W64" s="0">
        <x:f>""</x:f>
      </x:c>
    </x:row>
    <x:row r="65" spans="1:23" ht="75" customHeight="1" x14ac:dyDescent="0.25">
      <x:c r="A65" s="1">
        <x:f>ROW(A65)-1</x:f>
      </x:c>
      <x:c r="B65" s="10">
        <x:v>671</x:v>
      </x:c>
      <x:c r="C65" s="10" t="s">
        <x:v>43</x:v>
      </x:c>
      <x:c r="D65" s="10" t="s">
        <x:v>379</x:v>
      </x:c>
      <x:c r="E65" s="10" t="s">
        <x:v>380</x:v>
      </x:c>
      <x:c r="F65" s="1" t="s">
        <x:v>274</x:v>
      </x:c>
      <x:c r="G65" s="10" t="s">
        <x:v>381</x:v>
      </x:c>
      <x:c r="H65" s="15" t="s">
        <x:v>116</x:v>
      </x:c>
      <x:c r="I65" s="15"/>
      <x:c r="J65" s="10">
        <x:v>3943</x:v>
      </x:c>
      <x:c r="K65" s="1" t="s">
        <x:v>183</x:v>
      </x:c>
      <x:c r="L65" s="0" t="s">
        <x:v>338</x:v>
      </x:c>
      <x:c r="M65" s="0">
        <x:v>3</x:v>
      </x:c>
      <x:c r="N65" s="0">
        <x:f>""</x:f>
      </x:c>
      <x:c r="O65" s="0">
        <x:f>""</x:f>
      </x:c>
      <x:c r="P65" s="0">
        <x:f>""</x:f>
      </x:c>
      <x:c r="Q65" s="0">
        <x:f>""</x:f>
      </x:c>
      <x:c r="R65" s="0">
        <x:f>""</x:f>
      </x:c>
      <x:c r="S65" s="0">
        <x:f>""</x:f>
      </x:c>
      <x:c r="T65" s="0">
        <x:f>""</x:f>
      </x:c>
      <x:c r="W65" s="0">
        <x:f>""</x:f>
      </x:c>
    </x:row>
    <x:row r="66" spans="1:23" ht="75" customHeight="1" x14ac:dyDescent="0.25">
      <x:c r="A66" s="1">
        <x:f>ROW(A66)-1</x:f>
      </x:c>
      <x:c r="B66" s="10">
        <x:v>666</x:v>
      </x:c>
      <x:c r="C66" s="10" t="s">
        <x:v>43</x:v>
      </x:c>
      <x:c r="D66" s="10" t="s">
        <x:v>382</x:v>
      </x:c>
      <x:c r="E66" s="10" t="s">
        <x:v>383</x:v>
      </x:c>
      <x:c r="F66" s="1" t="s">
        <x:v>317</x:v>
      </x:c>
      <x:c r="G66" s="10" t="s">
        <x:v>384</x:v>
      </x:c>
      <x:c r="H66" s="15" t="s">
        <x:v>116</x:v>
      </x:c>
      <x:c r="I66" s="15"/>
      <x:c r="J66" s="10">
        <x:v>3812</x:v>
      </x:c>
      <x:c r="K66" s="1" t="s">
        <x:v>378</x:v>
      </x:c>
      <x:c r="L66" s="0" t="s">
        <x:v>385</x:v>
      </x:c>
      <x:c r="M66" s="0">
        <x:v>16</x:v>
      </x:c>
      <x:c r="N66" s="0">
        <x:f>""</x:f>
      </x:c>
      <x:c r="O66" s="0">
        <x:f>""</x:f>
      </x:c>
      <x:c r="P66" s="0">
        <x:f>""</x:f>
      </x:c>
      <x:c r="Q66" s="0">
        <x:f>""</x:f>
      </x:c>
      <x:c r="R66" s="0">
        <x:f>""</x:f>
      </x:c>
      <x:c r="S66" s="0">
        <x:f>""</x:f>
      </x:c>
      <x:c r="T66" s="0">
        <x:f>""</x:f>
      </x:c>
      <x:c r="W66" s="0">
        <x:f>""</x:f>
      </x:c>
    </x:row>
    <x:row r="67" spans="1:23" ht="90" customHeight="1" x14ac:dyDescent="0.25">
      <x:c r="A67" s="1">
        <x:f>ROW(A67)-1</x:f>
      </x:c>
      <x:c r="B67" s="10">
        <x:v>664</x:v>
      </x:c>
      <x:c r="C67" s="10" t="s">
        <x:v>43</x:v>
      </x:c>
      <x:c r="D67" s="10" t="s">
        <x:v>386</x:v>
      </x:c>
      <x:c r="E67" s="10" t="s">
        <x:v>387</x:v>
      </x:c>
      <x:c r="F67" s="1" t="s">
        <x:v>388</x:v>
      </x:c>
      <x:c r="G67" s="10" t="s">
        <x:v>389</x:v>
      </x:c>
      <x:c r="H67" s="15" t="s">
        <x:v>116</x:v>
      </x:c>
      <x:c r="I67" s="15"/>
      <x:c r="J67" s="10">
        <x:v>3943</x:v>
      </x:c>
      <x:c r="K67" s="1" t="s">
        <x:v>183</x:v>
      </x:c>
      <x:c r="L67" s="0" t="s">
        <x:v>338</x:v>
      </x:c>
      <x:c r="M67" s="0">
        <x:v>22</x:v>
      </x:c>
      <x:c r="N67" s="0">
        <x:f>""</x:f>
      </x:c>
      <x:c r="O67" s="0">
        <x:f>""</x:f>
      </x:c>
      <x:c r="P67" s="0">
        <x:f>""</x:f>
      </x:c>
      <x:c r="Q67" s="0">
        <x:f>""</x:f>
      </x:c>
      <x:c r="R67" s="0">
        <x:f>""</x:f>
      </x:c>
      <x:c r="S67" s="0">
        <x:f>""</x:f>
      </x:c>
      <x:c r="T67" s="0">
        <x:f>""</x:f>
      </x:c>
      <x:c r="W67" s="0">
        <x:f>""</x:f>
      </x:c>
    </x:row>
    <x:row r="68" spans="1:23" ht="120" customHeight="1" x14ac:dyDescent="0.25">
      <x:c r="A68" s="1">
        <x:f>ROW(A68)-1</x:f>
      </x:c>
      <x:c r="B68" s="10">
        <x:v>688</x:v>
      </x:c>
      <x:c r="C68" s="10" t="s">
        <x:v>43</x:v>
      </x:c>
      <x:c r="D68" s="10" t="s">
        <x:v>390</x:v>
      </x:c>
      <x:c r="E68" s="10" t="s">
        <x:v>391</x:v>
      </x:c>
      <x:c r="F68" s="1" t="s">
        <x:v>392</x:v>
      </x:c>
      <x:c r="G68" s="10" t="s">
        <x:v>393</x:v>
      </x:c>
      <x:c r="H68" s="15" t="s">
        <x:v>116</x:v>
      </x:c>
      <x:c r="I68" s="15"/>
      <x:c r="J68" s="10">
        <x:v>3820</x:v>
      </x:c>
      <x:c r="K68" s="1" t="s">
        <x:v>394</x:v>
      </x:c>
      <x:c r="L68" s="0" t="s">
        <x:v>395</x:v>
      </x:c>
      <x:c r="M68" s="0">
        <x:v>15</x:v>
      </x:c>
      <x:c r="N68" s="0">
        <x:f>""</x:f>
      </x:c>
      <x:c r="O68" s="0">
        <x:f>""</x:f>
      </x:c>
      <x:c r="P68" s="0">
        <x:f>""</x:f>
      </x:c>
      <x:c r="Q68" s="0">
        <x:f>""</x:f>
      </x:c>
      <x:c r="R68" s="0">
        <x:f>""</x:f>
      </x:c>
      <x:c r="S68" s="0">
        <x:f>""</x:f>
      </x:c>
      <x:c r="T68" s="0">
        <x:f>""</x:f>
      </x:c>
      <x:c r="W68" s="0">
        <x:f>""</x:f>
      </x:c>
    </x:row>
    <x:row r="69" spans="1:23" ht="60" customHeight="1" x14ac:dyDescent="0.25">
      <x:c r="A69" s="1">
        <x:f>ROW(A69)-1</x:f>
      </x:c>
      <x:c r="B69" s="10">
        <x:v>624</x:v>
      </x:c>
      <x:c r="C69" s="10" t="s">
        <x:v>43</x:v>
      </x:c>
      <x:c r="D69" s="10" t="s">
        <x:v>396</x:v>
      </x:c>
      <x:c r="E69" s="10" t="s">
        <x:v>397</x:v>
      </x:c>
      <x:c r="G69" s="10"/>
      <x:c r="H69" s="15" t="s">
        <x:v>116</x:v>
      </x:c>
      <x:c r="I69" s="15"/>
      <x:c r="J69" s="10">
        <x:v>3830</x:v>
      </x:c>
      <x:c r="K69" s="1" t="s">
        <x:v>398</x:v>
      </x:c>
      <x:c r="L69" s="0" t="s">
        <x:v>399</x:v>
      </x:c>
      <x:c r="M69" s="0">
        <x:v>1</x:v>
      </x:c>
      <x:c r="N69" s="0">
        <x:f>""</x:f>
      </x:c>
      <x:c r="O69" s="0">
        <x:f>""</x:f>
      </x:c>
      <x:c r="P69" s="0">
        <x:f>""</x:f>
      </x:c>
      <x:c r="Q69" s="0">
        <x:f>""</x:f>
      </x:c>
      <x:c r="R69" s="0">
        <x:f>""</x:f>
      </x:c>
      <x:c r="S69" s="0">
        <x:f>""</x:f>
      </x:c>
      <x:c r="T69" s="0">
        <x:f>""</x:f>
      </x:c>
      <x:c r="W69" s="0">
        <x:f>""</x:f>
      </x:c>
    </x:row>
    <x:row r="70" spans="1:23" ht="60" customHeight="1" x14ac:dyDescent="0.25">
      <x:c r="A70" s="1">
        <x:f>ROW(A70)-1</x:f>
      </x:c>
      <x:c r="B70" s="10">
        <x:v>616</x:v>
      </x:c>
      <x:c r="C70" s="10" t="s">
        <x:v>43</x:v>
      </x:c>
      <x:c r="D70" s="10" t="s">
        <x:v>400</x:v>
      </x:c>
      <x:c r="E70" s="10" t="s">
        <x:v>401</x:v>
      </x:c>
      <x:c r="G70" s="10"/>
      <x:c r="H70" s="15" t="s">
        <x:v>116</x:v>
      </x:c>
      <x:c r="I70" s="15"/>
      <x:c r="J70" s="10">
        <x:v>3721</x:v>
      </x:c>
      <x:c r="K70" s="1" t="s">
        <x:v>402</x:v>
      </x:c>
      <x:c r="M70" s="0">
        <x:v>0</x:v>
      </x:c>
      <x:c r="N70" s="0">
        <x:f>""</x:f>
      </x:c>
      <x:c r="O70" s="0">
        <x:f>""</x:f>
      </x:c>
      <x:c r="P70" s="0">
        <x:f>""</x:f>
      </x:c>
      <x:c r="Q70" s="0">
        <x:f>""</x:f>
      </x:c>
      <x:c r="R70" s="0">
        <x:f>""</x:f>
      </x:c>
      <x:c r="S70" s="0">
        <x:f>""</x:f>
      </x:c>
      <x:c r="T70" s="0">
        <x:f>""</x:f>
      </x:c>
      <x:c r="W70" s="0">
        <x:f>""</x:f>
      </x:c>
    </x:row>
    <x:row r="71" spans="1:23" ht="60" customHeight="1" x14ac:dyDescent="0.25">
      <x:c r="A71" s="1">
        <x:f>ROW(A71)-1</x:f>
      </x:c>
      <x:c r="B71" s="10">
        <x:v>613</x:v>
      </x:c>
      <x:c r="C71" s="10" t="s">
        <x:v>43</x:v>
      </x:c>
      <x:c r="D71" s="10" t="s">
        <x:v>403</x:v>
      </x:c>
      <x:c r="E71" s="10" t="s">
        <x:v>404</x:v>
      </x:c>
      <x:c r="G71" s="10"/>
      <x:c r="H71" s="15" t="s">
        <x:v>116</x:v>
      </x:c>
      <x:c r="I71" s="15"/>
      <x:c r="J71" s="10">
        <x:v>2091</x:v>
      </x:c>
      <x:c r="K71" s="1" t="s">
        <x:v>405</x:v>
      </x:c>
      <x:c r="L71" s="0" t="s">
        <x:v>405</x:v>
      </x:c>
      <x:c r="M71" s="0">
        <x:v>55</x:v>
      </x:c>
      <x:c r="N71" s="0">
        <x:f>""</x:f>
      </x:c>
      <x:c r="O71" s="0">
        <x:f>""</x:f>
      </x:c>
      <x:c r="P71" s="0">
        <x:f>""</x:f>
      </x:c>
      <x:c r="Q71" s="0">
        <x:f>""</x:f>
      </x:c>
      <x:c r="R71" s="0">
        <x:f>""</x:f>
      </x:c>
      <x:c r="S71" s="0">
        <x:f>""</x:f>
      </x:c>
      <x:c r="T71" s="0">
        <x:f>""</x:f>
      </x:c>
      <x:c r="W71" s="0">
        <x:f>""</x:f>
      </x:c>
    </x:row>
    <x:row r="72" spans="1:23" ht="45" customHeight="1" x14ac:dyDescent="0.25">
      <x:c r="A72" s="1">
        <x:f>ROW(A72)-1</x:f>
      </x:c>
      <x:c r="B72" s="10">
        <x:v>612</x:v>
      </x:c>
      <x:c r="C72" s="10" t="s">
        <x:v>43</x:v>
      </x:c>
      <x:c r="D72" s="10" t="s">
        <x:v>406</x:v>
      </x:c>
      <x:c r="E72" s="10" t="s">
        <x:v>407</x:v>
      </x:c>
      <x:c r="F72" s="1" t="s">
        <x:v>279</x:v>
      </x:c>
      <x:c r="G72" s="10" t="s">
        <x:v>407</x:v>
      </x:c>
      <x:c r="H72" s="15" t="s">
        <x:v>116</x:v>
      </x:c>
      <x:c r="I72" s="15"/>
      <x:c r="M72" s="0">
        <x:v>0</x:v>
      </x:c>
      <x:c r="N72" s="0">
        <x:f>""</x:f>
      </x:c>
      <x:c r="O72" s="0">
        <x:f>""</x:f>
      </x:c>
      <x:c r="P72" s="0">
        <x:f>""</x:f>
      </x:c>
      <x:c r="Q72" s="0">
        <x:f>""</x:f>
      </x:c>
      <x:c r="R72" s="0">
        <x:f>""</x:f>
      </x:c>
      <x:c r="S72" s="0">
        <x:f>""</x:f>
      </x:c>
      <x:c r="T72" s="0">
        <x:f>""</x:f>
      </x:c>
      <x:c r="W72" s="0">
        <x:f>""</x:f>
      </x:c>
    </x:row>
    <x:row r="73" spans="1:23" ht="90" customHeight="1" x14ac:dyDescent="0.25">
      <x:c r="A73" s="1">
        <x:f>ROW(A73)-1</x:f>
      </x:c>
      <x:c r="B73" s="10">
        <x:v>611</x:v>
      </x:c>
      <x:c r="C73" s="10" t="s">
        <x:v>43</x:v>
      </x:c>
      <x:c r="D73" s="10" t="s">
        <x:v>408</x:v>
      </x:c>
      <x:c r="E73" s="10" t="s">
        <x:v>409</x:v>
      </x:c>
      <x:c r="F73" s="1" t="s">
        <x:v>410</x:v>
      </x:c>
      <x:c r="G73" s="10" t="s">
        <x:v>411</x:v>
      </x:c>
      <x:c r="H73" s="15" t="s">
        <x:v>116</x:v>
      </x:c>
      <x:c r="I73" s="15"/>
      <x:c r="J73" s="10">
        <x:v>3240</x:v>
      </x:c>
      <x:c r="K73" s="1" t="s">
        <x:v>412</x:v>
      </x:c>
      <x:c r="L73" s="0" t="s">
        <x:v>413</x:v>
      </x:c>
      <x:c r="M73" s="0">
        <x:v>23</x:v>
      </x:c>
      <x:c r="N73" s="0">
        <x:f>""</x:f>
      </x:c>
      <x:c r="O73" s="0">
        <x:f>""</x:f>
      </x:c>
      <x:c r="P73" s="0">
        <x:f>""</x:f>
      </x:c>
      <x:c r="Q73" s="0">
        <x:f>""</x:f>
      </x:c>
      <x:c r="R73" s="0">
        <x:f>""</x:f>
      </x:c>
      <x:c r="S73" s="0">
        <x:f>""</x:f>
      </x:c>
      <x:c r="T73" s="0">
        <x:f>""</x:f>
      </x:c>
      <x:c r="W73" s="0">
        <x:f>""</x:f>
      </x:c>
    </x:row>
    <x:row r="74" spans="1:23" ht="75" customHeight="1" x14ac:dyDescent="0.25">
      <x:c r="A74" s="1">
        <x:f>ROW(A74)-1</x:f>
      </x:c>
      <x:c r="B74" s="10">
        <x:v>609</x:v>
      </x:c>
      <x:c r="C74" s="10" t="s">
        <x:v>43</x:v>
      </x:c>
      <x:c r="D74" s="10" t="s">
        <x:v>414</x:v>
      </x:c>
      <x:c r="E74" s="10" t="s">
        <x:v>415</x:v>
      </x:c>
      <x:c r="G74" s="10"/>
      <x:c r="H74" s="15" t="s">
        <x:v>116</x:v>
      </x:c>
      <x:c r="I74" s="15"/>
      <x:c r="M74" s="0">
        <x:v>0</x:v>
      </x:c>
      <x:c r="N74" s="0">
        <x:f>""</x:f>
      </x:c>
      <x:c r="O74" s="0">
        <x:f>""</x:f>
      </x:c>
      <x:c r="P74" s="0">
        <x:f>""</x:f>
      </x:c>
      <x:c r="Q74" s="0">
        <x:f>""</x:f>
      </x:c>
      <x:c r="R74" s="0">
        <x:f>""</x:f>
      </x:c>
      <x:c r="S74" s="0">
        <x:f>""</x:f>
      </x:c>
      <x:c r="T74" s="0">
        <x:f>""</x:f>
      </x:c>
      <x:c r="W74" s="0">
        <x:f>""</x:f>
      </x:c>
    </x:row>
    <x:row r="75" spans="1:23" ht="105" customHeight="1" x14ac:dyDescent="0.25">
      <x:c r="A75" s="1">
        <x:f>ROW(A75)-1</x:f>
      </x:c>
      <x:c r="B75" s="10">
        <x:v>693</x:v>
      </x:c>
      <x:c r="C75" s="10" t="s">
        <x:v>43</x:v>
      </x:c>
      <x:c r="D75" s="10" t="s">
        <x:v>416</x:v>
      </x:c>
      <x:c r="E75" s="10" t="s">
        <x:v>417</x:v>
      </x:c>
      <x:c r="F75" s="1" t="s">
        <x:v>418</x:v>
      </x:c>
      <x:c r="G75" s="10" t="s">
        <x:v>419</x:v>
      </x:c>
      <x:c r="H75" s="15" t="s">
        <x:v>116</x:v>
      </x:c>
      <x:c r="I75" s="15"/>
      <x:c r="J75" s="10">
        <x:v>3962</x:v>
      </x:c>
      <x:c r="K75" s="1" t="s">
        <x:v>420</x:v>
      </x:c>
      <x:c r="L75" s="0" t="s">
        <x:v>420</x:v>
      </x:c>
      <x:c r="M75" s="0">
        <x:v>20</x:v>
      </x:c>
      <x:c r="N75" s="0">
        <x:f>""</x:f>
      </x:c>
      <x:c r="O75" s="0">
        <x:f>""</x:f>
      </x:c>
      <x:c r="P75" s="0">
        <x:f>""</x:f>
      </x:c>
      <x:c r="Q75" s="0">
        <x:f>""</x:f>
      </x:c>
      <x:c r="R75" s="0">
        <x:f>""</x:f>
      </x:c>
      <x:c r="S75" s="0">
        <x:f>""</x:f>
      </x:c>
      <x:c r="T75" s="0">
        <x:f>""</x:f>
      </x:c>
      <x:c r="W75" s="0">
        <x:f>""</x:f>
      </x:c>
    </x:row>
    <x:row r="76" spans="1:23" ht="75" customHeight="1" x14ac:dyDescent="0.25">
      <x:c r="A76" s="1">
        <x:f>ROW(A76)-1</x:f>
      </x:c>
      <x:c r="B76" s="10">
        <x:v>568</x:v>
      </x:c>
      <x:c r="C76" s="10" t="s">
        <x:v>43</x:v>
      </x:c>
      <x:c r="D76" s="10" t="s">
        <x:v>421</x:v>
      </x:c>
      <x:c r="E76" s="10" t="s">
        <x:v>422</x:v>
      </x:c>
      <x:c r="G76" s="10"/>
      <x:c r="H76" s="15" t="s">
        <x:v>116</x:v>
      </x:c>
      <x:c r="I76" s="15"/>
      <x:c r="J76" s="10">
        <x:v>3830</x:v>
      </x:c>
      <x:c r="K76" s="1" t="s">
        <x:v>297</x:v>
      </x:c>
      <x:c r="L76" s="0" t="s">
        <x:v>298</x:v>
      </x:c>
      <x:c r="M76" s="0">
        <x:v>62</x:v>
      </x:c>
      <x:c r="N76" s="0">
        <x:f>""</x:f>
      </x:c>
      <x:c r="O76" s="0">
        <x:f>""</x:f>
      </x:c>
      <x:c r="P76" s="0">
        <x:f>""</x:f>
      </x:c>
      <x:c r="Q76" s="0">
        <x:f>""</x:f>
      </x:c>
      <x:c r="R76" s="0">
        <x:f>""</x:f>
      </x:c>
      <x:c r="S76" s="0">
        <x:f>""</x:f>
      </x:c>
      <x:c r="T76" s="0">
        <x:f>""</x:f>
      </x:c>
      <x:c r="W76" s="0">
        <x:f>""</x:f>
      </x:c>
    </x:row>
    <x:row r="77" spans="1:23" ht="105" customHeight="1" x14ac:dyDescent="0.25">
      <x:c r="A77" s="1">
        <x:f>ROW(A77)-1</x:f>
      </x:c>
      <x:c r="B77" s="10">
        <x:v>594</x:v>
      </x:c>
      <x:c r="C77" s="10" t="s">
        <x:v>43</x:v>
      </x:c>
      <x:c r="D77" s="10" t="s">
        <x:v>423</x:v>
      </x:c>
      <x:c r="E77" s="10" t="s">
        <x:v>424</x:v>
      </x:c>
      <x:c r="F77" s="1" t="s">
        <x:v>425</x:v>
      </x:c>
      <x:c r="G77" s="10" t="s">
        <x:v>127</x:v>
      </x:c>
      <x:c r="H77" s="15" t="s">
        <x:v>116</x:v>
      </x:c>
      <x:c r="I77" s="15"/>
      <x:c r="J77" s="10">
        <x:v>3390</x:v>
      </x:c>
      <x:c r="K77" s="1" t="s">
        <x:v>426</x:v>
      </x:c>
      <x:c r="L77" s="0" t="s">
        <x:v>427</x:v>
      </x:c>
      <x:c r="M77" s="0">
        <x:v>71</x:v>
      </x:c>
      <x:c r="N77" s="0">
        <x:f>""</x:f>
      </x:c>
      <x:c r="O77" s="0">
        <x:f>""</x:f>
      </x:c>
      <x:c r="P77" s="0">
        <x:f>""</x:f>
      </x:c>
      <x:c r="Q77" s="0">
        <x:f>""</x:f>
      </x:c>
      <x:c r="R77" s="0">
        <x:f>""</x:f>
      </x:c>
      <x:c r="S77" s="0">
        <x:f>""</x:f>
      </x:c>
      <x:c r="T77" s="0">
        <x:f>""</x:f>
      </x:c>
      <x:c r="W77" s="0">
        <x:f>""</x:f>
      </x:c>
    </x:row>
    <x:row r="78" spans="1:23" ht="90" customHeight="1" x14ac:dyDescent="0.25">
      <x:c r="A78" s="1">
        <x:f>ROW(A78)-1</x:f>
      </x:c>
      <x:c r="B78" s="10">
        <x:v>593</x:v>
      </x:c>
      <x:c r="C78" s="10" t="s">
        <x:v>43</x:v>
      </x:c>
      <x:c r="D78" s="10" t="s">
        <x:v>428</x:v>
      </x:c>
      <x:c r="E78" s="10" t="s">
        <x:v>429</x:v>
      </x:c>
      <x:c r="G78" s="10"/>
      <x:c r="H78" s="15" t="s">
        <x:v>116</x:v>
      </x:c>
      <x:c r="I78" s="15"/>
      <x:c r="J78" s="10">
        <x:v>3863</x:v>
      </x:c>
      <x:c r="K78" s="1" t="s">
        <x:v>430</x:v>
      </x:c>
      <x:c r="M78" s="0">
        <x:v>0</x:v>
      </x:c>
      <x:c r="N78" s="0">
        <x:f>""</x:f>
      </x:c>
      <x:c r="O78" s="0">
        <x:f>""</x:f>
      </x:c>
      <x:c r="P78" s="0">
        <x:f>""</x:f>
      </x:c>
      <x:c r="Q78" s="0">
        <x:f>""</x:f>
      </x:c>
      <x:c r="R78" s="0">
        <x:f>""</x:f>
      </x:c>
      <x:c r="S78" s="0">
        <x:f>""</x:f>
      </x:c>
      <x:c r="T78" s="0">
        <x:f>""</x:f>
      </x:c>
      <x:c r="W78" s="0">
        <x:f>""</x:f>
      </x:c>
    </x:row>
    <x:row r="79" spans="1:23" ht="60" customHeight="1" x14ac:dyDescent="0.25">
      <x:c r="A79" s="1">
        <x:f>ROW(A79)-1</x:f>
      </x:c>
      <x:c r="B79" s="10">
        <x:v>590</x:v>
      </x:c>
      <x:c r="C79" s="10" t="s">
        <x:v>43</x:v>
      </x:c>
      <x:c r="D79" s="10" t="s">
        <x:v>431</x:v>
      </x:c>
      <x:c r="E79" s="10" t="s">
        <x:v>432</x:v>
      </x:c>
      <x:c r="G79" s="10"/>
      <x:c r="H79" s="15" t="s">
        <x:v>116</x:v>
      </x:c>
      <x:c r="I79" s="15"/>
      <x:c r="M79" s="0">
        <x:v>0</x:v>
      </x:c>
      <x:c r="N79" s="0">
        <x:f>""</x:f>
      </x:c>
      <x:c r="O79" s="0">
        <x:f>""</x:f>
      </x:c>
      <x:c r="P79" s="0">
        <x:f>""</x:f>
      </x:c>
      <x:c r="Q79" s="0">
        <x:f>""</x:f>
      </x:c>
      <x:c r="R79" s="0">
        <x:f>""</x:f>
      </x:c>
      <x:c r="S79" s="0">
        <x:f>""</x:f>
      </x:c>
      <x:c r="T79" s="0">
        <x:f>""</x:f>
      </x:c>
      <x:c r="W79" s="0">
        <x:f>""</x:f>
      </x:c>
    </x:row>
    <x:row r="80" spans="1:23" ht="30" customHeight="1" x14ac:dyDescent="0.25">
      <x:c r="A80" s="1">
        <x:f>ROW(A80)-1</x:f>
      </x:c>
      <x:c r="B80" s="10">
        <x:v>587</x:v>
      </x:c>
      <x:c r="C80" s="10" t="s">
        <x:v>43</x:v>
      </x:c>
      <x:c r="D80" s="10" t="s">
        <x:v>433</x:v>
      </x:c>
      <x:c r="E80" s="10" t="s">
        <x:v>434</x:v>
      </x:c>
      <x:c r="G80" s="10"/>
      <x:c r="H80" s="15" t="s">
        <x:v>116</x:v>
      </x:c>
      <x:c r="I80" s="15"/>
      <x:c r="J80" s="10">
        <x:v>3843</x:v>
      </x:c>
      <x:c r="K80" s="1" t="s">
        <x:v>364</x:v>
      </x:c>
      <x:c r="M80" s="0">
        <x:v>0</x:v>
      </x:c>
      <x:c r="N80" s="0">
        <x:f>""</x:f>
      </x:c>
      <x:c r="O80" s="0">
        <x:f>""</x:f>
      </x:c>
      <x:c r="P80" s="0">
        <x:f>""</x:f>
      </x:c>
      <x:c r="Q80" s="0">
        <x:f>""</x:f>
      </x:c>
      <x:c r="R80" s="0">
        <x:f>""</x:f>
      </x:c>
      <x:c r="S80" s="0">
        <x:f>""</x:f>
      </x:c>
      <x:c r="T80" s="0">
        <x:f>""</x:f>
      </x:c>
      <x:c r="W80" s="0">
        <x:f>""</x:f>
      </x:c>
    </x:row>
    <x:row r="81" spans="1:23" ht="105" customHeight="1" x14ac:dyDescent="0.25">
      <x:c r="A81" s="1">
        <x:f>ROW(A81)-1</x:f>
      </x:c>
      <x:c r="B81" s="10">
        <x:v>579</x:v>
      </x:c>
      <x:c r="C81" s="10" t="s">
        <x:v>43</x:v>
      </x:c>
      <x:c r="D81" s="10" t="s">
        <x:v>435</x:v>
      </x:c>
      <x:c r="E81" s="10" t="s">
        <x:v>436</x:v>
      </x:c>
      <x:c r="F81" s="1" t="s">
        <x:v>437</x:v>
      </x:c>
      <x:c r="G81" s="10" t="s">
        <x:v>436</x:v>
      </x:c>
      <x:c r="H81" s="15" t="s">
        <x:v>116</x:v>
      </x:c>
      <x:c r="I81" s="15"/>
      <x:c r="J81" s="10">
        <x:v>3830</x:v>
      </x:c>
      <x:c r="K81" s="1" t="s">
        <x:v>438</x:v>
      </x:c>
      <x:c r="L81" s="0" t="s">
        <x:v>438</x:v>
      </x:c>
      <x:c r="M81" s="0">
        <x:v>11</x:v>
      </x:c>
      <x:c r="N81" s="0">
        <x:f>""</x:f>
      </x:c>
      <x:c r="O81" s="0">
        <x:f>""</x:f>
      </x:c>
      <x:c r="P81" s="0">
        <x:f>""</x:f>
      </x:c>
      <x:c r="Q81" s="0">
        <x:f>""</x:f>
      </x:c>
      <x:c r="R81" s="0">
        <x:f>""</x:f>
      </x:c>
      <x:c r="S81" s="0">
        <x:f>""</x:f>
      </x:c>
      <x:c r="T81" s="0">
        <x:f>""</x:f>
      </x:c>
      <x:c r="W81" s="0">
        <x:f>""</x:f>
      </x:c>
    </x:row>
    <x:row r="82" spans="1:23" ht="60" customHeight="1" x14ac:dyDescent="0.25">
      <x:c r="A82" s="1">
        <x:f>ROW(A82)-1</x:f>
      </x:c>
      <x:c r="B82" s="10">
        <x:v>576</x:v>
      </x:c>
      <x:c r="C82" s="10" t="s">
        <x:v>43</x:v>
      </x:c>
      <x:c r="D82" s="10" t="s">
        <x:v>439</x:v>
      </x:c>
      <x:c r="E82" s="10" t="s">
        <x:v>440</x:v>
      </x:c>
      <x:c r="F82" s="1" t="s">
        <x:v>54</x:v>
      </x:c>
      <x:c r="G82" s="10" t="s">
        <x:v>440</x:v>
      </x:c>
      <x:c r="H82" s="15" t="s">
        <x:v>116</x:v>
      </x:c>
      <x:c r="I82" s="15"/>
      <x:c r="J82" s="10">
        <x:v>3720</x:v>
      </x:c>
      <x:c r="K82" s="1" t="s">
        <x:v>441</x:v>
      </x:c>
      <x:c r="L82" s="0" t="s">
        <x:v>338</x:v>
      </x:c>
      <x:c r="M82" s="0">
        <x:v>4</x:v>
      </x:c>
      <x:c r="N82" s="0">
        <x:f>""</x:f>
      </x:c>
      <x:c r="O82" s="0">
        <x:f>""</x:f>
      </x:c>
      <x:c r="P82" s="0">
        <x:f>""</x:f>
      </x:c>
      <x:c r="Q82" s="0">
        <x:f>""</x:f>
      </x:c>
      <x:c r="R82" s="0">
        <x:f>""</x:f>
      </x:c>
      <x:c r="S82" s="0">
        <x:f>""</x:f>
      </x:c>
      <x:c r="T82" s="0">
        <x:f>""</x:f>
      </x:c>
      <x:c r="W82" s="0">
        <x:f>""</x:f>
      </x:c>
    </x:row>
    <x:row r="83" spans="1:23" ht="60" customHeight="1" x14ac:dyDescent="0.25">
      <x:c r="A83" s="1">
        <x:f>ROW(A83)-1</x:f>
      </x:c>
      <x:c r="B83" s="10">
        <x:v>575</x:v>
      </x:c>
      <x:c r="C83" s="10" t="s">
        <x:v>43</x:v>
      </x:c>
      <x:c r="D83" s="10" t="s">
        <x:v>442</x:v>
      </x:c>
      <x:c r="E83" s="10" t="s">
        <x:v>443</x:v>
      </x:c>
      <x:c r="G83" s="10"/>
      <x:c r="H83" s="15" t="s">
        <x:v>116</x:v>
      </x:c>
      <x:c r="I83" s="15"/>
      <x:c r="J83" s="10">
        <x:v>3542</x:v>
      </x:c>
      <x:c r="K83" s="1" t="s">
        <x:v>444</x:v>
      </x:c>
      <x:c r="L83" s="0" t="s">
        <x:v>338</x:v>
      </x:c>
      <x:c r="M83" s="0">
        <x:v>7</x:v>
      </x:c>
      <x:c r="N83" s="0">
        <x:f>""</x:f>
      </x:c>
      <x:c r="O83" s="0">
        <x:f>""</x:f>
      </x:c>
      <x:c r="P83" s="0">
        <x:f>""</x:f>
      </x:c>
      <x:c r="Q83" s="0">
        <x:f>""</x:f>
      </x:c>
      <x:c r="R83" s="0">
        <x:f>""</x:f>
      </x:c>
      <x:c r="S83" s="0">
        <x:f>""</x:f>
      </x:c>
      <x:c r="T83" s="0">
        <x:f>""</x:f>
      </x:c>
      <x:c r="W83" s="0">
        <x:f>""</x:f>
      </x:c>
    </x:row>
    <x:row r="84" spans="1:23" ht="60" customHeight="1" x14ac:dyDescent="0.25">
      <x:c r="A84" s="1">
        <x:f>ROW(A84)-1</x:f>
      </x:c>
      <x:c r="B84" s="10">
        <x:v>555</x:v>
      </x:c>
      <x:c r="C84" s="10" t="s">
        <x:v>43</x:v>
      </x:c>
      <x:c r="D84" s="10" t="s">
        <x:v>445</x:v>
      </x:c>
      <x:c r="E84" s="10" t="s">
        <x:v>446</x:v>
      </x:c>
      <x:c r="G84" s="10"/>
      <x:c r="H84" s="15" t="s">
        <x:v>116</x:v>
      </x:c>
      <x:c r="I84" s="15"/>
      <x:c r="J84" s="10">
        <x:v>3970</x:v>
      </x:c>
      <x:c r="K84" s="1" t="s">
        <x:v>447</x:v>
      </x:c>
      <x:c r="L84" s="0" t="s">
        <x:v>448</x:v>
      </x:c>
      <x:c r="M84" s="0">
        <x:v>28</x:v>
      </x:c>
      <x:c r="N84" s="0">
        <x:f>""</x:f>
      </x:c>
      <x:c r="O84" s="0">
        <x:f>""</x:f>
      </x:c>
      <x:c r="P84" s="0">
        <x:f>""</x:f>
      </x:c>
      <x:c r="Q84" s="0">
        <x:f>""</x:f>
      </x:c>
      <x:c r="R84" s="0">
        <x:f>""</x:f>
      </x:c>
      <x:c r="S84" s="0">
        <x:f>""</x:f>
      </x:c>
      <x:c r="T84" s="0">
        <x:f>""</x:f>
      </x:c>
      <x:c r="W84" s="0">
        <x:f>""</x:f>
      </x:c>
    </x:row>
    <x:row r="85" spans="1:23" ht="75" customHeight="1" x14ac:dyDescent="0.25">
      <x:c r="A85" s="1">
        <x:f>ROW(A85)-1</x:f>
      </x:c>
      <x:c r="B85" s="10">
        <x:v>549</x:v>
      </x:c>
      <x:c r="C85" s="10" t="s">
        <x:v>43</x:v>
      </x:c>
      <x:c r="D85" s="10" t="s">
        <x:v>449</x:v>
      </x:c>
      <x:c r="E85" s="10" t="s">
        <x:v>450</x:v>
      </x:c>
      <x:c r="G85" s="10"/>
      <x:c r="H85" s="15" t="s">
        <x:v>116</x:v>
      </x:c>
      <x:c r="I85" s="15"/>
      <x:c r="K85" s="1" t="s">
        <x:v>451</x:v>
      </x:c>
      <x:c r="M85" s="0">
        <x:v>0</x:v>
      </x:c>
      <x:c r="N85" s="0">
        <x:f>""</x:f>
      </x:c>
      <x:c r="O85" s="0">
        <x:f>""</x:f>
      </x:c>
      <x:c r="P85" s="0">
        <x:f>""</x:f>
      </x:c>
      <x:c r="Q85" s="0">
        <x:f>""</x:f>
      </x:c>
      <x:c r="R85" s="0">
        <x:f>""</x:f>
      </x:c>
      <x:c r="S85" s="0">
        <x:f>""</x:f>
      </x:c>
      <x:c r="T85" s="0">
        <x:f>""</x:f>
      </x:c>
      <x:c r="W85" s="0">
        <x:f>""</x:f>
      </x:c>
    </x:row>
    <x:row r="86" spans="1:23" ht="120" customHeight="1" x14ac:dyDescent="0.25">
      <x:c r="A86" s="1">
        <x:f>ROW(A86)-1</x:f>
      </x:c>
      <x:c r="B86" s="10">
        <x:v>547</x:v>
      </x:c>
      <x:c r="C86" s="10" t="s">
        <x:v>43</x:v>
      </x:c>
      <x:c r="D86" s="10" t="s">
        <x:v>452</x:v>
      </x:c>
      <x:c r="E86" s="10" t="s">
        <x:v>453</x:v>
      </x:c>
      <x:c r="F86" s="1" t="s">
        <x:v>232</x:v>
      </x:c>
      <x:c r="G86" s="10" t="s">
        <x:v>454</x:v>
      </x:c>
      <x:c r="H86" s="15" t="s">
        <x:v>116</x:v>
      </x:c>
      <x:c r="I86" s="15"/>
      <x:c r="J86" s="10">
        <x:v>3730</x:v>
      </x:c>
      <x:c r="K86" s="1" t="s">
        <x:v>208</x:v>
      </x:c>
      <x:c r="L86" s="0" t="s">
        <x:v>455</x:v>
      </x:c>
      <x:c r="M86" s="0">
        <x:v>37</x:v>
      </x:c>
      <x:c r="N86" s="0">
        <x:f>""</x:f>
      </x:c>
      <x:c r="O86" s="0">
        <x:f>""</x:f>
      </x:c>
      <x:c r="P86" s="0">
        <x:f>""</x:f>
      </x:c>
      <x:c r="Q86" s="0">
        <x:f>""</x:f>
      </x:c>
      <x:c r="R86" s="0">
        <x:f>""</x:f>
      </x:c>
      <x:c r="S86" s="0">
        <x:f>""</x:f>
      </x:c>
      <x:c r="T86" s="0">
        <x:f>""</x:f>
      </x:c>
      <x:c r="W86" s="0">
        <x:f>""</x:f>
      </x:c>
    </x:row>
    <x:row r="87" spans="1:23" ht="45" customHeight="1" x14ac:dyDescent="0.25">
      <x:c r="A87" s="1">
        <x:f>ROW(A87)-1</x:f>
      </x:c>
      <x:c r="B87" s="10">
        <x:v>511</x:v>
      </x:c>
      <x:c r="C87" s="10" t="s">
        <x:v>43</x:v>
      </x:c>
      <x:c r="D87" s="10" t="s">
        <x:v>456</x:v>
      </x:c>
      <x:c r="E87" s="10" t="s">
        <x:v>457</x:v>
      </x:c>
      <x:c r="F87" s="1" t="s">
        <x:v>458</x:v>
      </x:c>
      <x:c r="G87" s="10" t="s">
        <x:v>459</x:v>
      </x:c>
      <x:c r="H87" s="15" t="s">
        <x:v>116</x:v>
      </x:c>
      <x:c r="I87" s="15"/>
      <x:c r="J87" s="10">
        <x:v>3902</x:v>
      </x:c>
      <x:c r="K87" s="1" t="s">
        <x:v>270</x:v>
      </x:c>
      <x:c r="L87" s="0" t="s">
        <x:v>460</x:v>
      </x:c>
      <x:c r="M87" s="0">
        <x:v>26</x:v>
      </x:c>
      <x:c r="N87" s="0">
        <x:f>""</x:f>
      </x:c>
      <x:c r="O87" s="0">
        <x:f>""</x:f>
      </x:c>
      <x:c r="P87" s="0">
        <x:f>""</x:f>
      </x:c>
      <x:c r="Q87" s="0">
        <x:f>""</x:f>
      </x:c>
      <x:c r="R87" s="0">
        <x:f>""</x:f>
      </x:c>
      <x:c r="S87" s="0">
        <x:f>""</x:f>
      </x:c>
      <x:c r="T87" s="0">
        <x:f>""</x:f>
      </x:c>
      <x:c r="W87" s="0">
        <x:f>""</x:f>
      </x:c>
    </x:row>
    <x:row r="88" spans="1:23" ht="45" customHeight="1" x14ac:dyDescent="0.25">
      <x:c r="A88" s="1">
        <x:f>ROW(A88)-1</x:f>
      </x:c>
      <x:c r="B88" s="10">
        <x:v>487</x:v>
      </x:c>
      <x:c r="C88" s="10" t="s">
        <x:v>43</x:v>
      </x:c>
      <x:c r="D88" s="10" t="s">
        <x:v>461</x:v>
      </x:c>
      <x:c r="E88" s="10" t="s">
        <x:v>462</x:v>
      </x:c>
      <x:c r="F88" s="1" t="s">
        <x:v>463</x:v>
      </x:c>
      <x:c r="G88" s="10" t="s">
        <x:v>464</x:v>
      </x:c>
      <x:c r="H88" s="15" t="s">
        <x:v>116</x:v>
      </x:c>
      <x:c r="I88" s="15"/>
      <x:c r="J88" s="10">
        <x:v>3804</x:v>
      </x:c>
      <x:c r="K88" s="1" t="s">
        <x:v>465</x:v>
      </x:c>
      <x:c r="M88" s="0">
        <x:v>0</x:v>
      </x:c>
      <x:c r="N88" s="0">
        <x:f>""</x:f>
      </x:c>
      <x:c r="O88" s="0">
        <x:f>""</x:f>
      </x:c>
      <x:c r="P88" s="0">
        <x:f>""</x:f>
      </x:c>
      <x:c r="Q88" s="0">
        <x:f>""</x:f>
      </x:c>
      <x:c r="R88" s="0">
        <x:f>""</x:f>
      </x:c>
      <x:c r="S88" s="0">
        <x:f>""</x:f>
      </x:c>
      <x:c r="T88" s="0">
        <x:f>""</x:f>
      </x:c>
      <x:c r="W88" s="0">
        <x:f>""</x:f>
      </x:c>
    </x:row>
    <x:row r="89" spans="1:23" ht="45" customHeight="1" x14ac:dyDescent="0.25">
      <x:c r="A89" s="1">
        <x:f>ROW(A89)-1</x:f>
      </x:c>
      <x:c r="B89" s="10">
        <x:v>397</x:v>
      </x:c>
      <x:c r="C89" s="10" t="s">
        <x:v>43</x:v>
      </x:c>
      <x:c r="D89" s="10" t="s">
        <x:v>466</x:v>
      </x:c>
      <x:c r="E89" s="10" t="s">
        <x:v>467</x:v>
      </x:c>
      <x:c r="F89" s="1" t="s">
        <x:v>468</x:v>
      </x:c>
      <x:c r="G89" s="10" t="s">
        <x:v>469</x:v>
      </x:c>
      <x:c r="H89" s="15" t="s">
        <x:v>116</x:v>
      </x:c>
      <x:c r="I89" s="15"/>
      <x:c r="J89" s="10">
        <x:v>3300</x:v>
      </x:c>
      <x:c r="K89" s="1" t="s">
        <x:v>470</x:v>
      </x:c>
      <x:c r="L89" s="0" t="s">
        <x:v>471</x:v>
      </x:c>
      <x:c r="M89" s="0">
        <x:v>6</x:v>
      </x:c>
      <x:c r="N89" s="0">
        <x:f>""</x:f>
      </x:c>
      <x:c r="O89" s="0">
        <x:f>""</x:f>
      </x:c>
      <x:c r="P89" s="0">
        <x:f>""</x:f>
      </x:c>
      <x:c r="Q89" s="0">
        <x:f>""</x:f>
      </x:c>
      <x:c r="R89" s="0">
        <x:f>""</x:f>
      </x:c>
      <x:c r="S89" s="0">
        <x:f>""</x:f>
      </x:c>
      <x:c r="T89" s="0">
        <x:f>""</x:f>
      </x:c>
      <x:c r="W89" s="0">
        <x:f>""</x:f>
      </x:c>
    </x:row>
    <x:row r="90" spans="1:23" ht="45" customHeight="1" x14ac:dyDescent="0.25">
      <x:c r="A90" s="1">
        <x:f>ROW(A90)-1</x:f>
      </x:c>
      <x:c r="B90" s="10">
        <x:v>3003</x:v>
      </x:c>
      <x:c r="C90" s="10" t="s">
        <x:v>43</x:v>
      </x:c>
      <x:c r="D90" s="10" t="s">
        <x:v>472</x:v>
      </x:c>
      <x:c r="E90" s="10" t="s">
        <x:v>473</x:v>
      </x:c>
      <x:c r="F90" s="1" t="s">
        <x:v>474</x:v>
      </x:c>
      <x:c r="G90" s="10" t="s">
        <x:v>475</x:v>
      </x:c>
      <x:c r="H90" s="15" t="s">
        <x:v>116</x:v>
      </x:c>
      <x:c r="I90" s="15"/>
      <x:c r="J90" s="10">
        <x:v>3970</x:v>
      </x:c>
      <x:c r="K90" s="1" t="s">
        <x:v>447</x:v>
      </x:c>
      <x:c r="L90" s="0" t="s">
        <x:v>476</x:v>
      </x:c>
      <x:c r="M90" s="0">
        <x:v>53</x:v>
      </x:c>
      <x:c r="N90" s="0">
        <x:f>""</x:f>
      </x:c>
      <x:c r="O90" s="0">
        <x:f>""</x:f>
      </x:c>
      <x:c r="P90" s="0">
        <x:f>""</x:f>
      </x:c>
      <x:c r="Q90" s="0">
        <x:f>""</x:f>
      </x:c>
      <x:c r="R90" s="0">
        <x:f>""</x:f>
      </x:c>
      <x:c r="S90" s="0">
        <x:f>""</x:f>
      </x:c>
      <x:c r="T90" s="0">
        <x:f>""</x:f>
      </x:c>
      <x:c r="W90" s="0">
        <x:f>""</x:f>
      </x:c>
    </x:row>
    <x:row r="91" spans="1:23" ht="45" customHeight="1" x14ac:dyDescent="0.25">
      <x:c r="A91" s="1">
        <x:f>ROW(A91)-1</x:f>
      </x:c>
      <x:c r="B91" s="10">
        <x:v>3001</x:v>
      </x:c>
      <x:c r="C91" s="10" t="s">
        <x:v>43</x:v>
      </x:c>
      <x:c r="D91" s="10" t="s">
        <x:v>477</x:v>
      </x:c>
      <x:c r="E91" s="10" t="s">
        <x:v>478</x:v>
      </x:c>
      <x:c r="F91" s="1" t="s">
        <x:v>479</x:v>
      </x:c>
      <x:c r="G91" s="10" t="s">
        <x:v>480</x:v>
      </x:c>
      <x:c r="H91" s="15" t="s">
        <x:v>116</x:v>
      </x:c>
      <x:c r="I91" s="15"/>
      <x:c r="J91" s="10">
        <x:v>3800</x:v>
      </x:c>
      <x:c r="K91" s="1" t="s">
        <x:v>481</x:v>
      </x:c>
      <x:c r="L91" s="0" t="s">
        <x:v>75</x:v>
      </x:c>
      <x:c r="M91" s="0">
        <x:v>71</x:v>
      </x:c>
      <x:c r="N91" s="0">
        <x:f>""</x:f>
      </x:c>
      <x:c r="O91" s="0">
        <x:f>""</x:f>
      </x:c>
      <x:c r="P91" s="0">
        <x:f>""</x:f>
      </x:c>
      <x:c r="Q91" s="0">
        <x:f>""</x:f>
      </x:c>
      <x:c r="R91" s="0">
        <x:f>""</x:f>
      </x:c>
      <x:c r="S91" s="0">
        <x:f>""</x:f>
      </x:c>
      <x:c r="T91" s="0">
        <x:f>""</x:f>
      </x:c>
      <x:c r="W91" s="0">
        <x:f>""</x:f>
      </x:c>
    </x:row>
    <x:row r="92" spans="1:23" ht="45" customHeight="1" x14ac:dyDescent="0.25">
      <x:c r="A92" s="1">
        <x:f>ROW(A92)-1</x:f>
      </x:c>
      <x:c r="B92" s="10">
        <x:v>3002</x:v>
      </x:c>
      <x:c r="C92" s="10" t="s">
        <x:v>43</x:v>
      </x:c>
      <x:c r="D92" s="10" t="s">
        <x:v>482</x:v>
      </x:c>
      <x:c r="E92" s="10" t="s">
        <x:v>483</x:v>
      </x:c>
      <x:c r="F92" s="1" t="s">
        <x:v>484</x:v>
      </x:c>
      <x:c r="G92" s="10" t="s">
        <x:v>485</x:v>
      </x:c>
      <x:c r="H92" s="15" t="s">
        <x:v>116</x:v>
      </x:c>
      <x:c r="I92" s="15"/>
      <x:c r="J92" s="10">
        <x:v>3580</x:v>
      </x:c>
      <x:c r="K92" s="1" t="s">
        <x:v>329</x:v>
      </x:c>
      <x:c r="L92" s="0" t="s">
        <x:v>486</x:v>
      </x:c>
      <x:c r="M92" s="0">
        <x:v>14</x:v>
      </x:c>
      <x:c r="N92" s="0">
        <x:f>""</x:f>
      </x:c>
      <x:c r="O92" s="0">
        <x:f>""</x:f>
      </x:c>
      <x:c r="P92" s="0">
        <x:f>""</x:f>
      </x:c>
      <x:c r="Q92" s="0">
        <x:f>""</x:f>
      </x:c>
      <x:c r="R92" s="0">
        <x:f>""</x:f>
      </x:c>
      <x:c r="S92" s="0">
        <x:f>""</x:f>
      </x:c>
      <x:c r="T92" s="0">
        <x:f>""</x:f>
      </x:c>
      <x:c r="W92" s="0">
        <x:f>""</x:f>
      </x:c>
    </x:row>
    <x:row r="93" spans="1:23" ht="45" customHeight="1" x14ac:dyDescent="0.25">
      <x:c r="A93" s="1">
        <x:f>ROW(A93)-1</x:f>
      </x:c>
      <x:c r="B93" s="10">
        <x:v>3005</x:v>
      </x:c>
      <x:c r="C93" s="10" t="s">
        <x:v>43</x:v>
      </x:c>
      <x:c r="D93" s="10" t="s">
        <x:v>477</x:v>
      </x:c>
      <x:c r="E93" s="10" t="s">
        <x:v>487</x:v>
      </x:c>
      <x:c r="F93" s="1" t="s">
        <x:v>488</x:v>
      </x:c>
      <x:c r="G93" s="10" t="s">
        <x:v>489</x:v>
      </x:c>
      <x:c r="H93" s="15" t="s">
        <x:v>116</x:v>
      </x:c>
      <x:c r="I93" s="15"/>
      <x:c r="J93" s="10">
        <x:v>3842</x:v>
      </x:c>
      <x:c r="K93" s="1" t="s">
        <x:v>490</x:v>
      </x:c>
      <x:c r="L93" s="0" t="s">
        <x:v>491</x:v>
      </x:c>
      <x:c r="M93" s="0">
        <x:v>2</x:v>
      </x:c>
      <x:c r="N93" s="0">
        <x:f>""</x:f>
      </x:c>
      <x:c r="O93" s="0">
        <x:f>""</x:f>
      </x:c>
      <x:c r="P93" s="0">
        <x:f>""</x:f>
      </x:c>
      <x:c r="Q93" s="0">
        <x:f>""</x:f>
      </x:c>
      <x:c r="R93" s="0">
        <x:f>""</x:f>
      </x:c>
      <x:c r="S93" s="0">
        <x:f>""</x:f>
      </x:c>
      <x:c r="T93" s="0">
        <x:f>""</x:f>
      </x:c>
      <x:c r="W93" s="0">
        <x:f>""</x:f>
      </x:c>
    </x:row>
    <x:row r="94" spans="1:23" ht="45" customHeight="1" x14ac:dyDescent="0.25">
      <x:c r="A94" s="1">
        <x:f>ROW(A94)-1</x:f>
      </x:c>
      <x:c r="B94" s="10">
        <x:v>3006</x:v>
      </x:c>
      <x:c r="C94" s="10" t="s">
        <x:v>43</x:v>
      </x:c>
      <x:c r="D94" s="10" t="s">
        <x:v>477</x:v>
      </x:c>
      <x:c r="E94" s="10" t="s">
        <x:v>492</x:v>
      </x:c>
      <x:c r="F94" s="1" t="s">
        <x:v>474</x:v>
      </x:c>
      <x:c r="G94" s="10" t="s">
        <x:v>493</x:v>
      </x:c>
      <x:c r="H94" s="15" t="s">
        <x:v>116</x:v>
      </x:c>
      <x:c r="I94" s="15"/>
      <x:c r="J94" s="10">
        <x:v>3931</x:v>
      </x:c>
      <x:c r="K94" s="1" t="s">
        <x:v>494</x:v>
      </x:c>
      <x:c r="L94" s="0" t="s">
        <x:v>495</x:v>
      </x:c>
      <x:c r="M94" s="0">
        <x:v>17</x:v>
      </x:c>
      <x:c r="N94" s="0">
        <x:f>""</x:f>
      </x:c>
      <x:c r="O94" s="0">
        <x:f>""</x:f>
      </x:c>
      <x:c r="P94" s="0">
        <x:f>""</x:f>
      </x:c>
      <x:c r="Q94" s="0">
        <x:f>""</x:f>
      </x:c>
      <x:c r="R94" s="0">
        <x:f>""</x:f>
      </x:c>
      <x:c r="S94" s="0">
        <x:f>""</x:f>
      </x:c>
      <x:c r="T94" s="0">
        <x:f>""</x:f>
      </x:c>
      <x:c r="W94" s="0">
        <x:f>""</x:f>
      </x:c>
    </x:row>
    <x:row r="95" spans="1:23" ht="45" customHeight="1" x14ac:dyDescent="0.25">
      <x:c r="A95" s="1">
        <x:f>ROW(A95)-1</x:f>
      </x:c>
      <x:c r="B95" s="10">
        <x:v>3008</x:v>
      </x:c>
      <x:c r="C95" s="10" t="s">
        <x:v>43</x:v>
      </x:c>
      <x:c r="D95" s="10" t="s">
        <x:v>477</x:v>
      </x:c>
      <x:c r="E95" s="10" t="s">
        <x:v>496</x:v>
      </x:c>
      <x:c r="F95" s="1" t="s">
        <x:v>497</x:v>
      </x:c>
      <x:c r="G95" s="10" t="s">
        <x:v>498</x:v>
      </x:c>
      <x:c r="H95" s="15" t="s">
        <x:v>116</x:v>
      </x:c>
      <x:c r="I95" s="15"/>
      <x:c r="J95" s="10">
        <x:v>3500</x:v>
      </x:c>
      <x:c r="K95" s="1" t="s">
        <x:v>201</x:v>
      </x:c>
      <x:c r="L95" s="0" t="s">
        <x:v>499</x:v>
      </x:c>
      <x:c r="M95" s="0">
        <x:v>6</x:v>
      </x:c>
      <x:c r="N95" s="0">
        <x:f>""</x:f>
      </x:c>
      <x:c r="O95" s="0">
        <x:f>""</x:f>
      </x:c>
      <x:c r="P95" s="0">
        <x:f>""</x:f>
      </x:c>
      <x:c r="Q95" s="0">
        <x:f>""</x:f>
      </x:c>
      <x:c r="R95" s="0">
        <x:f>""</x:f>
      </x:c>
      <x:c r="S95" s="0">
        <x:f>""</x:f>
      </x:c>
      <x:c r="T95" s="0">
        <x:f>""</x:f>
      </x:c>
      <x:c r="W95" s="0">
        <x:f>""</x:f>
      </x:c>
    </x:row>
    <x:row r="96" spans="1:23" ht="75" customHeight="1" x14ac:dyDescent="0.25">
      <x:c r="A96" s="1">
        <x:f>ROW(A96)-1</x:f>
      </x:c>
      <x:c r="B96" s="10">
        <x:v>3009</x:v>
      </x:c>
      <x:c r="C96" s="10" t="s">
        <x:v>43</x:v>
      </x:c>
      <x:c r="D96" s="10" t="s">
        <x:v>500</x:v>
      </x:c>
      <x:c r="E96" s="10" t="s">
        <x:v>501</x:v>
      </x:c>
      <x:c r="F96" s="1" t="s">
        <x:v>488</x:v>
      </x:c>
      <x:c r="G96" s="10" t="s">
        <x:v>502</x:v>
      </x:c>
      <x:c r="H96" s="15" t="s">
        <x:v>116</x:v>
      </x:c>
      <x:c r="I96" s="15"/>
      <x:c r="J96" s="10">
        <x:v>3843</x:v>
      </x:c>
      <x:c r="K96" s="1" t="s">
        <x:v>364</x:v>
      </x:c>
      <x:c r="L96" s="0" t="s">
        <x:v>503</x:v>
      </x:c>
      <x:c r="M96" s="0">
        <x:v>42</x:v>
      </x:c>
      <x:c r="N96" s="0">
        <x:f>""</x:f>
      </x:c>
      <x:c r="O96" s="0">
        <x:f>""</x:f>
      </x:c>
      <x:c r="P96" s="0">
        <x:f>""</x:f>
      </x:c>
      <x:c r="Q96" s="0">
        <x:f>""</x:f>
      </x:c>
      <x:c r="R96" s="0">
        <x:f>""</x:f>
      </x:c>
      <x:c r="S96" s="0">
        <x:f>""</x:f>
      </x:c>
      <x:c r="T96" s="0">
        <x:f>""</x:f>
      </x:c>
      <x:c r="W96" s="0">
        <x:f>""</x:f>
      </x:c>
    </x:row>
    <x:row r="97" spans="1:23" ht="75" customHeight="1" x14ac:dyDescent="0.25">
      <x:c r="A97" s="1">
        <x:f>ROW(A97)-1</x:f>
      </x:c>
      <x:c r="B97" s="10">
        <x:v>3010</x:v>
      </x:c>
      <x:c r="C97" s="10" t="s">
        <x:v>43</x:v>
      </x:c>
      <x:c r="D97" s="10" t="s">
        <x:v>504</x:v>
      </x:c>
      <x:c r="E97" s="10" t="s">
        <x:v>505</x:v>
      </x:c>
      <x:c r="F97" s="1" t="s">
        <x:v>506</x:v>
      </x:c>
      <x:c r="G97" s="10" t="s">
        <x:v>475</x:v>
      </x:c>
      <x:c r="H97" s="15" t="s">
        <x:v>116</x:v>
      </x:c>
      <x:c r="I97" s="15"/>
      <x:c r="J97" s="10">
        <x:v>3902</x:v>
      </x:c>
      <x:c r="K97" s="1" t="s">
        <x:v>270</x:v>
      </x:c>
      <x:c r="L97" s="0" t="s">
        <x:v>507</x:v>
      </x:c>
      <x:c r="M97" s="0">
        <x:v>9</x:v>
      </x:c>
      <x:c r="N97" s="0">
        <x:f>""</x:f>
      </x:c>
      <x:c r="O97" s="0">
        <x:f>""</x:f>
      </x:c>
      <x:c r="P97" s="0">
        <x:f>""</x:f>
      </x:c>
      <x:c r="Q97" s="0">
        <x:f>""</x:f>
      </x:c>
      <x:c r="R97" s="0">
        <x:f>""</x:f>
      </x:c>
      <x:c r="S97" s="0">
        <x:f>""</x:f>
      </x:c>
      <x:c r="T97" s="0">
        <x:f>""</x:f>
      </x:c>
      <x:c r="W97" s="0">
        <x:f>""</x:f>
      </x:c>
    </x:row>
    <x:row r="98" spans="1:23" ht="45" customHeight="1" x14ac:dyDescent="0.25">
      <x:c r="A98" s="1">
        <x:f>ROW(A98)-1</x:f>
      </x:c>
      <x:c r="B98" s="10">
        <x:v>3011</x:v>
      </x:c>
      <x:c r="C98" s="10" t="s">
        <x:v>43</x:v>
      </x:c>
      <x:c r="D98" s="10" t="s">
        <x:v>477</x:v>
      </x:c>
      <x:c r="E98" s="10" t="s">
        <x:v>508</x:v>
      </x:c>
      <x:c r="F98" s="1" t="s">
        <x:v>509</x:v>
      </x:c>
      <x:c r="G98" s="10" t="s">
        <x:v>510</x:v>
      </x:c>
      <x:c r="H98" s="15" t="s">
        <x:v>116</x:v>
      </x:c>
      <x:c r="I98" s="15"/>
      <x:c r="J98" s="10">
        <x:v>3812</x:v>
      </x:c>
      <x:c r="K98" s="1" t="s">
        <x:v>511</x:v>
      </x:c>
      <x:c r="L98" s="0" t="s">
        <x:v>512</x:v>
      </x:c>
      <x:c r="M98" s="0">
        <x:v>40</x:v>
      </x:c>
      <x:c r="N98" s="0">
        <x:f>""</x:f>
      </x:c>
      <x:c r="O98" s="0">
        <x:f>""</x:f>
      </x:c>
      <x:c r="P98" s="0">
        <x:f>""</x:f>
      </x:c>
      <x:c r="Q98" s="0">
        <x:f>""</x:f>
      </x:c>
      <x:c r="R98" s="0">
        <x:f>""</x:f>
      </x:c>
      <x:c r="S98" s="0">
        <x:f>""</x:f>
      </x:c>
      <x:c r="T98" s="0">
        <x:f>""</x:f>
      </x:c>
      <x:c r="W98" s="0">
        <x:f>""</x:f>
      </x:c>
    </x:row>
    <x:row r="99" spans="1:23" ht="45" customHeight="1" x14ac:dyDescent="0.25">
      <x:c r="A99" s="1">
        <x:f>ROW(A99)-1</x:f>
      </x:c>
      <x:c r="B99" s="10">
        <x:v>3012</x:v>
      </x:c>
      <x:c r="C99" s="10" t="s">
        <x:v>43</x:v>
      </x:c>
      <x:c r="D99" s="10" t="s">
        <x:v>477</x:v>
      </x:c>
      <x:c r="E99" s="10" t="s">
        <x:v>513</x:v>
      </x:c>
      <x:c r="F99" s="1" t="s">
        <x:v>514</x:v>
      </x:c>
      <x:c r="G99" s="10" t="s">
        <x:v>515</x:v>
      </x:c>
      <x:c r="H99" s="15" t="s">
        <x:v>116</x:v>
      </x:c>
      <x:c r="I99" s="15"/>
      <x:c r="J99" s="10">
        <x:v>3800</x:v>
      </x:c>
      <x:c r="K99" s="1" t="s">
        <x:v>481</x:v>
      </x:c>
      <x:c r="L99" s="0" t="s">
        <x:v>75</x:v>
      </x:c>
      <x:c r="M99" s="0">
        <x:v>69</x:v>
      </x:c>
      <x:c r="N99" s="0">
        <x:f>""</x:f>
      </x:c>
      <x:c r="O99" s="0">
        <x:f>""</x:f>
      </x:c>
      <x:c r="P99" s="0">
        <x:f>""</x:f>
      </x:c>
      <x:c r="Q99" s="0">
        <x:f>""</x:f>
      </x:c>
      <x:c r="R99" s="0">
        <x:f>""</x:f>
      </x:c>
      <x:c r="S99" s="0">
        <x:f>""</x:f>
      </x:c>
      <x:c r="T99" s="0">
        <x:f>""</x:f>
      </x:c>
      <x:c r="W99" s="0">
        <x:f>""</x:f>
      </x:c>
    </x:row>
    <x:row r="100" spans="1:23" ht="45" customHeight="1" x14ac:dyDescent="0.25">
      <x:c r="A100" s="1">
        <x:f>ROW(A100)-1</x:f>
      </x:c>
      <x:c r="B100" s="10">
        <x:v>3013</x:v>
      </x:c>
      <x:c r="C100" s="10" t="s">
        <x:v>43</x:v>
      </x:c>
      <x:c r="D100" s="10" t="s">
        <x:v>477</x:v>
      </x:c>
      <x:c r="E100" s="10" t="s">
        <x:v>516</x:v>
      </x:c>
      <x:c r="F100" s="1" t="s">
        <x:v>517</x:v>
      </x:c>
      <x:c r="G100" s="10" t="s">
        <x:v>518</x:v>
      </x:c>
      <x:c r="H100" s="15" t="s">
        <x:v>116</x:v>
      </x:c>
      <x:c r="I100" s="15"/>
      <x:c r="J100" s="10">
        <x:v>3812</x:v>
      </x:c>
      <x:c r="K100" s="1" t="s">
        <x:v>519</x:v>
      </x:c>
      <x:c r="L100" s="0" t="s">
        <x:v>520</x:v>
      </x:c>
      <x:c r="M100" s="0">
        <x:v>2</x:v>
      </x:c>
      <x:c r="N100" s="0">
        <x:f>""</x:f>
      </x:c>
      <x:c r="O100" s="0">
        <x:f>""</x:f>
      </x:c>
      <x:c r="P100" s="0">
        <x:f>""</x:f>
      </x:c>
      <x:c r="Q100" s="0">
        <x:f>""</x:f>
      </x:c>
      <x:c r="R100" s="0">
        <x:f>""</x:f>
      </x:c>
      <x:c r="S100" s="0">
        <x:f>""</x:f>
      </x:c>
      <x:c r="T100" s="0">
        <x:f>""</x:f>
      </x:c>
      <x:c r="W100" s="0">
        <x:f>""</x:f>
      </x:c>
    </x:row>
    <x:row r="101" spans="1:23" ht="120" customHeight="1" x14ac:dyDescent="0.25">
      <x:c r="A101" s="1">
        <x:f>ROW(A101)-1</x:f>
      </x:c>
      <x:c r="B101" s="10">
        <x:v>3014</x:v>
      </x:c>
      <x:c r="C101" s="10" t="s">
        <x:v>43</x:v>
      </x:c>
      <x:c r="D101" s="10" t="s">
        <x:v>521</x:v>
      </x:c>
      <x:c r="E101" s="10" t="s">
        <x:v>522</x:v>
      </x:c>
      <x:c r="F101" s="1" t="s">
        <x:v>523</x:v>
      </x:c>
      <x:c r="G101" s="10" t="s">
        <x:v>524</x:v>
      </x:c>
      <x:c r="H101" s="15" t="s">
        <x:v>525</x:v>
      </x:c>
      <x:c r="I101" s="15"/>
      <x:c r="J101" s="10">
        <x:v>3830</x:v>
      </x:c>
      <x:c r="K101" s="1" t="s">
        <x:v>297</x:v>
      </x:c>
      <x:c r="L101" s="0" t="s">
        <x:v>526</x:v>
      </x:c>
      <x:c r="M101" s="0">
        <x:v>2</x:v>
      </x:c>
      <x:c r="N101" s="0">
        <x:f>""</x:f>
      </x:c>
      <x:c r="O101" s="0">
        <x:f>""</x:f>
      </x:c>
      <x:c r="P101" s="0">
        <x:f>""</x:f>
      </x:c>
      <x:c r="Q101" s="0">
        <x:f>""</x:f>
      </x:c>
      <x:c r="R101" s="0">
        <x:f>""</x:f>
      </x:c>
      <x:c r="S101" s="0">
        <x:f>""</x:f>
      </x:c>
      <x:c r="T101" s="0">
        <x:f>""</x:f>
      </x:c>
      <x:c r="W101" s="0">
        <x:f>""</x:f>
      </x:c>
    </x:row>
    <x:row r="102" spans="1:23" ht="45" customHeight="1" x14ac:dyDescent="0.25">
      <x:c r="A102" s="1">
        <x:f>ROW(A102)-1</x:f>
      </x:c>
      <x:c r="B102" s="10">
        <x:v>3018</x:v>
      </x:c>
      <x:c r="C102" s="10" t="s">
        <x:v>43</x:v>
      </x:c>
      <x:c r="D102" s="10" t="s">
        <x:v>477</x:v>
      </x:c>
      <x:c r="E102" s="10" t="s">
        <x:v>527</x:v>
      </x:c>
      <x:c r="F102" s="1" t="s">
        <x:v>241</x:v>
      </x:c>
      <x:c r="G102" s="10" t="s">
        <x:v>528</x:v>
      </x:c>
      <x:c r="H102" s="15" t="s">
        <x:v>116</x:v>
      </x:c>
      <x:c r="I102" s="15"/>
      <x:c r="J102" s="10">
        <x:v>3623</x:v>
      </x:c>
      <x:c r="K102" s="1" t="s">
        <x:v>529</x:v>
      </x:c>
      <x:c r="L102" s="0" t="s">
        <x:v>137</x:v>
      </x:c>
      <x:c r="M102" s="0">
        <x:v>3</x:v>
      </x:c>
      <x:c r="N102" s="0">
        <x:f>""</x:f>
      </x:c>
      <x:c r="O102" s="0">
        <x:f>""</x:f>
      </x:c>
      <x:c r="P102" s="0">
        <x:f>""</x:f>
      </x:c>
      <x:c r="Q102" s="0">
        <x:f>""</x:f>
      </x:c>
      <x:c r="R102" s="0">
        <x:f>""</x:f>
      </x:c>
      <x:c r="S102" s="0">
        <x:f>""</x:f>
      </x:c>
      <x:c r="T102" s="0">
        <x:f>""</x:f>
      </x:c>
      <x:c r="W102" s="0">
        <x:f>""</x:f>
      </x:c>
    </x:row>
    <x:row r="103" spans="1:23" ht="30" customHeight="1" x14ac:dyDescent="0.25">
      <x:c r="A103" s="1">
        <x:f>ROW(A103)-1</x:f>
      </x:c>
      <x:c r="B103" s="10">
        <x:v>3020</x:v>
      </x:c>
      <x:c r="C103" s="10" t="s">
        <x:v>43</x:v>
      </x:c>
      <x:c r="D103" s="10" t="s">
        <x:v>530</x:v>
      </x:c>
      <x:c r="E103" s="10" t="s">
        <x:v>531</x:v>
      </x:c>
      <x:c r="F103" s="1" t="s">
        <x:v>532</x:v>
      </x:c>
      <x:c r="G103" s="10" t="s">
        <x:v>533</x:v>
      </x:c>
      <x:c r="H103" s="15" t="s">
        <x:v>116</x:v>
      </x:c>
      <x:c r="I103" s="15"/>
      <x:c r="J103" s="10">
        <x:v>2295</x:v>
      </x:c>
      <x:c r="K103" s="1" t="s">
        <x:v>534</x:v>
      </x:c>
      <x:c r="L103" s="0" t="s">
        <x:v>534</x:v>
      </x:c>
      <x:c r="M103" s="0">
        <x:v>8</x:v>
      </x:c>
      <x:c r="N103" s="0">
        <x:f>""</x:f>
      </x:c>
      <x:c r="O103" s="0">
        <x:f>""</x:f>
      </x:c>
      <x:c r="P103" s="0">
        <x:f>""</x:f>
      </x:c>
      <x:c r="Q103" s="0">
        <x:f>""</x:f>
      </x:c>
      <x:c r="R103" s="0">
        <x:f>""</x:f>
      </x:c>
      <x:c r="S103" s="0">
        <x:f>""</x:f>
      </x:c>
      <x:c r="T103" s="0">
        <x:f>""</x:f>
      </x:c>
      <x:c r="W103" s="0">
        <x:f>""</x:f>
      </x:c>
    </x:row>
    <x:row r="104" spans="1:23" ht="45" customHeight="1" x14ac:dyDescent="0.25">
      <x:c r="A104" s="1">
        <x:f>ROW(A104)-1</x:f>
      </x:c>
      <x:c r="B104" s="10">
        <x:v>3022</x:v>
      </x:c>
      <x:c r="C104" s="10" t="s">
        <x:v>43</x:v>
      </x:c>
      <x:c r="D104" s="10" t="s">
        <x:v>477</x:v>
      </x:c>
      <x:c r="E104" s="10" t="s">
        <x:v>535</x:v>
      </x:c>
      <x:c r="F104" s="1" t="s">
        <x:v>248</x:v>
      </x:c>
      <x:c r="G104" s="10" t="s">
        <x:v>536</x:v>
      </x:c>
      <x:c r="H104" s="15" t="s">
        <x:v>116</x:v>
      </x:c>
      <x:c r="I104" s="15"/>
      <x:c r="J104" s="10">
        <x:v>3921</x:v>
      </x:c>
      <x:c r="K104" s="1" t="s">
        <x:v>537</x:v>
      </x:c>
      <x:c r="L104" s="0" t="s">
        <x:v>538</x:v>
      </x:c>
      <x:c r="M104" s="0">
        <x:v>38</x:v>
      </x:c>
      <x:c r="N104" s="0">
        <x:f>""</x:f>
      </x:c>
      <x:c r="O104" s="0">
        <x:f>""</x:f>
      </x:c>
      <x:c r="P104" s="0">
        <x:f>""</x:f>
      </x:c>
      <x:c r="Q104" s="0">
        <x:f>""</x:f>
      </x:c>
      <x:c r="R104" s="0">
        <x:f>""</x:f>
      </x:c>
      <x:c r="S104" s="0">
        <x:f>""</x:f>
      </x:c>
      <x:c r="T104" s="0">
        <x:f>""</x:f>
      </x:c>
      <x:c r="W104" s="0">
        <x:f>""</x:f>
      </x:c>
    </x:row>
    <x:row r="105" spans="1:23" ht="45" customHeight="1" x14ac:dyDescent="0.25">
      <x:c r="A105" s="1">
        <x:f>ROW(A105)-1</x:f>
      </x:c>
      <x:c r="B105" s="10">
        <x:v>3024</x:v>
      </x:c>
      <x:c r="C105" s="10" t="s">
        <x:v>43</x:v>
      </x:c>
      <x:c r="D105" s="10" t="s">
        <x:v>477</x:v>
      </x:c>
      <x:c r="F105" s="1" t="s">
        <x:v>274</x:v>
      </x:c>
      <x:c r="G105" s="10" t="s">
        <x:v>539</x:v>
      </x:c>
      <x:c r="H105" s="15" t="s">
        <x:v>116</x:v>
      </x:c>
      <x:c r="I105" s="15"/>
      <x:c r="J105" s="10">
        <x:v>3812</x:v>
      </x:c>
      <x:c r="K105" s="1" t="s">
        <x:v>378</x:v>
      </x:c>
      <x:c r="L105" s="0" t="s">
        <x:v>540</x:v>
      </x:c>
      <x:c r="M105" s="0">
        <x:v>31</x:v>
      </x:c>
      <x:c r="N105" s="0">
        <x:f>""</x:f>
      </x:c>
      <x:c r="O105" s="0">
        <x:f>""</x:f>
      </x:c>
      <x:c r="P105" s="0">
        <x:f>""</x:f>
      </x:c>
      <x:c r="Q105" s="0">
        <x:f>""</x:f>
      </x:c>
      <x:c r="R105" s="0">
        <x:f>""</x:f>
      </x:c>
      <x:c r="S105" s="0">
        <x:f>""</x:f>
      </x:c>
      <x:c r="T105" s="0">
        <x:f>""</x:f>
      </x:c>
      <x:c r="W105" s="0">
        <x:f>""</x:f>
      </x:c>
    </x:row>
    <x:row r="106" spans="1:23" ht="75" customHeight="1" x14ac:dyDescent="0.25">
      <x:c r="A106" s="1">
        <x:f>ROW(A106)-1</x:f>
      </x:c>
      <x:c r="B106" s="10">
        <x:v>3025</x:v>
      </x:c>
      <x:c r="C106" s="10" t="s">
        <x:v>43</x:v>
      </x:c>
      <x:c r="D106" s="10" t="s">
        <x:v>541</x:v>
      </x:c>
      <x:c r="E106" s="10" t="s">
        <x:v>542</x:v>
      </x:c>
      <x:c r="F106" s="1" t="s">
        <x:v>146</x:v>
      </x:c>
      <x:c r="G106" s="10" t="s">
        <x:v>543</x:v>
      </x:c>
      <x:c r="H106" s="15" t="s">
        <x:v>116</x:v>
      </x:c>
      <x:c r="I106" s="15"/>
      <x:c r="J106" s="10">
        <x:v>2091</x:v>
      </x:c>
      <x:c r="K106" s="1" t="s">
        <x:v>544</x:v>
      </x:c>
      <x:c r="L106" s="0" t="s">
        <x:v>544</x:v>
      </x:c>
      <x:c r="M106" s="0">
        <x:v>52</x:v>
      </x:c>
      <x:c r="N106" s="0">
        <x:f>""</x:f>
      </x:c>
      <x:c r="O106" s="0">
        <x:f>""</x:f>
      </x:c>
      <x:c r="P106" s="0">
        <x:f>""</x:f>
      </x:c>
      <x:c r="Q106" s="0">
        <x:f>""</x:f>
      </x:c>
      <x:c r="R106" s="0">
        <x:f>""</x:f>
      </x:c>
      <x:c r="S106" s="0">
        <x:f>""</x:f>
      </x:c>
      <x:c r="T106" s="0">
        <x:f>""</x:f>
      </x:c>
      <x:c r="W106" s="0">
        <x:f>""</x:f>
      </x:c>
    </x:row>
    <x:row r="107" spans="1:23" ht="45" customHeight="1" x14ac:dyDescent="0.25">
      <x:c r="A107" s="1">
        <x:f>ROW(A107)-1</x:f>
      </x:c>
      <x:c r="B107" s="10">
        <x:v>3026</x:v>
      </x:c>
      <x:c r="C107" s="10" t="s">
        <x:v>43</x:v>
      </x:c>
      <x:c r="D107" s="10" t="s">
        <x:v>477</x:v>
      </x:c>
      <x:c r="E107" s="10" t="s">
        <x:v>545</x:v>
      </x:c>
      <x:c r="F107" s="1" t="s">
        <x:v>546</x:v>
      </x:c>
      <x:c r="G107" s="10" t="s">
        <x:v>547</x:v>
      </x:c>
      <x:c r="H107" s="15" t="s">
        <x:v>116</x:v>
      </x:c>
      <x:c r="I107" s="15"/>
      <x:c r="J107" s="10">
        <x:v>3532</x:v>
      </x:c>
      <x:c r="K107" s="1" t="s">
        <x:v>276</x:v>
      </x:c>
      <x:c r="L107" s="0" t="s">
        <x:v>276</x:v>
      </x:c>
      <x:c r="M107" s="0">
        <x:v>88</x:v>
      </x:c>
      <x:c r="N107" s="0">
        <x:f>""</x:f>
      </x:c>
      <x:c r="O107" s="0">
        <x:f>""</x:f>
      </x:c>
      <x:c r="P107" s="0">
        <x:f>""</x:f>
      </x:c>
      <x:c r="Q107" s="0">
        <x:f>""</x:f>
      </x:c>
      <x:c r="R107" s="0">
        <x:f>""</x:f>
      </x:c>
      <x:c r="S107" s="0">
        <x:f>""</x:f>
      </x:c>
      <x:c r="T107" s="0">
        <x:f>""</x:f>
      </x:c>
      <x:c r="W107" s="0">
        <x:f>""</x:f>
      </x:c>
    </x:row>
    <x:row r="108" spans="1:23" ht="75" customHeight="1" x14ac:dyDescent="0.25">
      <x:c r="A108" s="1">
        <x:f>ROW(A108)-1</x:f>
      </x:c>
      <x:c r="B108" s="10">
        <x:v>3029</x:v>
      </x:c>
      <x:c r="C108" s="10" t="s">
        <x:v>43</x:v>
      </x:c>
      <x:c r="D108" s="10" t="s">
        <x:v>500</x:v>
      </x:c>
      <x:c r="E108" s="10" t="s">
        <x:v>548</x:v>
      </x:c>
      <x:c r="F108" s="1" t="s">
        <x:v>549</x:v>
      </x:c>
      <x:c r="G108" s="10" t="s">
        <x:v>550</x:v>
      </x:c>
      <x:c r="H108" s="15" t="s">
        <x:v>116</x:v>
      </x:c>
      <x:c r="I108" s="15" t="s">
        <x:v>551</x:v>
      </x:c>
      <x:c r="J108" s="10">
        <x:v>3851</x:v>
      </x:c>
      <x:c r="K108" s="1" t="s">
        <x:v>552</x:v>
      </x:c>
      <x:c r="L108" s="0" t="s">
        <x:v>338</x:v>
      </x:c>
      <x:c r="M108" s="0">
        <x:v>6</x:v>
      </x:c>
      <x:c r="N108" s="0">
        <x:f>""</x:f>
      </x:c>
      <x:c r="O108" s="0">
        <x:f>""</x:f>
      </x:c>
      <x:c r="P108" s="0">
        <x:f>""</x:f>
      </x:c>
      <x:c r="Q108" s="0">
        <x:f>""</x:f>
      </x:c>
      <x:c r="R108" s="0">
        <x:f>""</x:f>
      </x:c>
      <x:c r="S108" s="0">
        <x:f>""</x:f>
      </x:c>
      <x:c r="T108" s="0">
        <x:f>""</x:f>
      </x:c>
      <x:c r="W108" s="0">
        <x:f>""</x:f>
      </x:c>
    </x:row>
    <x:row r="109" spans="1:23" ht="45" customHeight="1" x14ac:dyDescent="0.25">
      <x:c r="A109" s="1">
        <x:f>ROW(A109)-1</x:f>
      </x:c>
      <x:c r="B109" s="10">
        <x:v>3030</x:v>
      </x:c>
      <x:c r="C109" s="10" t="s">
        <x:v>43</x:v>
      </x:c>
      <x:c r="D109" s="10" t="s">
        <x:v>477</x:v>
      </x:c>
      <x:c r="E109" s="10" t="s">
        <x:v>553</x:v>
      </x:c>
      <x:c r="F109" s="1" t="s">
        <x:v>554</x:v>
      </x:c>
      <x:c r="G109" s="10" t="s">
        <x:v>555</x:v>
      </x:c>
      <x:c r="H109" s="15" t="s">
        <x:v>116</x:v>
      </x:c>
      <x:c r="I109" s="15"/>
      <x:c r="J109" s="10">
        <x:v>3730</x:v>
      </x:c>
      <x:c r="K109" s="1" t="s">
        <x:v>208</x:v>
      </x:c>
      <x:c r="L109" s="0" t="s">
        <x:v>556</x:v>
      </x:c>
      <x:c r="M109" s="0">
        <x:v>42</x:v>
      </x:c>
      <x:c r="N109" s="0">
        <x:f>""</x:f>
      </x:c>
      <x:c r="O109" s="0">
        <x:f>""</x:f>
      </x:c>
      <x:c r="P109" s="0">
        <x:f>""</x:f>
      </x:c>
      <x:c r="Q109" s="0">
        <x:f>""</x:f>
      </x:c>
      <x:c r="R109" s="0">
        <x:f>""</x:f>
      </x:c>
      <x:c r="S109" s="0">
        <x:f>""</x:f>
      </x:c>
      <x:c r="T109" s="0">
        <x:f>""</x:f>
      </x:c>
      <x:c r="W109" s="0">
        <x:f>""</x:f>
      </x:c>
    </x:row>
    <x:row r="110" spans="1:23" ht="105" customHeight="1" x14ac:dyDescent="0.25">
      <x:c r="A110" s="1">
        <x:f>ROW(A110)-1</x:f>
      </x:c>
      <x:c r="B110" s="10">
        <x:v>3032</x:v>
      </x:c>
      <x:c r="C110" s="10" t="s">
        <x:v>43</x:v>
      </x:c>
      <x:c r="D110" s="10" t="s">
        <x:v>557</x:v>
      </x:c>
      <x:c r="E110" s="10" t="s">
        <x:v>558</x:v>
      </x:c>
      <x:c r="F110" s="1" t="s">
        <x:v>559</x:v>
      </x:c>
      <x:c r="G110" s="10" t="s">
        <x:v>560</x:v>
      </x:c>
      <x:c r="H110" s="15" t="s">
        <x:v>116</x:v>
      </x:c>
      <x:c r="I110" s="15"/>
      <x:c r="J110" s="10">
        <x:v>3843</x:v>
      </x:c>
      <x:c r="K110" s="1" t="s">
        <x:v>364</x:v>
      </x:c>
      <x:c r="L110" s="0" t="s">
        <x:v>561</x:v>
      </x:c>
      <x:c r="M110" s="0">
        <x:v>1</x:v>
      </x:c>
      <x:c r="N110" s="0">
        <x:f>""</x:f>
      </x:c>
      <x:c r="O110" s="0">
        <x:f>""</x:f>
      </x:c>
      <x:c r="P110" s="0">
        <x:f>""</x:f>
      </x:c>
      <x:c r="Q110" s="0">
        <x:f>""</x:f>
      </x:c>
      <x:c r="R110" s="0">
        <x:f>""</x:f>
      </x:c>
      <x:c r="S110" s="0">
        <x:f>""</x:f>
      </x:c>
      <x:c r="T110" s="0">
        <x:f>""</x:f>
      </x:c>
      <x:c r="W110" s="0">
        <x:f>""</x:f>
      </x:c>
    </x:row>
    <x:row r="111" spans="1:23" ht="45" customHeight="1" x14ac:dyDescent="0.25">
      <x:c r="A111" s="1">
        <x:f>ROW(A111)-1</x:f>
      </x:c>
      <x:c r="B111" s="10">
        <x:v>3037</x:v>
      </x:c>
      <x:c r="C111" s="10" t="s">
        <x:v>43</x:v>
      </x:c>
      <x:c r="D111" s="10" t="s">
        <x:v>477</x:v>
      </x:c>
      <x:c r="E111" s="10" t="s">
        <x:v>562</x:v>
      </x:c>
      <x:c r="F111" s="1" t="s">
        <x:v>563</x:v>
      </x:c>
      <x:c r="G111" s="10" t="s">
        <x:v>564</x:v>
      </x:c>
      <x:c r="H111" s="15" t="s">
        <x:v>116</x:v>
      </x:c>
      <x:c r="I111" s="15"/>
      <x:c r="J111" s="10">
        <x:v>3812</x:v>
      </x:c>
      <x:c r="K111" s="1" t="s">
        <x:v>511</x:v>
      </x:c>
      <x:c r="L111" s="0" t="s">
        <x:v>565</x:v>
      </x:c>
      <x:c r="M111" s="0">
        <x:v>1</x:v>
      </x:c>
      <x:c r="N111" s="0">
        <x:f>""</x:f>
      </x:c>
      <x:c r="O111" s="0">
        <x:f>""</x:f>
      </x:c>
      <x:c r="P111" s="0">
        <x:f>""</x:f>
      </x:c>
      <x:c r="Q111" s="0">
        <x:f>""</x:f>
      </x:c>
      <x:c r="R111" s="0">
        <x:f>""</x:f>
      </x:c>
      <x:c r="S111" s="0">
        <x:f>""</x:f>
      </x:c>
      <x:c r="T111" s="0">
        <x:f>""</x:f>
      </x:c>
      <x:c r="W111" s="0">
        <x:f>""</x:f>
      </x:c>
    </x:row>
    <x:row r="112" spans="1:23" ht="45" customHeight="1" x14ac:dyDescent="0.25">
      <x:c r="A112" s="1">
        <x:f>ROW(A112)-1</x:f>
      </x:c>
      <x:c r="B112" s="10">
        <x:v>3038</x:v>
      </x:c>
      <x:c r="C112" s="10" t="s">
        <x:v>43</x:v>
      </x:c>
      <x:c r="D112" s="10" t="s">
        <x:v>477</x:v>
      </x:c>
      <x:c r="E112" s="10" t="s">
        <x:v>566</x:v>
      </x:c>
      <x:c r="G112" s="10"/>
      <x:c r="H112" s="15" t="s">
        <x:v>116</x:v>
      </x:c>
      <x:c r="I112" s="15"/>
      <x:c r="J112" s="10">
        <x:v>3595</x:v>
      </x:c>
      <x:c r="K112" s="1" t="s">
        <x:v>567</x:v>
      </x:c>
      <x:c r="L112" s="0" t="s">
        <x:v>568</x:v>
      </x:c>
      <x:c r="M112" s="0">
        <x:v>38</x:v>
      </x:c>
      <x:c r="N112" s="0">
        <x:f>""</x:f>
      </x:c>
      <x:c r="O112" s="0">
        <x:f>""</x:f>
      </x:c>
      <x:c r="P112" s="0">
        <x:f>""</x:f>
      </x:c>
      <x:c r="Q112" s="0">
        <x:f>""</x:f>
      </x:c>
      <x:c r="R112" s="0">
        <x:f>""</x:f>
      </x:c>
      <x:c r="S112" s="0">
        <x:f>""</x:f>
      </x:c>
      <x:c r="T112" s="0">
        <x:f>""</x:f>
      </x:c>
      <x:c r="W112" s="0">
        <x:f>""</x:f>
      </x:c>
    </x:row>
    <x:row r="113" spans="1:23" ht="75" customHeight="1" x14ac:dyDescent="0.25">
      <x:c r="A113" s="1">
        <x:f>ROW(A113)-1</x:f>
      </x:c>
      <x:c r="B113" s="10">
        <x:v>3041</x:v>
      </x:c>
      <x:c r="C113" s="10" t="s">
        <x:v>43</x:v>
      </x:c>
      <x:c r="D113" s="10" t="s">
        <x:v>569</x:v>
      </x:c>
      <x:c r="E113" s="10" t="s">
        <x:v>570</x:v>
      </x:c>
      <x:c r="F113" s="1" t="s">
        <x:v>232</x:v>
      </x:c>
      <x:c r="G113" s="10" t="s">
        <x:v>571</x:v>
      </x:c>
      <x:c r="H113" s="15" t="s">
        <x:v>116</x:v>
      </x:c>
      <x:c r="I113" s="15"/>
      <x:c r="J113" s="10">
        <x:v>3910</x:v>
      </x:c>
      <x:c r="K113" s="1" t="s">
        <x:v>50</x:v>
      </x:c>
      <x:c r="L113" s="0" t="s">
        <x:v>572</x:v>
      </x:c>
      <x:c r="M113" s="0">
        <x:v>1</x:v>
      </x:c>
      <x:c r="N113" s="0">
        <x:f>""</x:f>
      </x:c>
      <x:c r="O113" s="0">
        <x:f>""</x:f>
      </x:c>
      <x:c r="P113" s="0">
        <x:f>""</x:f>
      </x:c>
      <x:c r="Q113" s="0">
        <x:f>""</x:f>
      </x:c>
      <x:c r="R113" s="0">
        <x:f>""</x:f>
      </x:c>
      <x:c r="S113" s="0">
        <x:f>""</x:f>
      </x:c>
      <x:c r="T113" s="0">
        <x:f>""</x:f>
      </x:c>
      <x:c r="W113" s="0">
        <x:f>""</x:f>
      </x:c>
    </x:row>
    <x:row r="114" spans="1:23" ht="75" customHeight="1" x14ac:dyDescent="0.25">
      <x:c r="A114" s="1">
        <x:f>ROW(A114)-1</x:f>
      </x:c>
      <x:c r="B114" s="10">
        <x:v>3042</x:v>
      </x:c>
      <x:c r="C114" s="10" t="s">
        <x:v>43</x:v>
      </x:c>
      <x:c r="D114" s="10" t="s">
        <x:v>573</x:v>
      </x:c>
      <x:c r="E114" s="10" t="s">
        <x:v>574</x:v>
      </x:c>
      <x:c r="F114" s="1" t="s">
        <x:v>575</x:v>
      </x:c>
      <x:c r="G114" s="10" t="s">
        <x:v>576</x:v>
      </x:c>
      <x:c r="H114" s="15" t="s">
        <x:v>116</x:v>
      </x:c>
      <x:c r="I114" s="15"/>
      <x:c r="J114" s="10">
        <x:v>3843</x:v>
      </x:c>
      <x:c r="K114" s="1" t="s">
        <x:v>364</x:v>
      </x:c>
      <x:c r="L114" s="0" t="s">
        <x:v>577</x:v>
      </x:c>
      <x:c r="M114" s="0">
        <x:v>2</x:v>
      </x:c>
      <x:c r="N114" s="0">
        <x:f>""</x:f>
      </x:c>
      <x:c r="O114" s="0">
        <x:f>""</x:f>
      </x:c>
      <x:c r="P114" s="0">
        <x:f>""</x:f>
      </x:c>
      <x:c r="Q114" s="0">
        <x:f>""</x:f>
      </x:c>
      <x:c r="R114" s="0">
        <x:f>""</x:f>
      </x:c>
      <x:c r="S114" s="0">
        <x:f>""</x:f>
      </x:c>
      <x:c r="T114" s="0">
        <x:f>""</x:f>
      </x:c>
      <x:c r="W114" s="0">
        <x:f>""</x:f>
      </x:c>
    </x:row>
    <x:row r="115" spans="1:23" ht="75" customHeight="1" x14ac:dyDescent="0.25">
      <x:c r="A115" s="1">
        <x:f>ROW(A115)-1</x:f>
      </x:c>
      <x:c r="B115" s="10">
        <x:v>3043</x:v>
      </x:c>
      <x:c r="C115" s="10" t="s">
        <x:v>43</x:v>
      </x:c>
      <x:c r="D115" s="10" t="s">
        <x:v>578</x:v>
      </x:c>
      <x:c r="E115" s="10" t="s">
        <x:v>579</x:v>
      </x:c>
      <x:c r="F115" s="1" t="s">
        <x:v>580</x:v>
      </x:c>
      <x:c r="G115" s="10" t="s">
        <x:v>581</x:v>
      </x:c>
      <x:c r="H115" s="15" t="s">
        <x:v>116</x:v>
      </x:c>
      <x:c r="I115" s="15"/>
      <x:c r="J115" s="10">
        <x:v>3902</x:v>
      </x:c>
      <x:c r="K115" s="1" t="s">
        <x:v>270</x:v>
      </x:c>
      <x:c r="L115" s="0" t="s">
        <x:v>582</x:v>
      </x:c>
      <x:c r="M115" s="0">
        <x:v>19</x:v>
      </x:c>
      <x:c r="N115" s="0">
        <x:f>""</x:f>
      </x:c>
      <x:c r="O115" s="0">
        <x:f>""</x:f>
      </x:c>
      <x:c r="P115" s="0">
        <x:f>""</x:f>
      </x:c>
      <x:c r="Q115" s="0">
        <x:f>""</x:f>
      </x:c>
      <x:c r="R115" s="0">
        <x:f>""</x:f>
      </x:c>
      <x:c r="S115" s="0">
        <x:f>""</x:f>
      </x:c>
      <x:c r="T115" s="0">
        <x:f>""</x:f>
      </x:c>
      <x:c r="W115" s="0">
        <x:f>""</x:f>
      </x:c>
    </x:row>
    <x:row r="116" spans="1:23" ht="45" customHeight="1" x14ac:dyDescent="0.25">
      <x:c r="A116" s="1">
        <x:f>ROW(A116)-1</x:f>
      </x:c>
      <x:c r="B116" s="10">
        <x:v>3045</x:v>
      </x:c>
      <x:c r="C116" s="10" t="s">
        <x:v>43</x:v>
      </x:c>
      <x:c r="D116" s="10" t="s">
        <x:v>583</x:v>
      </x:c>
      <x:c r="E116" s="10" t="s">
        <x:v>584</x:v>
      </x:c>
      <x:c r="F116" s="1" t="s">
        <x:v>585</x:v>
      </x:c>
      <x:c r="G116" s="10" t="s">
        <x:v>586</x:v>
      </x:c>
      <x:c r="H116" s="15" t="s">
        <x:v>116</x:v>
      </x:c>
      <x:c r="I116" s="15"/>
      <x:c r="J116" s="10">
        <x:v>3910</x:v>
      </x:c>
      <x:c r="K116" s="1" t="s">
        <x:v>50</x:v>
      </x:c>
      <x:c r="L116" s="0" t="s">
        <x:v>587</x:v>
      </x:c>
      <x:c r="M116" s="0">
        <x:v>28</x:v>
      </x:c>
      <x:c r="N116" s="0">
        <x:f>""</x:f>
      </x:c>
      <x:c r="O116" s="0">
        <x:f>""</x:f>
      </x:c>
      <x:c r="P116" s="0">
        <x:f>""</x:f>
      </x:c>
      <x:c r="Q116" s="0">
        <x:f>""</x:f>
      </x:c>
      <x:c r="R116" s="0">
        <x:f>""</x:f>
      </x:c>
      <x:c r="S116" s="0">
        <x:f>""</x:f>
      </x:c>
      <x:c r="T116" s="0">
        <x:f>""</x:f>
      </x:c>
      <x:c r="W116" s="0">
        <x:f>""</x:f>
      </x:c>
    </x:row>
    <x:row r="117" spans="1:23" ht="30" customHeight="1" x14ac:dyDescent="0.25">
      <x:c r="A117" s="1">
        <x:f>ROW(A117)-1</x:f>
      </x:c>
      <x:c r="B117" s="10">
        <x:v>3046</x:v>
      </x:c>
      <x:c r="C117" s="10" t="s">
        <x:v>43</x:v>
      </x:c>
      <x:c r="D117" s="10" t="s">
        <x:v>224</x:v>
      </x:c>
      <x:c r="E117" s="10" t="s">
        <x:v>588</x:v>
      </x:c>
      <x:c r="F117" s="1" t="s">
        <x:v>179</x:v>
      </x:c>
      <x:c r="G117" s="10" t="s">
        <x:v>589</x:v>
      </x:c>
      <x:c r="H117" s="15" t="s">
        <x:v>116</x:v>
      </x:c>
      <x:c r="I117" s="15"/>
      <x:c r="J117" s="10">
        <x:v>3921</x:v>
      </x:c>
      <x:c r="K117" s="1" t="s">
        <x:v>537</x:v>
      </x:c>
      <x:c r="L117" s="0" t="s">
        <x:v>590</x:v>
      </x:c>
      <x:c r="M117" s="0">
        <x:v>170</x:v>
      </x:c>
      <x:c r="N117" s="0">
        <x:f>""</x:f>
      </x:c>
      <x:c r="O117" s="0">
        <x:f>""</x:f>
      </x:c>
      <x:c r="P117" s="0">
        <x:f>""</x:f>
      </x:c>
      <x:c r="Q117" s="0">
        <x:f>""</x:f>
      </x:c>
      <x:c r="R117" s="0">
        <x:f>""</x:f>
      </x:c>
      <x:c r="S117" s="0">
        <x:f>""</x:f>
      </x:c>
      <x:c r="T117" s="0">
        <x:f>""</x:f>
      </x:c>
      <x:c r="W117" s="0">
        <x:f>""</x:f>
      </x:c>
    </x:row>
    <x:row r="118" spans="1:23" ht="60" customHeight="1" x14ac:dyDescent="0.25">
      <x:c r="A118" s="1">
        <x:f>ROW(A118)-1</x:f>
      </x:c>
      <x:c r="B118" s="10">
        <x:v>3047</x:v>
      </x:c>
      <x:c r="C118" s="10" t="s">
        <x:v>43</x:v>
      </x:c>
      <x:c r="D118" s="10" t="s">
        <x:v>591</x:v>
      </x:c>
      <x:c r="E118" s="10" t="s">
        <x:v>592</x:v>
      </x:c>
      <x:c r="F118" s="1" t="s">
        <x:v>593</x:v>
      </x:c>
      <x:c r="G118" s="10" t="s">
        <x:v>594</x:v>
      </x:c>
      <x:c r="H118" s="15" t="s">
        <x:v>116</x:v>
      </x:c>
      <x:c r="I118" s="15"/>
      <x:c r="J118" s="10">
        <x:v>3830</x:v>
      </x:c>
      <x:c r="K118" s="1" t="s">
        <x:v>297</x:v>
      </x:c>
      <x:c r="L118" s="0" t="s">
        <x:v>338</x:v>
      </x:c>
      <x:c r="M118" s="0">
        <x:v>25</x:v>
      </x:c>
      <x:c r="N118" s="0">
        <x:f>""</x:f>
      </x:c>
      <x:c r="O118" s="0">
        <x:f>""</x:f>
      </x:c>
      <x:c r="P118" s="0">
        <x:f>""</x:f>
      </x:c>
      <x:c r="Q118" s="0">
        <x:f>""</x:f>
      </x:c>
      <x:c r="R118" s="0">
        <x:f>""</x:f>
      </x:c>
      <x:c r="S118" s="0">
        <x:f>""</x:f>
      </x:c>
      <x:c r="T118" s="0">
        <x:f>""</x:f>
      </x:c>
      <x:c r="W118" s="0">
        <x:f>""</x:f>
      </x:c>
    </x:row>
    <x:row r="119" spans="1:23" ht="270" customHeight="1" x14ac:dyDescent="0.25">
      <x:c r="A119" s="1">
        <x:f>ROW(A119)-1</x:f>
      </x:c>
      <x:c r="B119" s="10">
        <x:v>3050</x:v>
      </x:c>
      <x:c r="C119" s="10" t="s">
        <x:v>43</x:v>
      </x:c>
      <x:c r="D119" s="10" t="s">
        <x:v>595</x:v>
      </x:c>
      <x:c r="E119" s="10" t="s">
        <x:v>596</x:v>
      </x:c>
      <x:c r="F119" s="1" t="s">
        <x:v>597</x:v>
      </x:c>
      <x:c r="G119" s="10" t="s">
        <x:v>598</x:v>
      </x:c>
      <x:c r="H119" s="15" t="s">
        <x:v>116</x:v>
      </x:c>
      <x:c r="I119" s="15"/>
      <x:c r="J119" s="10">
        <x:v>3532</x:v>
      </x:c>
      <x:c r="K119" s="1" t="s">
        <x:v>276</x:v>
      </x:c>
      <x:c r="L119" s="0" t="s">
        <x:v>599</x:v>
      </x:c>
      <x:c r="M119" s="0">
        <x:v>69</x:v>
      </x:c>
      <x:c r="N119" s="0">
        <x:f>""</x:f>
      </x:c>
      <x:c r="O119" s="0">
        <x:f>""</x:f>
      </x:c>
      <x:c r="P119" s="0">
        <x:f>""</x:f>
      </x:c>
      <x:c r="Q119" s="0">
        <x:f>""</x:f>
      </x:c>
      <x:c r="R119" s="0">
        <x:f>""</x:f>
      </x:c>
      <x:c r="S119" s="0">
        <x:f>""</x:f>
      </x:c>
      <x:c r="T119" s="0">
        <x:f>""</x:f>
      </x:c>
      <x:c r="W119" s="0">
        <x:f>""</x:f>
      </x:c>
    </x:row>
    <x:row r="120" spans="1:23" ht="75" customHeight="1" x14ac:dyDescent="0.25">
      <x:c r="A120" s="1">
        <x:f>ROW(A120)-1</x:f>
      </x:c>
      <x:c r="B120" s="10">
        <x:v>3054</x:v>
      </x:c>
      <x:c r="C120" s="10" t="s">
        <x:v>43</x:v>
      </x:c>
      <x:c r="D120" s="10" t="s">
        <x:v>600</x:v>
      </x:c>
      <x:c r="E120" s="10" t="s">
        <x:v>601</x:v>
      </x:c>
      <x:c r="F120" s="1" t="s">
        <x:v>468</x:v>
      </x:c>
      <x:c r="G120" s="10" t="s">
        <x:v>602</x:v>
      </x:c>
      <x:c r="H120" s="15" t="s">
        <x:v>603</x:v>
      </x:c>
      <x:c r="I120" s="15"/>
      <x:c r="J120" s="10">
        <x:v>3580</x:v>
      </x:c>
      <x:c r="K120" s="1" t="s">
        <x:v>329</x:v>
      </x:c>
      <x:c r="L120" s="0" t="s">
        <x:v>604</x:v>
      </x:c>
      <x:c r="M120" s="0">
        <x:v>21</x:v>
      </x:c>
      <x:c r="N120" s="0">
        <x:f>""</x:f>
      </x:c>
      <x:c r="O120" s="0">
        <x:f>""</x:f>
      </x:c>
      <x:c r="P120" s="0">
        <x:f>""</x:f>
      </x:c>
      <x:c r="Q120" s="0">
        <x:f>""</x:f>
      </x:c>
      <x:c r="R120" s="0">
        <x:f>""</x:f>
      </x:c>
      <x:c r="S120" s="0">
        <x:f>""</x:f>
      </x:c>
      <x:c r="T120" s="0">
        <x:f>""</x:f>
      </x:c>
      <x:c r="W120" s="0">
        <x:f>""</x:f>
      </x:c>
    </x:row>
    <x:row r="121" spans="1:23" ht="45" customHeight="1" x14ac:dyDescent="0.25">
      <x:c r="A121" s="1">
        <x:f>ROW(A121)-1</x:f>
      </x:c>
      <x:c r="B121" s="10">
        <x:v>3055</x:v>
      </x:c>
      <x:c r="C121" s="10" t="s">
        <x:v>43</x:v>
      </x:c>
      <x:c r="D121" s="10" t="s">
        <x:v>605</x:v>
      </x:c>
      <x:c r="E121" s="10" t="s">
        <x:v>606</x:v>
      </x:c>
      <x:c r="F121" s="1" t="s">
        <x:v>563</x:v>
      </x:c>
      <x:c r="G121" s="10" t="s">
        <x:v>493</x:v>
      </x:c>
      <x:c r="H121" s="15" t="s">
        <x:v>116</x:v>
      </x:c>
      <x:c r="I121" s="15"/>
      <x:c r="J121" s="10">
        <x:v>3910</x:v>
      </x:c>
      <x:c r="K121" s="1" t="s">
        <x:v>50</x:v>
      </x:c>
      <x:c r="L121" s="0" t="s">
        <x:v>607</x:v>
      </x:c>
      <x:c r="M121" s="0">
        <x:v>23</x:v>
      </x:c>
      <x:c r="N121" s="0">
        <x:f>""</x:f>
      </x:c>
      <x:c r="O121" s="0">
        <x:f>""</x:f>
      </x:c>
      <x:c r="P121" s="0">
        <x:f>""</x:f>
      </x:c>
      <x:c r="Q121" s="0">
        <x:f>""</x:f>
      </x:c>
      <x:c r="R121" s="0">
        <x:f>""</x:f>
      </x:c>
      <x:c r="S121" s="0">
        <x:f>""</x:f>
      </x:c>
      <x:c r="T121" s="0">
        <x:f>""</x:f>
      </x:c>
      <x:c r="W121" s="0">
        <x:f>""</x:f>
      </x:c>
    </x:row>
    <x:row r="122" spans="1:23" ht="75" customHeight="1" x14ac:dyDescent="0.25">
      <x:c r="A122" s="1">
        <x:f>ROW(A122)-1</x:f>
      </x:c>
      <x:c r="B122" s="10">
        <x:v>3057</x:v>
      </x:c>
      <x:c r="C122" s="10" t="s">
        <x:v>43</x:v>
      </x:c>
      <x:c r="D122" s="10" t="s">
        <x:v>608</x:v>
      </x:c>
      <x:c r="E122" s="10" t="s">
        <x:v>609</x:v>
      </x:c>
      <x:c r="F122" s="1" t="s">
        <x:v>241</x:v>
      </x:c>
      <x:c r="G122" s="10" t="s">
        <x:v>610</x:v>
      </x:c>
      <x:c r="H122" s="15" t="s">
        <x:v>116</x:v>
      </x:c>
      <x:c r="I122" s="15"/>
      <x:c r="J122" s="10">
        <x:v>3910</x:v>
      </x:c>
      <x:c r="K122" s="1" t="s">
        <x:v>50</x:v>
      </x:c>
      <x:c r="L122" s="0" t="s">
        <x:v>587</x:v>
      </x:c>
      <x:c r="M122" s="0">
        <x:v>11</x:v>
      </x:c>
      <x:c r="N122" s="0">
        <x:f>""</x:f>
      </x:c>
      <x:c r="O122" s="0">
        <x:f>""</x:f>
      </x:c>
      <x:c r="P122" s="0">
        <x:f>""</x:f>
      </x:c>
      <x:c r="Q122" s="0">
        <x:f>""</x:f>
      </x:c>
      <x:c r="R122" s="0">
        <x:f>""</x:f>
      </x:c>
      <x:c r="S122" s="0">
        <x:f>""</x:f>
      </x:c>
      <x:c r="T122" s="0">
        <x:f>""</x:f>
      </x:c>
      <x:c r="W122" s="0">
        <x:f>""</x:f>
      </x:c>
    </x:row>
    <x:row r="123" spans="1:23" ht="105" customHeight="1" x14ac:dyDescent="0.25">
      <x:c r="A123" s="1">
        <x:f>ROW(A123)-1</x:f>
      </x:c>
      <x:c r="B123" s="10">
        <x:v>3058</x:v>
      </x:c>
      <x:c r="C123" s="10" t="s">
        <x:v>43</x:v>
      </x:c>
      <x:c r="D123" s="10" t="s">
        <x:v>611</x:v>
      </x:c>
      <x:c r="E123" s="10" t="s">
        <x:v>612</x:v>
      </x:c>
      <x:c r="F123" s="1" t="s">
        <x:v>410</x:v>
      </x:c>
      <x:c r="G123" s="10" t="s">
        <x:v>613</x:v>
      </x:c>
      <x:c r="H123" s="15" t="s">
        <x:v>116</x:v>
      </x:c>
      <x:c r="I123" s="15"/>
      <x:c r="J123" s="10">
        <x:v>3902</x:v>
      </x:c>
      <x:c r="K123" s="1" t="s">
        <x:v>270</x:v>
      </x:c>
      <x:c r="L123" s="0" t="s">
        <x:v>271</x:v>
      </x:c>
      <x:c r="M123" s="0">
        <x:v>19</x:v>
      </x:c>
      <x:c r="N123" s="0">
        <x:f>""</x:f>
      </x:c>
      <x:c r="O123" s="0">
        <x:f>""</x:f>
      </x:c>
      <x:c r="P123" s="0">
        <x:f>""</x:f>
      </x:c>
      <x:c r="Q123" s="0">
        <x:f>""</x:f>
      </x:c>
      <x:c r="R123" s="0">
        <x:f>""</x:f>
      </x:c>
      <x:c r="S123" s="0">
        <x:f>""</x:f>
      </x:c>
      <x:c r="T123" s="0">
        <x:f>""</x:f>
      </x:c>
      <x:c r="W123" s="0">
        <x:f>""</x:f>
      </x:c>
    </x:row>
    <x:row r="124" spans="1:23" ht="150" customHeight="1" x14ac:dyDescent="0.25">
      <x:c r="A124" s="1">
        <x:f>ROW(A124)-1</x:f>
      </x:c>
      <x:c r="B124" s="10">
        <x:v>3059</x:v>
      </x:c>
      <x:c r="C124" s="10" t="s">
        <x:v>43</x:v>
      </x:c>
      <x:c r="D124" s="10" t="s">
        <x:v>614</x:v>
      </x:c>
      <x:c r="E124" s="10" t="s">
        <x:v>615</x:v>
      </x:c>
      <x:c r="F124" s="1" t="s">
        <x:v>70</x:v>
      </x:c>
      <x:c r="G124" s="10" t="s">
        <x:v>616</x:v>
      </x:c>
      <x:c r="H124" s="15" t="s">
        <x:v>116</x:v>
      </x:c>
      <x:c r="I124" s="15"/>
      <x:c r="J124" s="10">
        <x:v>3580</x:v>
      </x:c>
      <x:c r="K124" s="1" t="s">
        <x:v>329</x:v>
      </x:c>
      <x:c r="L124" s="0" t="s">
        <x:v>617</x:v>
      </x:c>
      <x:c r="M124" s="0">
        <x:v>9</x:v>
      </x:c>
      <x:c r="N124" s="0">
        <x:f>""</x:f>
      </x:c>
      <x:c r="O124" s="0">
        <x:f>""</x:f>
      </x:c>
      <x:c r="P124" s="0">
        <x:f>""</x:f>
      </x:c>
      <x:c r="Q124" s="0">
        <x:f>""</x:f>
      </x:c>
      <x:c r="R124" s="0">
        <x:f>""</x:f>
      </x:c>
      <x:c r="S124" s="0">
        <x:f>""</x:f>
      </x:c>
      <x:c r="T124" s="0">
        <x:f>""</x:f>
      </x:c>
      <x:c r="W124" s="0">
        <x:f>""</x:f>
      </x:c>
    </x:row>
    <x:row r="125" spans="1:23" ht="120" customHeight="1" x14ac:dyDescent="0.25">
      <x:c r="A125" s="1">
        <x:f>ROW(A125)-1</x:f>
      </x:c>
      <x:c r="B125" s="10">
        <x:v>3061</x:v>
      </x:c>
      <x:c r="C125" s="10" t="s">
        <x:v>43</x:v>
      </x:c>
      <x:c r="D125" s="10" t="s">
        <x:v>618</x:v>
      </x:c>
      <x:c r="E125" s="10" t="s">
        <x:v>619</x:v>
      </x:c>
      <x:c r="F125" s="1" t="s">
        <x:v>620</x:v>
      </x:c>
      <x:c r="G125" s="10" t="s">
        <x:v>621</x:v>
      </x:c>
      <x:c r="H125" s="15" t="s">
        <x:v>116</x:v>
      </x:c>
      <x:c r="I125" s="15"/>
      <x:c r="J125" s="10">
        <x:v>3580</x:v>
      </x:c>
      <x:c r="K125" s="1" t="s">
        <x:v>329</x:v>
      </x:c>
      <x:c r="L125" s="0" t="s">
        <x:v>622</x:v>
      </x:c>
      <x:c r="M125" s="0">
        <x:v>9</x:v>
      </x:c>
      <x:c r="N125" s="0">
        <x:f>""</x:f>
      </x:c>
      <x:c r="O125" s="0">
        <x:f>""</x:f>
      </x:c>
      <x:c r="P125" s="0">
        <x:f>""</x:f>
      </x:c>
      <x:c r="Q125" s="0">
        <x:f>""</x:f>
      </x:c>
      <x:c r="R125" s="0">
        <x:f>""</x:f>
      </x:c>
      <x:c r="S125" s="0">
        <x:f>""</x:f>
      </x:c>
      <x:c r="T125" s="0">
        <x:f>""</x:f>
      </x:c>
      <x:c r="W125" s="0">
        <x:f>""</x:f>
      </x:c>
    </x:row>
    <x:row r="126" spans="1:23" ht="75" customHeight="1" x14ac:dyDescent="0.25">
      <x:c r="A126" s="1">
        <x:f>ROW(A126)-1</x:f>
      </x:c>
      <x:c r="B126" s="10">
        <x:v>3062</x:v>
      </x:c>
      <x:c r="C126" s="10" t="s">
        <x:v>43</x:v>
      </x:c>
      <x:c r="D126" s="10" t="s">
        <x:v>623</x:v>
      </x:c>
      <x:c r="E126" s="10" t="s">
        <x:v>624</x:v>
      </x:c>
      <x:c r="F126" s="1" t="s">
        <x:v>274</x:v>
      </x:c>
      <x:c r="G126" s="10" t="s">
        <x:v>625</x:v>
      </x:c>
      <x:c r="H126" s="15" t="s">
        <x:v>116</x:v>
      </x:c>
      <x:c r="I126" s="15"/>
      <x:c r="J126" s="10">
        <x:v>3580</x:v>
      </x:c>
      <x:c r="K126" s="1" t="s">
        <x:v>626</x:v>
      </x:c>
      <x:c r="L126" s="0" t="s">
        <x:v>627</x:v>
      </x:c>
      <x:c r="M126" s="0">
        <x:v>34</x:v>
      </x:c>
      <x:c r="N126" s="0">
        <x:f>""</x:f>
      </x:c>
      <x:c r="O126" s="0">
        <x:f>""</x:f>
      </x:c>
      <x:c r="P126" s="0">
        <x:f>""</x:f>
      </x:c>
      <x:c r="Q126" s="0">
        <x:f>""</x:f>
      </x:c>
      <x:c r="R126" s="0">
        <x:f>""</x:f>
      </x:c>
      <x:c r="S126" s="0">
        <x:f>""</x:f>
      </x:c>
      <x:c r="T126" s="0">
        <x:f>""</x:f>
      </x:c>
      <x:c r="W126" s="0">
        <x:f>""</x:f>
      </x:c>
    </x:row>
    <x:row r="127" spans="1:23" ht="165" customHeight="1" x14ac:dyDescent="0.25">
      <x:c r="A127" s="1">
        <x:f>ROW(A127)-1</x:f>
      </x:c>
      <x:c r="B127" s="10">
        <x:v>3063</x:v>
      </x:c>
      <x:c r="C127" s="10" t="s">
        <x:v>43</x:v>
      </x:c>
      <x:c r="D127" s="10" t="s">
        <x:v>628</x:v>
      </x:c>
      <x:c r="E127" s="10" t="s">
        <x:v>629</x:v>
      </x:c>
      <x:c r="F127" s="1" t="s">
        <x:v>630</x:v>
      </x:c>
      <x:c r="G127" s="10" t="s">
        <x:v>631</x:v>
      </x:c>
      <x:c r="H127" s="15" t="s">
        <x:v>116</x:v>
      </x:c>
      <x:c r="I127" s="15"/>
      <x:c r="J127" s="10">
        <x:v>3874</x:v>
      </x:c>
      <x:c r="K127" s="1" t="s">
        <x:v>632</x:v>
      </x:c>
      <x:c r="L127" s="0" t="s">
        <x:v>633</x:v>
      </x:c>
      <x:c r="M127" s="0">
        <x:v>1</x:v>
      </x:c>
      <x:c r="N127" s="0">
        <x:f>""</x:f>
      </x:c>
      <x:c r="O127" s="0">
        <x:f>""</x:f>
      </x:c>
      <x:c r="P127" s="0">
        <x:f>""</x:f>
      </x:c>
      <x:c r="Q127" s="0">
        <x:f>""</x:f>
      </x:c>
      <x:c r="R127" s="0">
        <x:f>""</x:f>
      </x:c>
      <x:c r="S127" s="0">
        <x:f>""</x:f>
      </x:c>
      <x:c r="T127" s="0">
        <x:f>""</x:f>
      </x:c>
      <x:c r="W127" s="0">
        <x:f>""</x:f>
      </x:c>
    </x:row>
    <x:row r="128" spans="1:23" ht="90" customHeight="1" x14ac:dyDescent="0.25">
      <x:c r="A128" s="1">
        <x:f>ROW(A128)-1</x:f>
      </x:c>
      <x:c r="B128" s="10">
        <x:v>3067</x:v>
      </x:c>
      <x:c r="C128" s="10" t="s">
        <x:v>43</x:v>
      </x:c>
      <x:c r="D128" s="10" t="s">
        <x:v>634</x:v>
      </x:c>
      <x:c r="E128" s="10" t="s">
        <x:v>635</x:v>
      </x:c>
      <x:c r="F128" s="1" t="s">
        <x:v>636</x:v>
      </x:c>
      <x:c r="G128" s="10" t="s">
        <x:v>637</x:v>
      </x:c>
      <x:c r="H128" s="15" t="s">
        <x:v>116</x:v>
      </x:c>
      <x:c r="I128" s="15"/>
      <x:c r="J128" s="10">
        <x:v>3851</x:v>
      </x:c>
      <x:c r="K128" s="1" t="s">
        <x:v>552</x:v>
      </x:c>
      <x:c r="L128" s="0" t="s">
        <x:v>638</x:v>
      </x:c>
      <x:c r="M128" s="0">
        <x:v>58</x:v>
      </x:c>
      <x:c r="N128" s="0">
        <x:f>""</x:f>
      </x:c>
      <x:c r="O128" s="0">
        <x:f>""</x:f>
      </x:c>
      <x:c r="P128" s="0">
        <x:f>""</x:f>
      </x:c>
      <x:c r="Q128" s="0">
        <x:f>""</x:f>
      </x:c>
      <x:c r="R128" s="0">
        <x:f>""</x:f>
      </x:c>
      <x:c r="S128" s="0">
        <x:f>""</x:f>
      </x:c>
      <x:c r="T128" s="0">
        <x:f>""</x:f>
      </x:c>
      <x:c r="W128" s="0">
        <x:f>""</x:f>
      </x:c>
    </x:row>
    <x:row r="129" spans="1:23" ht="90" customHeight="1" x14ac:dyDescent="0.25">
      <x:c r="A129" s="1">
        <x:f>ROW(A129)-1</x:f>
      </x:c>
      <x:c r="B129" s="10">
        <x:v>3068</x:v>
      </x:c>
      <x:c r="C129" s="10" t="s">
        <x:v>43</x:v>
      </x:c>
      <x:c r="D129" s="10" t="s">
        <x:v>634</x:v>
      </x:c>
      <x:c r="E129" s="10" t="s">
        <x:v>639</x:v>
      </x:c>
      <x:c r="F129" s="1" t="s">
        <x:v>108</x:v>
      </x:c>
      <x:c r="G129" s="10" t="s">
        <x:v>640</x:v>
      </x:c>
      <x:c r="H129" s="15" t="s">
        <x:v>116</x:v>
      </x:c>
      <x:c r="I129" s="15"/>
      <x:c r="J129" s="10">
        <x:v>3910</x:v>
      </x:c>
      <x:c r="K129" s="1" t="s">
        <x:v>50</x:v>
      </x:c>
      <x:c r="L129" s="0" t="s">
        <x:v>251</x:v>
      </x:c>
      <x:c r="M129" s="0">
        <x:v>3</x:v>
      </x:c>
      <x:c r="N129" s="0">
        <x:f>""</x:f>
      </x:c>
      <x:c r="O129" s="0">
        <x:f>""</x:f>
      </x:c>
      <x:c r="P129" s="0">
        <x:f>""</x:f>
      </x:c>
      <x:c r="Q129" s="0">
        <x:f>""</x:f>
      </x:c>
      <x:c r="R129" s="0">
        <x:f>""</x:f>
      </x:c>
      <x:c r="S129" s="0">
        <x:f>""</x:f>
      </x:c>
      <x:c r="T129" s="0">
        <x:f>""</x:f>
      </x:c>
      <x:c r="W129" s="0">
        <x:f>""</x:f>
      </x:c>
    </x:row>
    <x:row r="130" spans="1:23" ht="45" customHeight="1" x14ac:dyDescent="0.25">
      <x:c r="A130" s="1">
        <x:f>ROW(A130)-1</x:f>
      </x:c>
      <x:c r="B130" s="10">
        <x:v>3070</x:v>
      </x:c>
      <x:c r="C130" s="10" t="s">
        <x:v>43</x:v>
      </x:c>
      <x:c r="D130" s="10" t="s">
        <x:v>477</x:v>
      </x:c>
      <x:c r="E130" s="10" t="s">
        <x:v>641</x:v>
      </x:c>
      <x:c r="F130" s="1" t="s">
        <x:v>248</x:v>
      </x:c>
      <x:c r="G130" s="10" t="s">
        <x:v>642</x:v>
      </x:c>
      <x:c r="H130" s="15" t="s">
        <x:v>116</x:v>
      </x:c>
      <x:c r="I130" s="15"/>
      <x:c r="J130" s="10">
        <x:v>3874</x:v>
      </x:c>
      <x:c r="K130" s="1" t="s">
        <x:v>632</x:v>
      </x:c>
      <x:c r="L130" s="0" t="s">
        <x:v>491</x:v>
      </x:c>
      <x:c r="M130" s="0">
        <x:v>12</x:v>
      </x:c>
      <x:c r="N130" s="0">
        <x:f>""</x:f>
      </x:c>
      <x:c r="O130" s="0">
        <x:f>""</x:f>
      </x:c>
      <x:c r="P130" s="0">
        <x:f>""</x:f>
      </x:c>
      <x:c r="Q130" s="0">
        <x:f>""</x:f>
      </x:c>
      <x:c r="R130" s="0">
        <x:f>""</x:f>
      </x:c>
      <x:c r="S130" s="0">
        <x:f>""</x:f>
      </x:c>
      <x:c r="T130" s="0">
        <x:f>""</x:f>
      </x:c>
      <x:c r="W130" s="0">
        <x:f>""</x:f>
      </x:c>
    </x:row>
    <x:row r="131" spans="1:23" ht="45" customHeight="1" x14ac:dyDescent="0.25">
      <x:c r="A131" s="1">
        <x:f>ROW(A131)-1</x:f>
      </x:c>
      <x:c r="B131" s="10">
        <x:v>3071</x:v>
      </x:c>
      <x:c r="C131" s="10" t="s">
        <x:v>43</x:v>
      </x:c>
      <x:c r="D131" s="10" t="s">
        <x:v>477</x:v>
      </x:c>
      <x:c r="E131" s="10" t="s">
        <x:v>643</x:v>
      </x:c>
      <x:c r="F131" s="1" t="s">
        <x:v>146</x:v>
      </x:c>
      <x:c r="G131" s="10" t="s">
        <x:v>580</x:v>
      </x:c>
      <x:c r="H131" s="15" t="s">
        <x:v>116</x:v>
      </x:c>
      <x:c r="I131" s="15"/>
      <x:c r="J131" s="10">
        <x:v>3722</x:v>
      </x:c>
      <x:c r="K131" s="1" t="s">
        <x:v>644</x:v>
      </x:c>
      <x:c r="L131" s="0" t="s">
        <x:v>645</x:v>
      </x:c>
      <x:c r="M131" s="0">
        <x:v>39</x:v>
      </x:c>
      <x:c r="N131" s="0">
        <x:f>""</x:f>
      </x:c>
      <x:c r="O131" s="0">
        <x:f>""</x:f>
      </x:c>
      <x:c r="P131" s="0">
        <x:f>""</x:f>
      </x:c>
      <x:c r="Q131" s="0">
        <x:f>""</x:f>
      </x:c>
      <x:c r="R131" s="0">
        <x:f>""</x:f>
      </x:c>
      <x:c r="S131" s="0">
        <x:f>""</x:f>
      </x:c>
      <x:c r="T131" s="0">
        <x:f>""</x:f>
      </x:c>
      <x:c r="W131" s="0">
        <x:f>""</x:f>
      </x:c>
    </x:row>
    <x:row r="132" spans="1:23" ht="45" customHeight="1" x14ac:dyDescent="0.25">
      <x:c r="A132" s="1">
        <x:f>ROW(A132)-1</x:f>
      </x:c>
      <x:c r="B132" s="10">
        <x:v>3081</x:v>
      </x:c>
      <x:c r="C132" s="10" t="s">
        <x:v>43</x:v>
      </x:c>
      <x:c r="D132" s="10" t="s">
        <x:v>224</x:v>
      </x:c>
      <x:c r="E132" s="10" t="s">
        <x:v>646</x:v>
      </x:c>
      <x:c r="F132" s="1" t="s">
        <x:v>488</x:v>
      </x:c>
      <x:c r="G132" s="10" t="s">
        <x:v>647</x:v>
      </x:c>
      <x:c r="H132" s="15" t="s">
        <x:v>116</x:v>
      </x:c>
      <x:c r="I132" s="15"/>
      <x:c r="J132" s="10">
        <x:v>3594</x:v>
      </x:c>
      <x:c r="K132" s="1" t="s">
        <x:v>648</x:v>
      </x:c>
      <x:c r="L132" s="0" t="s">
        <x:v>649</x:v>
      </x:c>
      <x:c r="M132" s="0">
        <x:v>1</x:v>
      </x:c>
      <x:c r="N132" s="0">
        <x:f>""</x:f>
      </x:c>
      <x:c r="O132" s="0">
        <x:f>""</x:f>
      </x:c>
      <x:c r="P132" s="0">
        <x:f>""</x:f>
      </x:c>
      <x:c r="Q132" s="0">
        <x:f>""</x:f>
      </x:c>
      <x:c r="R132" s="0">
        <x:f>""</x:f>
      </x:c>
      <x:c r="S132" s="0">
        <x:f>""</x:f>
      </x:c>
      <x:c r="T132" s="0">
        <x:f>""</x:f>
      </x:c>
      <x:c r="W132" s="0">
        <x:f>""</x:f>
      </x:c>
    </x:row>
    <x:row r="133" spans="1:23" ht="60" customHeight="1" x14ac:dyDescent="0.25">
      <x:c r="A133" s="1">
        <x:f>ROW(A133)-1</x:f>
      </x:c>
      <x:c r="B133" s="10">
        <x:v>3082</x:v>
      </x:c>
      <x:c r="C133" s="10" t="s">
        <x:v>43</x:v>
      </x:c>
      <x:c r="D133" s="10" t="s">
        <x:v>650</x:v>
      </x:c>
      <x:c r="E133" s="10" t="s">
        <x:v>651</x:v>
      </x:c>
      <x:c r="F133" s="1" t="s">
        <x:v>652</x:v>
      </x:c>
      <x:c r="G133" s="10" t="s">
        <x:v>653</x:v>
      </x:c>
      <x:c r="H133" s="15" t="s">
        <x:v>654</x:v>
      </x:c>
      <x:c r="I133" s="15" t="s">
        <x:v>655</x:v>
      </x:c>
      <x:c r="J133" s="10">
        <x:v>2042</x:v>
      </x:c>
      <x:c r="K133" s="1" t="s">
        <x:v>656</x:v>
      </x:c>
      <x:c r="L133" s="0" t="s">
        <x:v>657</x:v>
      </x:c>
      <x:c r="M133" s="0">
        <x:v>301</x:v>
      </x:c>
      <x:c r="N133" s="0">
        <x:f>""</x:f>
      </x:c>
      <x:c r="O133" s="0">
        <x:f>""</x:f>
      </x:c>
      <x:c r="P133" s="0">
        <x:f>""</x:f>
      </x:c>
      <x:c r="Q133" s="0">
        <x:f>""</x:f>
      </x:c>
      <x:c r="R133" s="0">
        <x:f>""</x:f>
      </x:c>
      <x:c r="S133" s="0">
        <x:f>""</x:f>
      </x:c>
      <x:c r="T133" s="0">
        <x:f>""</x:f>
      </x:c>
      <x:c r="W133" s="0">
        <x:f>""</x:f>
      </x:c>
    </x:row>
    <x:row r="134" spans="1:23" ht="75" customHeight="1" x14ac:dyDescent="0.25">
      <x:c r="A134" s="1">
        <x:f>ROW(A134)-1</x:f>
      </x:c>
      <x:c r="B134" s="10">
        <x:v>3084</x:v>
      </x:c>
      <x:c r="C134" s="10" t="s">
        <x:v>43</x:v>
      </x:c>
      <x:c r="D134" s="10" t="s">
        <x:v>658</x:v>
      </x:c>
      <x:c r="E134" s="10" t="s">
        <x:v>659</x:v>
      </x:c>
      <x:c r="F134" s="1" t="s">
        <x:v>660</x:v>
      </x:c>
      <x:c r="G134" s="10" t="s">
        <x:v>661</x:v>
      </x:c>
      <x:c r="H134" s="15" t="s">
        <x:v>116</x:v>
      </x:c>
      <x:c r="I134" s="15"/>
      <x:c r="J134" s="10">
        <x:v>3580</x:v>
      </x:c>
      <x:c r="K134" s="1" t="s">
        <x:v>329</x:v>
      </x:c>
      <x:c r="L134" s="0" t="s">
        <x:v>662</x:v>
      </x:c>
      <x:c r="M134" s="0">
        <x:v>10</x:v>
      </x:c>
      <x:c r="N134" s="0">
        <x:f>""</x:f>
      </x:c>
      <x:c r="O134" s="0">
        <x:f>""</x:f>
      </x:c>
      <x:c r="P134" s="0">
        <x:f>""</x:f>
      </x:c>
      <x:c r="Q134" s="0">
        <x:f>""</x:f>
      </x:c>
      <x:c r="R134" s="0">
        <x:f>""</x:f>
      </x:c>
      <x:c r="S134" s="0">
        <x:f>""</x:f>
      </x:c>
      <x:c r="T134" s="0">
        <x:f>""</x:f>
      </x:c>
      <x:c r="W134" s="0">
        <x:f>""</x:f>
      </x:c>
    </x:row>
    <x:row r="135" spans="1:23" ht="90" customHeight="1" x14ac:dyDescent="0.25">
      <x:c r="A135" s="1">
        <x:f>ROW(A135)-1</x:f>
      </x:c>
      <x:c r="B135" s="10">
        <x:v>3085</x:v>
      </x:c>
      <x:c r="C135" s="10" t="s">
        <x:v>43</x:v>
      </x:c>
      <x:c r="D135" s="10" t="s">
        <x:v>663</x:v>
      </x:c>
      <x:c r="E135" s="10" t="s">
        <x:v>664</x:v>
      </x:c>
      <x:c r="G135" s="10"/>
      <x:c r="H135" s="15" t="s">
        <x:v>116</x:v>
      </x:c>
      <x:c r="I135" s="15"/>
      <x:c r="J135" s="10">
        <x:v>3902</x:v>
      </x:c>
      <x:c r="K135" s="1" t="s">
        <x:v>270</x:v>
      </x:c>
      <x:c r="L135" s="0" t="s">
        <x:v>665</x:v>
      </x:c>
      <x:c r="M135" s="0">
        <x:v>30</x:v>
      </x:c>
      <x:c r="N135" s="0">
        <x:f>""</x:f>
      </x:c>
      <x:c r="O135" s="0">
        <x:f>""</x:f>
      </x:c>
      <x:c r="P135" s="0">
        <x:f>""</x:f>
      </x:c>
      <x:c r="Q135" s="0">
        <x:f>""</x:f>
      </x:c>
      <x:c r="R135" s="0">
        <x:f>""</x:f>
      </x:c>
      <x:c r="S135" s="0">
        <x:f>""</x:f>
      </x:c>
      <x:c r="T135" s="0">
        <x:f>""</x:f>
      </x:c>
      <x:c r="W135" s="0">
        <x:f>""</x:f>
      </x:c>
    </x:row>
    <x:row r="136" spans="1:23" ht="90" customHeight="1" x14ac:dyDescent="0.25">
      <x:c r="A136" s="1">
        <x:f>ROW(A136)-1</x:f>
      </x:c>
      <x:c r="B136" s="10">
        <x:v>3086</x:v>
      </x:c>
      <x:c r="C136" s="10" t="s">
        <x:v>43</x:v>
      </x:c>
      <x:c r="D136" s="10" t="s">
        <x:v>666</x:v>
      </x:c>
      <x:c r="E136" s="10" t="s">
        <x:v>667</x:v>
      </x:c>
      <x:c r="G136" s="10"/>
      <x:c r="H136" s="15" t="s">
        <x:v>116</x:v>
      </x:c>
      <x:c r="I136" s="15"/>
      <x:c r="J136" s="10">
        <x:v>2095</x:v>
      </x:c>
      <x:c r="K136" s="1" t="s">
        <x:v>668</x:v>
      </x:c>
      <x:c r="L136" s="0" t="s">
        <x:v>338</x:v>
      </x:c>
      <x:c r="M136" s="0">
        <x:v>23</x:v>
      </x:c>
      <x:c r="N136" s="0">
        <x:f>""</x:f>
      </x:c>
      <x:c r="O136" s="0">
        <x:f>""</x:f>
      </x:c>
      <x:c r="P136" s="0">
        <x:f>""</x:f>
      </x:c>
      <x:c r="Q136" s="0">
        <x:f>""</x:f>
      </x:c>
      <x:c r="R136" s="0">
        <x:f>""</x:f>
      </x:c>
      <x:c r="S136" s="0">
        <x:f>""</x:f>
      </x:c>
      <x:c r="T136" s="0">
        <x:f>""</x:f>
      </x:c>
      <x:c r="W136" s="0">
        <x:f>""</x:f>
      </x:c>
    </x:row>
    <x:row r="137" spans="1:23" ht="30" customHeight="1" x14ac:dyDescent="0.25">
      <x:c r="A137" s="1">
        <x:f>ROW(A137)-1</x:f>
      </x:c>
      <x:c r="B137" s="10">
        <x:v>3087</x:v>
      </x:c>
      <x:c r="C137" s="10" t="s">
        <x:v>43</x:v>
      </x:c>
      <x:c r="D137" s="10" t="s">
        <x:v>224</x:v>
      </x:c>
      <x:c r="E137" s="10" t="s">
        <x:v>669</x:v>
      </x:c>
      <x:c r="F137" s="1" t="s">
        <x:v>437</x:v>
      </x:c>
      <x:c r="G137" s="10" t="s">
        <x:v>670</x:v>
      </x:c>
      <x:c r="H137" s="15" t="s">
        <x:v>116</x:v>
      </x:c>
      <x:c r="I137" s="15"/>
      <x:c r="J137" s="10">
        <x:v>2070</x:v>
      </x:c>
      <x:c r="K137" s="1" t="s">
        <x:v>334</x:v>
      </x:c>
      <x:c r="L137" s="0" t="s">
        <x:v>671</x:v>
      </x:c>
      <x:c r="M137" s="0">
        <x:v>3</x:v>
      </x:c>
      <x:c r="N137" s="0">
        <x:f>""</x:f>
      </x:c>
      <x:c r="O137" s="0">
        <x:f>""</x:f>
      </x:c>
      <x:c r="P137" s="0">
        <x:f>""</x:f>
      </x:c>
      <x:c r="Q137" s="0">
        <x:f>""</x:f>
      </x:c>
      <x:c r="R137" s="0">
        <x:f>""</x:f>
      </x:c>
      <x:c r="S137" s="0">
        <x:f>""</x:f>
      </x:c>
      <x:c r="T137" s="0">
        <x:f>""</x:f>
      </x:c>
      <x:c r="W137" s="0">
        <x:f>""</x:f>
      </x:c>
    </x:row>
    <x:row r="138" spans="1:23" ht="90" customHeight="1" x14ac:dyDescent="0.25">
      <x:c r="A138" s="1">
        <x:f>ROW(A138)-1</x:f>
      </x:c>
      <x:c r="B138" s="10">
        <x:v>3088</x:v>
      </x:c>
      <x:c r="C138" s="10" t="s">
        <x:v>43</x:v>
      </x:c>
      <x:c r="D138" s="10" t="s">
        <x:v>666</x:v>
      </x:c>
      <x:c r="E138" s="10" t="s">
        <x:v>672</x:v>
      </x:c>
      <x:c r="F138" s="1" t="s">
        <x:v>673</x:v>
      </x:c>
      <x:c r="G138" s="10" t="s">
        <x:v>674</x:v>
      </x:c>
      <x:c r="H138" s="15" t="s">
        <x:v>116</x:v>
      </x:c>
      <x:c r="I138" s="15"/>
      <x:c r="J138" s="10">
        <x:v>3580</x:v>
      </x:c>
      <x:c r="K138" s="1" t="s">
        <x:v>329</x:v>
      </x:c>
      <x:c r="L138" s="0" t="s">
        <x:v>675</x:v>
      </x:c>
      <x:c r="M138" s="0">
        <x:v>32</x:v>
      </x:c>
      <x:c r="N138" s="0">
        <x:f>""</x:f>
      </x:c>
      <x:c r="O138" s="0">
        <x:f>""</x:f>
      </x:c>
      <x:c r="P138" s="0">
        <x:f>""</x:f>
      </x:c>
      <x:c r="Q138" s="0">
        <x:f>""</x:f>
      </x:c>
      <x:c r="R138" s="0">
        <x:f>""</x:f>
      </x:c>
      <x:c r="S138" s="0">
        <x:f>""</x:f>
      </x:c>
      <x:c r="T138" s="0">
        <x:f>""</x:f>
      </x:c>
      <x:c r="W138" s="0">
        <x:f>""</x:f>
      </x:c>
    </x:row>
    <x:row r="139" spans="1:23" ht="75" customHeight="1" x14ac:dyDescent="0.25">
      <x:c r="A139" s="1">
        <x:f>ROW(A139)-1</x:f>
      </x:c>
      <x:c r="B139" s="10">
        <x:v>3089</x:v>
      </x:c>
      <x:c r="C139" s="10" t="s">
        <x:v>43</x:v>
      </x:c>
      <x:c r="D139" s="10" t="s">
        <x:v>676</x:v>
      </x:c>
      <x:c r="E139" s="10" t="s">
        <x:v>677</x:v>
      </x:c>
      <x:c r="F139" s="1" t="s">
        <x:v>678</x:v>
      </x:c>
      <x:c r="G139" s="10" t="s">
        <x:v>679</x:v>
      </x:c>
      <x:c r="H139" s="15" t="s">
        <x:v>116</x:v>
      </x:c>
      <x:c r="I139" s="15"/>
      <x:c r="J139" s="10">
        <x:v>3580</x:v>
      </x:c>
      <x:c r="K139" s="1" t="s">
        <x:v>329</x:v>
      </x:c>
      <x:c r="L139" s="0" t="s">
        <x:v>680</x:v>
      </x:c>
      <x:c r="M139" s="0">
        <x:v>1</x:v>
      </x:c>
      <x:c r="N139" s="0">
        <x:f>""</x:f>
      </x:c>
      <x:c r="O139" s="0">
        <x:f>""</x:f>
      </x:c>
      <x:c r="P139" s="0">
        <x:f>""</x:f>
      </x:c>
      <x:c r="Q139" s="0">
        <x:f>""</x:f>
      </x:c>
      <x:c r="R139" s="0">
        <x:f>""</x:f>
      </x:c>
      <x:c r="S139" s="0">
        <x:f>""</x:f>
      </x:c>
      <x:c r="T139" s="0">
        <x:f>""</x:f>
      </x:c>
      <x:c r="W139" s="0">
        <x:f>""</x:f>
      </x:c>
    </x:row>
    <x:row r="140" spans="1:23" ht="105" customHeight="1" x14ac:dyDescent="0.25">
      <x:c r="A140" s="1">
        <x:f>ROW(A140)-1</x:f>
      </x:c>
      <x:c r="B140" s="10">
        <x:v>3092</x:v>
      </x:c>
      <x:c r="C140" s="10" t="s">
        <x:v>43</x:v>
      </x:c>
      <x:c r="D140" s="10" t="s">
        <x:v>132</x:v>
      </x:c>
      <x:c r="E140" s="10" t="s">
        <x:v>681</x:v>
      </x:c>
      <x:c r="F140" s="1" t="s">
        <x:v>682</x:v>
      </x:c>
      <x:c r="G140" s="10" t="s">
        <x:v>683</x:v>
      </x:c>
      <x:c r="H140" s="15" t="s">
        <x:v>116</x:v>
      </x:c>
      <x:c r="I140" s="15"/>
      <x:c r="J140" s="10">
        <x:v>3580</x:v>
      </x:c>
      <x:c r="K140" s="1" t="s">
        <x:v>329</x:v>
      </x:c>
      <x:c r="L140" s="0" t="s">
        <x:v>680</x:v>
      </x:c>
      <x:c r="M140" s="0">
        <x:v>3</x:v>
      </x:c>
      <x:c r="N140" s="0">
        <x:f>""</x:f>
      </x:c>
      <x:c r="O140" s="0">
        <x:f>""</x:f>
      </x:c>
      <x:c r="P140" s="0">
        <x:f>""</x:f>
      </x:c>
      <x:c r="Q140" s="0">
        <x:f>""</x:f>
      </x:c>
      <x:c r="R140" s="0">
        <x:f>""</x:f>
      </x:c>
      <x:c r="S140" s="0">
        <x:f>""</x:f>
      </x:c>
      <x:c r="T140" s="0">
        <x:f>""</x:f>
      </x:c>
      <x:c r="W140" s="0">
        <x:f>""</x:f>
      </x:c>
    </x:row>
    <x:row r="141" spans="1:23" ht="75" customHeight="1" x14ac:dyDescent="0.25">
      <x:c r="A141" s="1">
        <x:f>ROW(A141)-1</x:f>
      </x:c>
      <x:c r="B141" s="10">
        <x:v>3094</x:v>
      </x:c>
      <x:c r="C141" s="10" t="s">
        <x:v>43</x:v>
      </x:c>
      <x:c r="D141" s="10" t="s">
        <x:v>676</x:v>
      </x:c>
      <x:c r="E141" s="10" t="s">
        <x:v>684</x:v>
      </x:c>
      <x:c r="F141" s="1" t="s">
        <x:v>146</x:v>
      </x:c>
      <x:c r="G141" s="10" t="s">
        <x:v>685</x:v>
      </x:c>
      <x:c r="H141" s="15" t="s">
        <x:v>116</x:v>
      </x:c>
      <x:c r="I141" s="15"/>
      <x:c r="J141" s="10">
        <x:v>3800</x:v>
      </x:c>
      <x:c r="K141" s="1" t="s">
        <x:v>686</x:v>
      </x:c>
      <x:c r="L141" s="0" t="s">
        <x:v>687</x:v>
      </x:c>
      <x:c r="M141" s="0">
        <x:v>49</x:v>
      </x:c>
      <x:c r="N141" s="0">
        <x:f>""</x:f>
      </x:c>
      <x:c r="O141" s="0">
        <x:f>""</x:f>
      </x:c>
      <x:c r="P141" s="0">
        <x:f>""</x:f>
      </x:c>
      <x:c r="Q141" s="0">
        <x:f>""</x:f>
      </x:c>
      <x:c r="R141" s="0">
        <x:f>""</x:f>
      </x:c>
      <x:c r="S141" s="0">
        <x:f>""</x:f>
      </x:c>
      <x:c r="T141" s="0">
        <x:f>""</x:f>
      </x:c>
      <x:c r="W141" s="0">
        <x:f>""</x:f>
      </x:c>
    </x:row>
    <x:row r="142" spans="1:23" ht="75" customHeight="1" x14ac:dyDescent="0.25">
      <x:c r="A142" s="1">
        <x:f>ROW(A142)-1</x:f>
      </x:c>
      <x:c r="B142" s="10">
        <x:v>3095</x:v>
      </x:c>
      <x:c r="C142" s="10" t="s">
        <x:v>43</x:v>
      </x:c>
      <x:c r="D142" s="10" t="s">
        <x:v>676</x:v>
      </x:c>
      <x:c r="E142" s="10" t="s">
        <x:v>688</x:v>
      </x:c>
      <x:c r="F142" s="1" t="s">
        <x:v>689</x:v>
      </x:c>
      <x:c r="G142" s="10" t="s">
        <x:v>690</x:v>
      </x:c>
      <x:c r="H142" s="15" t="s">
        <x:v>116</x:v>
      </x:c>
      <x:c r="I142" s="15"/>
      <x:c r="J142" s="10">
        <x:v>3830</x:v>
      </x:c>
      <x:c r="K142" s="1" t="s">
        <x:v>297</x:v>
      </x:c>
      <x:c r="L142" s="0" t="s">
        <x:v>691</x:v>
      </x:c>
      <x:c r="M142" s="0">
        <x:v>14</x:v>
      </x:c>
      <x:c r="N142" s="0">
        <x:f>""</x:f>
      </x:c>
      <x:c r="O142" s="0">
        <x:f>""</x:f>
      </x:c>
      <x:c r="P142" s="0">
        <x:f>""</x:f>
      </x:c>
      <x:c r="Q142" s="0">
        <x:f>""</x:f>
      </x:c>
      <x:c r="R142" s="0">
        <x:f>""</x:f>
      </x:c>
      <x:c r="S142" s="0">
        <x:f>""</x:f>
      </x:c>
      <x:c r="T142" s="0">
        <x:f>""</x:f>
      </x:c>
      <x:c r="W142" s="0">
        <x:f>""</x:f>
      </x:c>
    </x:row>
    <x:row r="143" spans="1:23" ht="45" customHeight="1" x14ac:dyDescent="0.25">
      <x:c r="A143" s="1">
        <x:f>ROW(A143)-1</x:f>
      </x:c>
      <x:c r="B143" s="10">
        <x:v>3096</x:v>
      </x:c>
      <x:c r="C143" s="10" t="s">
        <x:v>43</x:v>
      </x:c>
      <x:c r="D143" s="10" t="s">
        <x:v>692</x:v>
      </x:c>
      <x:c r="E143" s="10" t="s">
        <x:v>693</x:v>
      </x:c>
      <x:c r="F143" s="1" t="s">
        <x:v>694</x:v>
      </x:c>
      <x:c r="G143" s="10" t="s">
        <x:v>695</x:v>
      </x:c>
      <x:c r="H143" s="15" t="s">
        <x:v>116</x:v>
      </x:c>
      <x:c r="I143" s="15"/>
      <x:c r="J143" s="10">
        <x:v>3800</x:v>
      </x:c>
      <x:c r="K143" s="1" t="s">
        <x:v>481</x:v>
      </x:c>
      <x:c r="L143" s="0" t="s">
        <x:v>75</x:v>
      </x:c>
      <x:c r="M143" s="0">
        <x:v>77</x:v>
      </x:c>
      <x:c r="N143" s="0">
        <x:f>""</x:f>
      </x:c>
      <x:c r="O143" s="0">
        <x:f>""</x:f>
      </x:c>
      <x:c r="P143" s="0">
        <x:f>""</x:f>
      </x:c>
      <x:c r="Q143" s="0">
        <x:f>""</x:f>
      </x:c>
      <x:c r="R143" s="0">
        <x:f>""</x:f>
      </x:c>
      <x:c r="S143" s="0">
        <x:f>""</x:f>
      </x:c>
      <x:c r="T143" s="0">
        <x:f>""</x:f>
      </x:c>
      <x:c r="W143" s="0">
        <x:f>""</x:f>
      </x:c>
    </x:row>
    <x:row r="144" spans="1:23" ht="120" customHeight="1" x14ac:dyDescent="0.25">
      <x:c r="A144" s="1">
        <x:f>ROW(A144)-1</x:f>
      </x:c>
      <x:c r="B144" s="10">
        <x:v>3098</x:v>
      </x:c>
      <x:c r="C144" s="10" t="s">
        <x:v>43</x:v>
      </x:c>
      <x:c r="D144" s="10" t="s">
        <x:v>696</x:v>
      </x:c>
      <x:c r="E144" s="10" t="s">
        <x:v>697</x:v>
      </x:c>
      <x:c r="F144" s="1" t="s">
        <x:v>698</x:v>
      </x:c>
      <x:c r="G144" s="10" t="s">
        <x:v>699</x:v>
      </x:c>
      <x:c r="H144" s="15" t="s">
        <x:v>116</x:v>
      </x:c>
      <x:c r="I144" s="15"/>
      <x:c r="J144" s="10">
        <x:v>3485</x:v>
      </x:c>
      <x:c r="K144" s="1" t="s">
        <x:v>700</x:v>
      </x:c>
      <x:c r="L144" s="0" t="s">
        <x:v>700</x:v>
      </x:c>
      <x:c r="M144" s="0">
        <x:v>4</x:v>
      </x:c>
      <x:c r="N144" s="0">
        <x:f>""</x:f>
      </x:c>
      <x:c r="O144" s="0">
        <x:f>""</x:f>
      </x:c>
      <x:c r="P144" s="0">
        <x:f>""</x:f>
      </x:c>
      <x:c r="Q144" s="0">
        <x:f>""</x:f>
      </x:c>
      <x:c r="R144" s="0">
        <x:f>""</x:f>
      </x:c>
      <x:c r="S144" s="0">
        <x:f>""</x:f>
      </x:c>
      <x:c r="T144" s="0">
        <x:f>""</x:f>
      </x:c>
      <x:c r="W144" s="0">
        <x:f>""</x:f>
      </x:c>
    </x:row>
    <x:row r="145" spans="1:23" ht="45" customHeight="1" x14ac:dyDescent="0.25">
      <x:c r="A145" s="1">
        <x:f>ROW(A145)-1</x:f>
      </x:c>
      <x:c r="B145" s="10">
        <x:v>3102</x:v>
      </x:c>
      <x:c r="C145" s="10" t="s">
        <x:v>43</x:v>
      </x:c>
      <x:c r="D145" s="10" t="s">
        <x:v>224</x:v>
      </x:c>
      <x:c r="E145" s="10" t="s">
        <x:v>701</x:v>
      </x:c>
      <x:c r="F145" s="1" t="s">
        <x:v>474</x:v>
      </x:c>
      <x:c r="G145" s="10" t="s">
        <x:v>702</x:v>
      </x:c>
      <x:c r="H145" s="15" t="s">
        <x:v>703</x:v>
      </x:c>
      <x:c r="I145" s="15" t="s">
        <x:v>704</x:v>
      </x:c>
      <x:c r="J145" s="10">
        <x:v>3572</x:v>
      </x:c>
      <x:c r="K145" s="1" t="s">
        <x:v>705</x:v>
      </x:c>
      <x:c r="L145" s="0" t="s">
        <x:v>706</x:v>
      </x:c>
      <x:c r="M145" s="0">
        <x:v>4</x:v>
      </x:c>
      <x:c r="N145" s="0">
        <x:f>""</x:f>
      </x:c>
      <x:c r="O145" s="0">
        <x:f>""</x:f>
      </x:c>
      <x:c r="P145" s="0">
        <x:f>""</x:f>
      </x:c>
      <x:c r="Q145" s="0">
        <x:f>""</x:f>
      </x:c>
      <x:c r="R145" s="0">
        <x:f>""</x:f>
      </x:c>
      <x:c r="S145" s="0">
        <x:f>""</x:f>
      </x:c>
      <x:c r="T145" s="0">
        <x:f>""</x:f>
      </x:c>
      <x:c r="W145" s="0">
        <x:f>""</x:f>
      </x:c>
    </x:row>
    <x:row r="146" spans="1:23" ht="30" customHeight="1" x14ac:dyDescent="0.25">
      <x:c r="A146" s="1">
        <x:f>ROW(A146)-1</x:f>
      </x:c>
      <x:c r="B146" s="10">
        <x:v>3105</x:v>
      </x:c>
      <x:c r="C146" s="10" t="s">
        <x:v>43</x:v>
      </x:c>
      <x:c r="D146" s="10" t="s">
        <x:v>224</x:v>
      </x:c>
      <x:c r="E146" s="10" t="s">
        <x:v>707</x:v>
      </x:c>
      <x:c r="F146" s="1" t="s">
        <x:v>708</x:v>
      </x:c>
      <x:c r="G146" s="10" t="s">
        <x:v>709</x:v>
      </x:c>
      <x:c r="H146" s="15" t="s">
        <x:v>116</x:v>
      </x:c>
      <x:c r="I146" s="15"/>
      <x:c r="J146" s="10">
        <x:v>2084</x:v>
      </x:c>
      <x:c r="K146" s="1" t="s">
        <x:v>710</x:v>
      </x:c>
      <x:c r="L146" s="0" t="s">
        <x:v>711</x:v>
      </x:c>
      <x:c r="M146" s="0">
        <x:v>55</x:v>
      </x:c>
      <x:c r="N146" s="0">
        <x:f>""</x:f>
      </x:c>
      <x:c r="O146" s="0">
        <x:f>""</x:f>
      </x:c>
      <x:c r="P146" s="0">
        <x:f>""</x:f>
      </x:c>
      <x:c r="Q146" s="0">
        <x:f>""</x:f>
      </x:c>
      <x:c r="R146" s="0">
        <x:f>""</x:f>
      </x:c>
      <x:c r="S146" s="0">
        <x:f>""</x:f>
      </x:c>
      <x:c r="T146" s="0">
        <x:f>""</x:f>
      </x:c>
      <x:c r="W146" s="0">
        <x:f>""</x:f>
      </x:c>
    </x:row>
    <x:row r="147" spans="1:23" ht="30" customHeight="1" x14ac:dyDescent="0.25">
      <x:c r="A147" s="1">
        <x:f>ROW(A147)-1</x:f>
      </x:c>
      <x:c r="B147" s="10">
        <x:v>3107</x:v>
      </x:c>
      <x:c r="C147" s="10" t="s">
        <x:v>43</x:v>
      </x:c>
      <x:c r="D147" s="10" t="s">
        <x:v>224</x:v>
      </x:c>
      <x:c r="E147" s="10" t="s">
        <x:v>712</x:v>
      </x:c>
      <x:c r="F147" s="1" t="s">
        <x:v>410</x:v>
      </x:c>
      <x:c r="G147" s="10" t="s">
        <x:v>713</x:v>
      </x:c>
      <x:c r="H147" s="15" t="s">
        <x:v>116</x:v>
      </x:c>
      <x:c r="I147" s="15"/>
      <x:c r="J147" s="10">
        <x:v>2042</x:v>
      </x:c>
      <x:c r="K147" s="1" t="s">
        <x:v>656</x:v>
      </x:c>
      <x:c r="L147" s="0" t="s">
        <x:v>656</x:v>
      </x:c>
      <x:c r="M147" s="0">
        <x:v>110</x:v>
      </x:c>
      <x:c r="N147" s="0">
        <x:f>""</x:f>
      </x:c>
      <x:c r="O147" s="0">
        <x:f>""</x:f>
      </x:c>
      <x:c r="P147" s="0">
        <x:f>""</x:f>
      </x:c>
      <x:c r="Q147" s="0">
        <x:f>""</x:f>
      </x:c>
      <x:c r="R147" s="0">
        <x:f>""</x:f>
      </x:c>
      <x:c r="S147" s="0">
        <x:f>""</x:f>
      </x:c>
      <x:c r="T147" s="0">
        <x:f>""</x:f>
      </x:c>
      <x:c r="W147" s="0">
        <x:f>""</x:f>
      </x:c>
    </x:row>
    <x:row r="148" spans="1:23" ht="45" customHeight="1" x14ac:dyDescent="0.25">
      <x:c r="A148" s="1">
        <x:f>ROW(A148)-1</x:f>
      </x:c>
      <x:c r="B148" s="10">
        <x:v>3113</x:v>
      </x:c>
      <x:c r="C148" s="10" t="s">
        <x:v>43</x:v>
      </x:c>
      <x:c r="D148" s="10" t="s">
        <x:v>714</x:v>
      </x:c>
      <x:c r="E148" s="10" t="s">
        <x:v>715</x:v>
      </x:c>
      <x:c r="F148" s="1" t="s">
        <x:v>716</x:v>
      </x:c>
      <x:c r="G148" s="10" t="s">
        <x:v>717</x:v>
      </x:c>
      <x:c r="H148" s="15" t="s">
        <x:v>116</x:v>
      </x:c>
      <x:c r="I148" s="15"/>
      <x:c r="J148" s="10">
        <x:v>3910</x:v>
      </x:c>
      <x:c r="K148" s="1" t="s">
        <x:v>50</x:v>
      </x:c>
      <x:c r="L148" s="0" t="s">
        <x:v>718</x:v>
      </x:c>
      <x:c r="M148" s="0">
        <x:v>2</x:v>
      </x:c>
      <x:c r="N148" s="0">
        <x:f>""</x:f>
      </x:c>
      <x:c r="O148" s="0">
        <x:f>""</x:f>
      </x:c>
      <x:c r="P148" s="0">
        <x:f>""</x:f>
      </x:c>
      <x:c r="Q148" s="0">
        <x:f>""</x:f>
      </x:c>
      <x:c r="R148" s="0">
        <x:f>""</x:f>
      </x:c>
      <x:c r="S148" s="0">
        <x:f>""</x:f>
      </x:c>
      <x:c r="T148" s="0">
        <x:f>""</x:f>
      </x:c>
      <x:c r="W148" s="0">
        <x:f>""</x:f>
      </x:c>
    </x:row>
    <x:row r="149" spans="1:23" ht="45" customHeight="1" x14ac:dyDescent="0.25">
      <x:c r="A149" s="1">
        <x:f>ROW(A149)-1</x:f>
      </x:c>
      <x:c r="B149" s="10">
        <x:v>3116</x:v>
      </x:c>
      <x:c r="C149" s="10" t="s">
        <x:v>43</x:v>
      </x:c>
      <x:c r="D149" s="10" t="s">
        <x:v>719</x:v>
      </x:c>
      <x:c r="E149" s="10" t="s">
        <x:v>720</x:v>
      </x:c>
      <x:c r="F149" s="1" t="s">
        <x:v>248</x:v>
      </x:c>
      <x:c r="G149" s="10" t="s">
        <x:v>720</x:v>
      </x:c>
      <x:c r="H149" s="15" t="s">
        <x:v>116</x:v>
      </x:c>
      <x:c r="I149" s="15"/>
      <x:c r="J149" s="10">
        <x:v>3944</x:v>
      </x:c>
      <x:c r="K149" s="1" t="s">
        <x:v>183</x:v>
      </x:c>
      <x:c r="L149" s="0" t="s">
        <x:v>721</x:v>
      </x:c>
      <x:c r="M149" s="0">
        <x:v>24</x:v>
      </x:c>
      <x:c r="N149" s="0">
        <x:f>""</x:f>
      </x:c>
      <x:c r="O149" s="0">
        <x:f>""</x:f>
      </x:c>
      <x:c r="P149" s="0">
        <x:f>""</x:f>
      </x:c>
      <x:c r="Q149" s="0">
        <x:f>""</x:f>
      </x:c>
      <x:c r="R149" s="0">
        <x:f>""</x:f>
      </x:c>
      <x:c r="S149" s="0">
        <x:f>""</x:f>
      </x:c>
      <x:c r="T149" s="0">
        <x:f>""</x:f>
      </x:c>
      <x:c r="W149" s="0">
        <x:f>""</x:f>
      </x:c>
    </x:row>
    <x:row r="150" spans="1:23" ht="75" customHeight="1" x14ac:dyDescent="0.25">
      <x:c r="A150" s="1">
        <x:f>ROW(A150)-1</x:f>
      </x:c>
      <x:c r="B150" s="10">
        <x:v>3119</x:v>
      </x:c>
      <x:c r="C150" s="10" t="s">
        <x:v>43</x:v>
      </x:c>
      <x:c r="D150" s="10" t="s">
        <x:v>722</x:v>
      </x:c>
      <x:c r="E150" s="10" t="s">
        <x:v>723</x:v>
      </x:c>
      <x:c r="F150" s="1" t="s">
        <x:v>517</x:v>
      </x:c>
      <x:c r="G150" s="10" t="s">
        <x:v>724</x:v>
      </x:c>
      <x:c r="H150" s="15" t="s">
        <x:v>116</x:v>
      </x:c>
      <x:c r="I150" s="15"/>
      <x:c r="J150" s="10">
        <x:v>3572</x:v>
      </x:c>
      <x:c r="K150" s="1" t="s">
        <x:v>725</x:v>
      </x:c>
      <x:c r="L150" s="0" t="s">
        <x:v>726</x:v>
      </x:c>
      <x:c r="M150" s="0">
        <x:v>74</x:v>
      </x:c>
      <x:c r="N150" s="0">
        <x:f>""</x:f>
      </x:c>
      <x:c r="O150" s="0">
        <x:f>""</x:f>
      </x:c>
      <x:c r="P150" s="0">
        <x:f>""</x:f>
      </x:c>
      <x:c r="Q150" s="0">
        <x:f>""</x:f>
      </x:c>
      <x:c r="R150" s="0">
        <x:f>""</x:f>
      </x:c>
      <x:c r="S150" s="0">
        <x:f>""</x:f>
      </x:c>
      <x:c r="T150" s="0">
        <x:f>""</x:f>
      </x:c>
      <x:c r="W150" s="0">
        <x:f>""</x:f>
      </x:c>
    </x:row>
    <x:row r="151" spans="1:23" ht="75" customHeight="1" x14ac:dyDescent="0.25">
      <x:c r="A151" s="1">
        <x:f>ROW(A151)-1</x:f>
      </x:c>
      <x:c r="B151" s="10">
        <x:v>3120</x:v>
      </x:c>
      <x:c r="C151" s="10" t="s">
        <x:v>43</x:v>
      </x:c>
      <x:c r="D151" s="10" t="s">
        <x:v>727</x:v>
      </x:c>
      <x:c r="E151" s="10" t="s">
        <x:v>728</x:v>
      </x:c>
      <x:c r="F151" s="1" t="s">
        <x:v>729</x:v>
      </x:c>
      <x:c r="G151" s="10" t="s">
        <x:v>730</x:v>
      </x:c>
      <x:c r="H151" s="15" t="s">
        <x:v>116</x:v>
      </x:c>
      <x:c r="I151" s="15"/>
      <x:c r="J151" s="10">
        <x:v>3580</x:v>
      </x:c>
      <x:c r="K151" s="1" t="s">
        <x:v>329</x:v>
      </x:c>
      <x:c r="L151" s="0" t="s">
        <x:v>731</x:v>
      </x:c>
      <x:c r="M151" s="0">
        <x:v>7</x:v>
      </x:c>
      <x:c r="N151" s="0">
        <x:f>""</x:f>
      </x:c>
      <x:c r="O151" s="0">
        <x:f>""</x:f>
      </x:c>
      <x:c r="P151" s="0">
        <x:f>""</x:f>
      </x:c>
      <x:c r="Q151" s="0">
        <x:f>""</x:f>
      </x:c>
      <x:c r="R151" s="0">
        <x:f>""</x:f>
      </x:c>
      <x:c r="S151" s="0">
        <x:f>""</x:f>
      </x:c>
      <x:c r="T151" s="0">
        <x:f>""</x:f>
      </x:c>
      <x:c r="W151" s="0">
        <x:f>""</x:f>
      </x:c>
    </x:row>
    <x:row r="152" spans="1:23" ht="90" customHeight="1" x14ac:dyDescent="0.25">
      <x:c r="A152" s="1">
        <x:f>ROW(A152)-1</x:f>
      </x:c>
      <x:c r="B152" s="10">
        <x:v>3121</x:v>
      </x:c>
      <x:c r="C152" s="10" t="s">
        <x:v>43</x:v>
      </x:c>
      <x:c r="D152" s="10" t="s">
        <x:v>732</x:v>
      </x:c>
      <x:c r="E152" s="10" t="s">
        <x:v>733</x:v>
      </x:c>
      <x:c r="F152" s="1" t="s">
        <x:v>232</x:v>
      </x:c>
      <x:c r="G152" s="10" t="s">
        <x:v>734</x:v>
      </x:c>
      <x:c r="H152" s="15" t="s">
        <x:v>116</x:v>
      </x:c>
      <x:c r="I152" s="15"/>
      <x:c r="J152" s="10">
        <x:v>3580</x:v>
      </x:c>
      <x:c r="K152" s="1" t="s">
        <x:v>735</x:v>
      </x:c>
      <x:c r="L152" s="0" t="s">
        <x:v>736</x:v>
      </x:c>
      <x:c r="M152" s="0">
        <x:v>12</x:v>
      </x:c>
      <x:c r="N152" s="0">
        <x:f>""</x:f>
      </x:c>
      <x:c r="O152" s="0">
        <x:f>""</x:f>
      </x:c>
      <x:c r="P152" s="0">
        <x:f>""</x:f>
      </x:c>
      <x:c r="Q152" s="0">
        <x:f>""</x:f>
      </x:c>
      <x:c r="R152" s="0">
        <x:f>""</x:f>
      </x:c>
      <x:c r="S152" s="0">
        <x:f>""</x:f>
      </x:c>
      <x:c r="T152" s="0">
        <x:f>""</x:f>
      </x:c>
      <x:c r="W152" s="0">
        <x:f>""</x:f>
      </x:c>
    </x:row>
    <x:row r="153" spans="1:23" ht="30" customHeight="1" x14ac:dyDescent="0.25">
      <x:c r="A153" s="1">
        <x:f>ROW(A153)-1</x:f>
      </x:c>
      <x:c r="B153" s="10">
        <x:v>3123</x:v>
      </x:c>
      <x:c r="C153" s="10" t="s">
        <x:v>43</x:v>
      </x:c>
      <x:c r="D153" s="10" t="s">
        <x:v>224</x:v>
      </x:c>
      <x:c r="E153" s="10" t="s">
        <x:v>737</x:v>
      </x:c>
      <x:c r="F153" s="1" t="s">
        <x:v>738</x:v>
      </x:c>
      <x:c r="G153" s="10" t="s">
        <x:v>739</x:v>
      </x:c>
      <x:c r="H153" s="15" t="s">
        <x:v>116</x:v>
      </x:c>
      <x:c r="I153" s="15"/>
      <x:c r="J153" s="10">
        <x:v>2061</x:v>
      </x:c>
      <x:c r="K153" s="1" t="s">
        <x:v>740</x:v>
      </x:c>
      <x:c r="L153" s="0" t="s">
        <x:v>741</x:v>
      </x:c>
      <x:c r="M153" s="0">
        <x:v>57</x:v>
      </x:c>
      <x:c r="N153" s="0">
        <x:f>""</x:f>
      </x:c>
      <x:c r="O153" s="0">
        <x:f>""</x:f>
      </x:c>
      <x:c r="P153" s="0">
        <x:f>""</x:f>
      </x:c>
      <x:c r="Q153" s="0">
        <x:f>""</x:f>
      </x:c>
      <x:c r="R153" s="0">
        <x:f>""</x:f>
      </x:c>
      <x:c r="S153" s="0">
        <x:f>""</x:f>
      </x:c>
      <x:c r="T153" s="0">
        <x:f>""</x:f>
      </x:c>
      <x:c r="W153" s="0">
        <x:f>""</x:f>
      </x:c>
    </x:row>
    <x:row r="154" spans="1:23" ht="45" customHeight="1" x14ac:dyDescent="0.25">
      <x:c r="A154" s="1">
        <x:f>ROW(A154)-1</x:f>
      </x:c>
      <x:c r="B154" s="10">
        <x:v>3125</x:v>
      </x:c>
      <x:c r="C154" s="10" t="s">
        <x:v>43</x:v>
      </x:c>
      <x:c r="D154" s="10" t="s">
        <x:v>224</x:v>
      </x:c>
      <x:c r="E154" s="10" t="s">
        <x:v>742</x:v>
      </x:c>
      <x:c r="F154" s="1" t="s">
        <x:v>241</x:v>
      </x:c>
      <x:c r="G154" s="10" t="s">
        <x:v>743</x:v>
      </x:c>
      <x:c r="H154" s="15" t="s">
        <x:v>116</x:v>
      </x:c>
      <x:c r="I154" s="15"/>
      <x:c r="J154" s="10">
        <x:v>3500</x:v>
      </x:c>
      <x:c r="K154" s="1" t="s">
        <x:v>201</x:v>
      </x:c>
      <x:c r="L154" s="0" t="s">
        <x:v>744</x:v>
      </x:c>
      <x:c r="M154" s="0">
        <x:v>10</x:v>
      </x:c>
      <x:c r="N154" s="0">
        <x:f>""</x:f>
      </x:c>
      <x:c r="O154" s="0">
        <x:f>""</x:f>
      </x:c>
      <x:c r="P154" s="0">
        <x:f>""</x:f>
      </x:c>
      <x:c r="Q154" s="0">
        <x:f>""</x:f>
      </x:c>
      <x:c r="R154" s="0">
        <x:f>""</x:f>
      </x:c>
      <x:c r="S154" s="0">
        <x:f>""</x:f>
      </x:c>
      <x:c r="T154" s="0">
        <x:f>""</x:f>
      </x:c>
      <x:c r="W154" s="0">
        <x:f>""</x:f>
      </x:c>
    </x:row>
    <x:row r="155" spans="1:23" ht="45" customHeight="1" x14ac:dyDescent="0.25">
      <x:c r="A155" s="1">
        <x:f>ROW(A155)-1</x:f>
      </x:c>
      <x:c r="B155" s="10">
        <x:v>3126</x:v>
      </x:c>
      <x:c r="C155" s="10" t="s">
        <x:v>43</x:v>
      </x:c>
      <x:c r="D155" s="10" t="s">
        <x:v>224</x:v>
      </x:c>
      <x:c r="E155" s="10" t="s">
        <x:v>745</x:v>
      </x:c>
      <x:c r="F155" s="1" t="s">
        <x:v>708</x:v>
      </x:c>
      <x:c r="G155" s="10" t="s">
        <x:v>746</x:v>
      </x:c>
      <x:c r="H155" s="15" t="s">
        <x:v>116</x:v>
      </x:c>
      <x:c r="I155" s="15"/>
      <x:c r="J155" s="10">
        <x:v>3812</x:v>
      </x:c>
      <x:c r="K155" s="1" t="s">
        <x:v>511</x:v>
      </x:c>
      <x:c r="L155" s="0" t="s">
        <x:v>747</x:v>
      </x:c>
      <x:c r="M155" s="0">
        <x:v>4</x:v>
      </x:c>
      <x:c r="N155" s="0">
        <x:f>""</x:f>
      </x:c>
      <x:c r="O155" s="0">
        <x:f>""</x:f>
      </x:c>
      <x:c r="P155" s="0">
        <x:f>""</x:f>
      </x:c>
      <x:c r="Q155" s="0">
        <x:f>""</x:f>
      </x:c>
      <x:c r="R155" s="0">
        <x:f>""</x:f>
      </x:c>
      <x:c r="S155" s="0">
        <x:f>""</x:f>
      </x:c>
      <x:c r="T155" s="0">
        <x:f>""</x:f>
      </x:c>
      <x:c r="W155" s="0">
        <x:f>""</x:f>
      </x:c>
    </x:row>
    <x:row r="156" spans="1:23" ht="45" customHeight="1" x14ac:dyDescent="0.25">
      <x:c r="A156" s="1">
        <x:f>ROW(A156)-1</x:f>
      </x:c>
      <x:c r="B156" s="10">
        <x:v>3127</x:v>
      </x:c>
      <x:c r="C156" s="10" t="s">
        <x:v>43</x:v>
      </x:c>
      <x:c r="D156" s="10" t="s">
        <x:v>224</x:v>
      </x:c>
      <x:c r="E156" s="10" t="s">
        <x:v>748</x:v>
      </x:c>
      <x:c r="F156" s="1" t="s">
        <x:v>749</x:v>
      </x:c>
      <x:c r="G156" s="10" t="s">
        <x:v>173</x:v>
      </x:c>
      <x:c r="H156" s="15" t="s">
        <x:v>116</x:v>
      </x:c>
      <x:c r="I156" s="15"/>
      <x:c r="J156" s="10">
        <x:v>3500</x:v>
      </x:c>
      <x:c r="K156" s="1" t="s">
        <x:v>201</x:v>
      </x:c>
      <x:c r="L156" s="0" t="s">
        <x:v>750</x:v>
      </x:c>
      <x:c r="M156" s="0">
        <x:v>30</x:v>
      </x:c>
      <x:c r="N156" s="0">
        <x:f>""</x:f>
      </x:c>
      <x:c r="O156" s="0">
        <x:f>""</x:f>
      </x:c>
      <x:c r="P156" s="0">
        <x:f>""</x:f>
      </x:c>
      <x:c r="Q156" s="0">
        <x:f>""</x:f>
      </x:c>
      <x:c r="R156" s="0">
        <x:f>""</x:f>
      </x:c>
      <x:c r="S156" s="0">
        <x:f>""</x:f>
      </x:c>
      <x:c r="T156" s="0">
        <x:f>""</x:f>
      </x:c>
      <x:c r="W156" s="0">
        <x:f>""</x:f>
      </x:c>
    </x:row>
    <x:row r="157" spans="1:23" ht="30" customHeight="1" x14ac:dyDescent="0.25">
      <x:c r="A157" s="1">
        <x:f>ROW(A157)-1</x:f>
      </x:c>
      <x:c r="B157" s="10">
        <x:v>3128</x:v>
      </x:c>
      <x:c r="C157" s="10" t="s">
        <x:v>43</x:v>
      </x:c>
      <x:c r="D157" s="10" t="s">
        <x:v>224</x:v>
      </x:c>
      <x:c r="E157" s="10" t="s">
        <x:v>751</x:v>
      </x:c>
      <x:c r="F157" s="1" t="s">
        <x:v>261</x:v>
      </x:c>
      <x:c r="G157" s="10" t="s">
        <x:v>752</x:v>
      </x:c>
      <x:c r="H157" s="15" t="s">
        <x:v>116</x:v>
      </x:c>
      <x:c r="I157" s="15"/>
      <x:c r="J157" s="10">
        <x:v>3920</x:v>
      </x:c>
      <x:c r="K157" s="1" t="s">
        <x:v>753</x:v>
      </x:c>
      <x:c r="L157" s="0" t="s">
        <x:v>754</x:v>
      </x:c>
      <x:c r="M157" s="0">
        <x:v>15</x:v>
      </x:c>
      <x:c r="N157" s="0">
        <x:f>""</x:f>
      </x:c>
      <x:c r="O157" s="0">
        <x:f>""</x:f>
      </x:c>
      <x:c r="P157" s="0">
        <x:f>""</x:f>
      </x:c>
      <x:c r="Q157" s="0">
        <x:f>""</x:f>
      </x:c>
      <x:c r="R157" s="0">
        <x:f>""</x:f>
      </x:c>
      <x:c r="S157" s="0">
        <x:f>""</x:f>
      </x:c>
      <x:c r="T157" s="0">
        <x:f>""</x:f>
      </x:c>
      <x:c r="W157" s="0">
        <x:f>""</x:f>
      </x:c>
    </x:row>
    <x:row r="158" spans="1:23" ht="45" customHeight="1" x14ac:dyDescent="0.25">
      <x:c r="A158" s="1">
        <x:f>ROW(A158)-1</x:f>
      </x:c>
      <x:c r="B158" s="10">
        <x:v>3129</x:v>
      </x:c>
      <x:c r="C158" s="10" t="s">
        <x:v>43</x:v>
      </x:c>
      <x:c r="D158" s="10" t="s">
        <x:v>224</x:v>
      </x:c>
      <x:c r="E158" s="10" t="s">
        <x:v>198</x:v>
      </x:c>
      <x:c r="F158" s="1" t="s">
        <x:v>468</x:v>
      </x:c>
      <x:c r="G158" s="10" t="s">
        <x:v>683</x:v>
      </x:c>
      <x:c r="H158" s="15" t="s">
        <x:v>116</x:v>
      </x:c>
      <x:c r="I158" s="15"/>
      <x:c r="J158" s="10">
        <x:v>3500</x:v>
      </x:c>
      <x:c r="K158" s="1" t="s">
        <x:v>201</x:v>
      </x:c>
      <x:c r="L158" s="0" t="s">
        <x:v>755</x:v>
      </x:c>
      <x:c r="M158" s="0">
        <x:v>5</x:v>
      </x:c>
      <x:c r="N158" s="0">
        <x:f>""</x:f>
      </x:c>
      <x:c r="O158" s="0">
        <x:f>""</x:f>
      </x:c>
      <x:c r="P158" s="0">
        <x:f>""</x:f>
      </x:c>
      <x:c r="Q158" s="0">
        <x:f>""</x:f>
      </x:c>
      <x:c r="R158" s="0">
        <x:f>""</x:f>
      </x:c>
      <x:c r="S158" s="0">
        <x:f>""</x:f>
      </x:c>
      <x:c r="T158" s="0">
        <x:f>""</x:f>
      </x:c>
      <x:c r="W158" s="0">
        <x:f>""</x:f>
      </x:c>
    </x:row>
    <x:row r="159" spans="1:23" ht="120" customHeight="1" x14ac:dyDescent="0.25">
      <x:c r="A159" s="1">
        <x:f>ROW(A159)-1</x:f>
      </x:c>
      <x:c r="B159" s="10">
        <x:v>3130</x:v>
      </x:c>
      <x:c r="C159" s="10" t="s">
        <x:v>43</x:v>
      </x:c>
      <x:c r="D159" s="10" t="s">
        <x:v>756</x:v>
      </x:c>
      <x:c r="E159" s="10" t="s">
        <x:v>757</x:v>
      </x:c>
      <x:c r="F159" s="1" t="s">
        <x:v>758</x:v>
      </x:c>
      <x:c r="G159" s="10" t="s">
        <x:v>502</x:v>
      </x:c>
      <x:c r="H159" s="15" t="s">
        <x:v>116</x:v>
      </x:c>
      <x:c r="I159" s="15"/>
      <x:c r="J159" s="10">
        <x:v>3830</x:v>
      </x:c>
      <x:c r="K159" s="1" t="s">
        <x:v>297</x:v>
      </x:c>
      <x:c r="L159" s="0" t="s">
        <x:v>342</x:v>
      </x:c>
      <x:c r="M159" s="0">
        <x:v>57</x:v>
      </x:c>
      <x:c r="N159" s="0">
        <x:f>""</x:f>
      </x:c>
      <x:c r="O159" s="0">
        <x:f>""</x:f>
      </x:c>
      <x:c r="P159" s="0">
        <x:f>""</x:f>
      </x:c>
      <x:c r="Q159" s="0">
        <x:f>""</x:f>
      </x:c>
      <x:c r="R159" s="0">
        <x:f>""</x:f>
      </x:c>
      <x:c r="S159" s="0">
        <x:f>""</x:f>
      </x:c>
      <x:c r="T159" s="0">
        <x:f>""</x:f>
      </x:c>
      <x:c r="W159" s="0">
        <x:f>""</x:f>
      </x:c>
    </x:row>
    <x:row r="160" spans="1:23" ht="30" customHeight="1" x14ac:dyDescent="0.25">
      <x:c r="A160" s="1">
        <x:f>ROW(A160)-1</x:f>
      </x:c>
      <x:c r="B160" s="10">
        <x:v>3132</x:v>
      </x:c>
      <x:c r="C160" s="10" t="s">
        <x:v>43</x:v>
      </x:c>
      <x:c r="D160" s="10" t="s">
        <x:v>224</x:v>
      </x:c>
      <x:c r="E160" s="10" t="s">
        <x:v>759</x:v>
      </x:c>
      <x:c r="F160" s="1" t="s">
        <x:v>425</x:v>
      </x:c>
      <x:c r="G160" s="10" t="s">
        <x:v>760</x:v>
      </x:c>
      <x:c r="H160" s="15" t="s">
        <x:v>116</x:v>
      </x:c>
      <x:c r="I160" s="15"/>
      <x:c r="J160" s="10">
        <x:v>3753</x:v>
      </x:c>
      <x:c r="K160" s="1" t="s">
        <x:v>289</x:v>
      </x:c>
      <x:c r="L160" s="0" t="s">
        <x:v>289</x:v>
      </x:c>
      <x:c r="M160" s="0">
        <x:v>1</x:v>
      </x:c>
      <x:c r="N160" s="0">
        <x:f>""</x:f>
      </x:c>
      <x:c r="O160" s="0">
        <x:f>""</x:f>
      </x:c>
      <x:c r="P160" s="0">
        <x:f>""</x:f>
      </x:c>
      <x:c r="Q160" s="0">
        <x:f>""</x:f>
      </x:c>
      <x:c r="R160" s="0">
        <x:f>""</x:f>
      </x:c>
      <x:c r="S160" s="0">
        <x:f>""</x:f>
      </x:c>
      <x:c r="T160" s="0">
        <x:f>""</x:f>
      </x:c>
      <x:c r="W160" s="0">
        <x:f>""</x:f>
      </x:c>
    </x:row>
    <x:row r="161" spans="1:23" ht="45" customHeight="1" x14ac:dyDescent="0.25">
      <x:c r="A161" s="1">
        <x:f>ROW(A161)-1</x:f>
      </x:c>
      <x:c r="B161" s="10">
        <x:v>3133</x:v>
      </x:c>
      <x:c r="C161" s="10" t="s">
        <x:v>43</x:v>
      </x:c>
      <x:c r="D161" s="10" t="s">
        <x:v>761</x:v>
      </x:c>
      <x:c r="E161" s="10" t="s">
        <x:v>762</x:v>
      </x:c>
      <x:c r="F161" s="1" t="s">
        <x:v>274</x:v>
      </x:c>
      <x:c r="G161" s="10" t="s">
        <x:v>763</x:v>
      </x:c>
      <x:c r="H161" s="15" t="s">
        <x:v>116</x:v>
      </x:c>
      <x:c r="I161" s="15"/>
      <x:c r="J161" s="10">
        <x:v>3925</x:v>
      </x:c>
      <x:c r="K161" s="1" t="s">
        <x:v>764</x:v>
      </x:c>
      <x:c r="L161" s="0" t="s">
        <x:v>764</x:v>
      </x:c>
      <x:c r="M161" s="0">
        <x:v>77</x:v>
      </x:c>
      <x:c r="N161" s="0">
        <x:f>""</x:f>
      </x:c>
      <x:c r="O161" s="0">
        <x:f>""</x:f>
      </x:c>
      <x:c r="P161" s="0">
        <x:f>""</x:f>
      </x:c>
      <x:c r="Q161" s="0">
        <x:f>""</x:f>
      </x:c>
      <x:c r="R161" s="0">
        <x:f>""</x:f>
      </x:c>
      <x:c r="S161" s="0">
        <x:f>""</x:f>
      </x:c>
      <x:c r="T161" s="0">
        <x:f>""</x:f>
      </x:c>
      <x:c r="W161" s="0">
        <x:f>""</x:f>
      </x:c>
    </x:row>
    <x:row r="162" spans="1:23" ht="60" customHeight="1" x14ac:dyDescent="0.25">
      <x:c r="A162" s="1">
        <x:f>ROW(A162)-1</x:f>
      </x:c>
      <x:c r="B162" s="10">
        <x:v>3135</x:v>
      </x:c>
      <x:c r="C162" s="10" t="s">
        <x:v>43</x:v>
      </x:c>
      <x:c r="D162" s="10" t="s">
        <x:v>765</x:v>
      </x:c>
      <x:c r="E162" s="10" t="s">
        <x:v>766</x:v>
      </x:c>
      <x:c r="F162" s="1" t="s">
        <x:v>78</x:v>
      </x:c>
      <x:c r="G162" s="10" t="s">
        <x:v>161</x:v>
      </x:c>
      <x:c r="H162" s="15" t="s">
        <x:v>116</x:v>
      </x:c>
      <x:c r="I162" s="15"/>
      <x:c r="J162" s="10">
        <x:v>2130</x:v>
      </x:c>
      <x:c r="K162" s="1" t="s">
        <x:v>767</x:v>
      </x:c>
      <x:c r="L162" s="0" t="s">
        <x:v>768</x:v>
      </x:c>
      <x:c r="M162" s="0">
        <x:v>44</x:v>
      </x:c>
      <x:c r="N162" s="0">
        <x:f>""</x:f>
      </x:c>
      <x:c r="O162" s="0">
        <x:f>""</x:f>
      </x:c>
      <x:c r="P162" s="0">
        <x:f>""</x:f>
      </x:c>
      <x:c r="Q162" s="0">
        <x:f>""</x:f>
      </x:c>
      <x:c r="R162" s="0">
        <x:f>""</x:f>
      </x:c>
      <x:c r="S162" s="0">
        <x:f>""</x:f>
      </x:c>
      <x:c r="T162" s="0">
        <x:f>""</x:f>
      </x:c>
      <x:c r="W162" s="0">
        <x:f>""</x:f>
      </x:c>
    </x:row>
    <x:row r="163" spans="1:23" ht="45" customHeight="1" x14ac:dyDescent="0.25">
      <x:c r="A163" s="1">
        <x:f>ROW(A163)-1</x:f>
      </x:c>
      <x:c r="B163" s="10">
        <x:v>3137</x:v>
      </x:c>
      <x:c r="C163" s="10" t="s">
        <x:v>43</x:v>
      </x:c>
      <x:c r="D163" s="10" t="s">
        <x:v>224</x:v>
      </x:c>
      <x:c r="E163" s="10" t="s">
        <x:v>769</x:v>
      </x:c>
      <x:c r="F163" s="1" t="s">
        <x:v>468</x:v>
      </x:c>
      <x:c r="G163" s="10" t="s">
        <x:v>770</x:v>
      </x:c>
      <x:c r="H163" s="15" t="s">
        <x:v>116</x:v>
      </x:c>
      <x:c r="I163" s="15"/>
      <x:c r="J163" s="10">
        <x:v>3562</x:v>
      </x:c>
      <x:c r="K163" s="1" t="s">
        <x:v>771</x:v>
      </x:c>
      <x:c r="L163" s="0" t="s">
        <x:v>772</x:v>
      </x:c>
      <x:c r="M163" s="0">
        <x:v>21</x:v>
      </x:c>
      <x:c r="N163" s="0">
        <x:f>""</x:f>
      </x:c>
      <x:c r="O163" s="0">
        <x:f>""</x:f>
      </x:c>
      <x:c r="P163" s="0">
        <x:f>""</x:f>
      </x:c>
      <x:c r="Q163" s="0">
        <x:f>""</x:f>
      </x:c>
      <x:c r="R163" s="0">
        <x:f>""</x:f>
      </x:c>
      <x:c r="S163" s="0">
        <x:f>""</x:f>
      </x:c>
      <x:c r="T163" s="0">
        <x:f>""</x:f>
      </x:c>
      <x:c r="W163" s="0">
        <x:f>""</x:f>
      </x:c>
    </x:row>
    <x:row r="164" spans="1:23" ht="60" customHeight="1" x14ac:dyDescent="0.25">
      <x:c r="A164" s="1">
        <x:f>ROW(A164)-1</x:f>
      </x:c>
      <x:c r="B164" s="10">
        <x:v>3139</x:v>
      </x:c>
      <x:c r="C164" s="10" t="s">
        <x:v>43</x:v>
      </x:c>
      <x:c r="D164" s="10" t="s">
        <x:v>773</x:v>
      </x:c>
      <x:c r="E164" s="10" t="s">
        <x:v>774</x:v>
      </x:c>
      <x:c r="F164" s="1" t="s">
        <x:v>758</x:v>
      </x:c>
      <x:c r="G164" s="10" t="s">
        <x:v>775</x:v>
      </x:c>
      <x:c r="H164" s="15" t="s">
        <x:v>116</x:v>
      </x:c>
      <x:c r="I164" s="15"/>
      <x:c r="J164" s="10">
        <x:v>3591</x:v>
      </x:c>
      <x:c r="K164" s="1" t="s">
        <x:v>283</x:v>
      </x:c>
      <x:c r="L164" s="0" t="s">
        <x:v>776</x:v>
      </x:c>
      <x:c r="M164" s="0">
        <x:v>1</x:v>
      </x:c>
      <x:c r="N164" s="0">
        <x:f>""</x:f>
      </x:c>
      <x:c r="O164" s="0">
        <x:f>""</x:f>
      </x:c>
      <x:c r="P164" s="0">
        <x:f>""</x:f>
      </x:c>
      <x:c r="Q164" s="0">
        <x:f>""</x:f>
      </x:c>
      <x:c r="R164" s="0">
        <x:f>""</x:f>
      </x:c>
      <x:c r="S164" s="0">
        <x:f>""</x:f>
      </x:c>
      <x:c r="T164" s="0">
        <x:f>""</x:f>
      </x:c>
      <x:c r="W164" s="0">
        <x:f>""</x:f>
      </x:c>
    </x:row>
    <x:row r="165" spans="1:23" x14ac:dyDescent="0.25">
      <x:c r="A165" s="1">
        <x:f>ROW(A165)-1</x:f>
      </x:c>
      <x:c r="B165" s="10">
        <x:v>3142</x:v>
      </x:c>
      <x:c r="C165" s="10" t="s">
        <x:v>43</x:v>
      </x:c>
      <x:c r="D165" s="10" t="s">
        <x:v>224</x:v>
      </x:c>
      <x:c r="E165" s="10" t="s">
        <x:v>777</x:v>
      </x:c>
      <x:c r="F165" s="1" t="s">
        <x:v>160</x:v>
      </x:c>
      <x:c r="G165" s="10" t="s">
        <x:v>778</x:v>
      </x:c>
      <x:c r="H165" s="15" t="s">
        <x:v>116</x:v>
      </x:c>
      <x:c r="I165" s="15"/>
      <x:c r="J165" s="10">
        <x:v>3580</x:v>
      </x:c>
      <x:c r="K165" s="1" t="s">
        <x:v>329</x:v>
      </x:c>
      <x:c r="L165" s="0" t="s">
        <x:v>779</x:v>
      </x:c>
      <x:c r="M165" s="0">
        <x:v>7</x:v>
      </x:c>
      <x:c r="N165" s="0">
        <x:f>""</x:f>
      </x:c>
      <x:c r="O165" s="0">
        <x:f>""</x:f>
      </x:c>
      <x:c r="P165" s="0">
        <x:f>""</x:f>
      </x:c>
      <x:c r="Q165" s="0">
        <x:f>""</x:f>
      </x:c>
      <x:c r="R165" s="0">
        <x:f>""</x:f>
      </x:c>
      <x:c r="S165" s="0">
        <x:f>""</x:f>
      </x:c>
      <x:c r="T165" s="0">
        <x:f>""</x:f>
      </x:c>
      <x:c r="W165" s="0">
        <x:f>""</x:f>
      </x:c>
    </x:row>
    <x:row r="166" spans="1:23" ht="30" customHeight="1" x14ac:dyDescent="0.25">
      <x:c r="A166" s="1">
        <x:f>ROW(A166)-1</x:f>
      </x:c>
      <x:c r="B166" s="10">
        <x:v>3144</x:v>
      </x:c>
      <x:c r="C166" s="10" t="s">
        <x:v>43</x:v>
      </x:c>
      <x:c r="D166" s="10" t="s">
        <x:v>780</x:v>
      </x:c>
      <x:c r="E166" s="10" t="s">
        <x:v>781</x:v>
      </x:c>
      <x:c r="F166" s="1" t="s">
        <x:v>126</x:v>
      </x:c>
      <x:c r="G166" s="10" t="s">
        <x:v>782</x:v>
      </x:c>
      <x:c r="H166" s="15" t="s">
        <x:v>116</x:v>
      </x:c>
      <x:c r="I166" s="15"/>
      <x:c r="J166" s="10">
        <x:v>3730</x:v>
      </x:c>
      <x:c r="K166" s="1" t="s">
        <x:v>208</x:v>
      </x:c>
      <x:c r="L166" s="0" t="s">
        <x:v>783</x:v>
      </x:c>
      <x:c r="M166" s="0">
        <x:v>1</x:v>
      </x:c>
      <x:c r="N166" s="0">
        <x:f>""</x:f>
      </x:c>
      <x:c r="O166" s="0">
        <x:f>""</x:f>
      </x:c>
      <x:c r="P166" s="0">
        <x:f>""</x:f>
      </x:c>
      <x:c r="Q166" s="0">
        <x:f>""</x:f>
      </x:c>
      <x:c r="R166" s="0">
        <x:f>""</x:f>
      </x:c>
      <x:c r="S166" s="0">
        <x:f>""</x:f>
      </x:c>
      <x:c r="T166" s="0">
        <x:f>""</x:f>
      </x:c>
      <x:c r="W166" s="0">
        <x:f>""</x:f>
      </x:c>
    </x:row>
    <x:row r="167" spans="1:23" ht="45" customHeight="1" x14ac:dyDescent="0.25">
      <x:c r="A167" s="1">
        <x:f>ROW(A167)-1</x:f>
      </x:c>
      <x:c r="B167" s="10">
        <x:v>3146</x:v>
      </x:c>
      <x:c r="C167" s="10" t="s">
        <x:v>43</x:v>
      </x:c>
      <x:c r="D167" s="10" t="s">
        <x:v>784</x:v>
      </x:c>
      <x:c r="E167" s="10" t="s">
        <x:v>785</x:v>
      </x:c>
      <x:c r="F167" s="1" t="s">
        <x:v>546</x:v>
      </x:c>
      <x:c r="G167" s="10" t="s">
        <x:v>786</x:v>
      </x:c>
      <x:c r="H167" s="15" t="s">
        <x:v>116</x:v>
      </x:c>
      <x:c r="I167" s="15"/>
      <x:c r="J167" s="10">
        <x:v>3753</x:v>
      </x:c>
      <x:c r="K167" s="1" t="s">
        <x:v>360</x:v>
      </x:c>
      <x:c r="L167" s="0" t="s">
        <x:v>361</x:v>
      </x:c>
      <x:c r="M167" s="0">
        <x:v>58</x:v>
      </x:c>
      <x:c r="N167" s="0">
        <x:f>""</x:f>
      </x:c>
      <x:c r="O167" s="0">
        <x:f>""</x:f>
      </x:c>
      <x:c r="P167" s="0">
        <x:f>""</x:f>
      </x:c>
      <x:c r="Q167" s="0">
        <x:f>""</x:f>
      </x:c>
      <x:c r="R167" s="0">
        <x:f>""</x:f>
      </x:c>
      <x:c r="S167" s="0">
        <x:f>""</x:f>
      </x:c>
      <x:c r="T167" s="0">
        <x:f>""</x:f>
      </x:c>
      <x:c r="W167" s="0">
        <x:f>""</x:f>
      </x:c>
    </x:row>
    <x:row r="168" spans="1:23" ht="45" customHeight="1" x14ac:dyDescent="0.25">
      <x:c r="A168" s="1">
        <x:f>ROW(A168)-1</x:f>
      </x:c>
      <x:c r="B168" s="10">
        <x:v>3147</x:v>
      </x:c>
      <x:c r="C168" s="10" t="s">
        <x:v>43</x:v>
      </x:c>
      <x:c r="D168" s="10" t="s">
        <x:v>787</x:v>
      </x:c>
      <x:c r="E168" s="10" t="s">
        <x:v>788</x:v>
      </x:c>
      <x:c r="F168" s="1" t="s">
        <x:v>789</x:v>
      </x:c>
      <x:c r="G168" s="10" t="s">
        <x:v>790</x:v>
      </x:c>
      <x:c r="H168" s="15" t="s">
        <x:v>116</x:v>
      </x:c>
      <x:c r="I168" s="15"/>
      <x:c r="J168" s="10">
        <x:v>3822</x:v>
      </x:c>
      <x:c r="K168" s="1" t="s">
        <x:v>791</x:v>
      </x:c>
      <x:c r="L168" s="0" t="s">
        <x:v>792</x:v>
      </x:c>
      <x:c r="M168" s="0">
        <x:v>7</x:v>
      </x:c>
      <x:c r="N168" s="0">
        <x:f>""</x:f>
      </x:c>
      <x:c r="O168" s="0">
        <x:f>""</x:f>
      </x:c>
      <x:c r="P168" s="0">
        <x:f>""</x:f>
      </x:c>
      <x:c r="Q168" s="0">
        <x:f>""</x:f>
      </x:c>
      <x:c r="R168" s="0">
        <x:f>""</x:f>
      </x:c>
      <x:c r="S168" s="0">
        <x:f>""</x:f>
      </x:c>
      <x:c r="T168" s="0">
        <x:f>""</x:f>
      </x:c>
      <x:c r="W168" s="0">
        <x:f>""</x:f>
      </x:c>
    </x:row>
    <x:row r="169" spans="1:23" ht="75" customHeight="1" x14ac:dyDescent="0.25">
      <x:c r="A169" s="1">
        <x:f>ROW(A169)-1</x:f>
      </x:c>
      <x:c r="B169" s="10">
        <x:v>3153</x:v>
      </x:c>
      <x:c r="C169" s="10" t="s">
        <x:v>43</x:v>
      </x:c>
      <x:c r="D169" s="10" t="s">
        <x:v>793</x:v>
      </x:c>
      <x:c r="E169" s="10" t="s">
        <x:v>794</x:v>
      </x:c>
      <x:c r="F169" s="1" t="s">
        <x:v>795</x:v>
      </x:c>
      <x:c r="G169" s="10" t="s">
        <x:v>796</x:v>
      </x:c>
      <x:c r="H169" s="15" t="s">
        <x:v>116</x:v>
      </x:c>
      <x:c r="I169" s="15"/>
      <x:c r="J169" s="10">
        <x:v>3860</x:v>
      </x:c>
      <x:c r="K169" s="1" t="s">
        <x:v>176</x:v>
      </x:c>
      <x:c r="L169" s="0" t="s">
        <x:v>797</x:v>
      </x:c>
      <x:c r="M169" s="0">
        <x:v>6</x:v>
      </x:c>
      <x:c r="N169" s="0">
        <x:f>""</x:f>
      </x:c>
      <x:c r="O169" s="0">
        <x:f>""</x:f>
      </x:c>
      <x:c r="P169" s="0">
        <x:f>""</x:f>
      </x:c>
      <x:c r="Q169" s="0">
        <x:f>""</x:f>
      </x:c>
      <x:c r="R169" s="0">
        <x:f>""</x:f>
      </x:c>
      <x:c r="S169" s="0">
        <x:f>""</x:f>
      </x:c>
      <x:c r="T169" s="0">
        <x:f>""</x:f>
      </x:c>
      <x:c r="W169" s="0">
        <x:f>""</x:f>
      </x:c>
    </x:row>
    <x:row r="170" spans="1:23" ht="45" customHeight="1" x14ac:dyDescent="0.25">
      <x:c r="A170" s="1">
        <x:f>ROW(A170)-1</x:f>
      </x:c>
      <x:c r="B170" s="10">
        <x:v>3154</x:v>
      </x:c>
      <x:c r="C170" s="10" t="s">
        <x:v>43</x:v>
      </x:c>
      <x:c r="D170" s="10" t="s">
        <x:v>798</x:v>
      </x:c>
      <x:c r="E170" s="10" t="s">
        <x:v>799</x:v>
      </x:c>
      <x:c r="G170" s="10"/>
      <x:c r="H170" s="15" t="s">
        <x:v>116</x:v>
      </x:c>
      <x:c r="I170" s="15"/>
      <x:c r="J170" s="10">
        <x:v>3902</x:v>
      </x:c>
      <x:c r="K170" s="1" t="s">
        <x:v>270</x:v>
      </x:c>
      <x:c r="L170" s="0" t="s">
        <x:v>271</x:v>
      </x:c>
      <x:c r="M170" s="0">
        <x:v>19</x:v>
      </x:c>
      <x:c r="N170" s="0">
        <x:f>""</x:f>
      </x:c>
      <x:c r="O170" s="0">
        <x:f>""</x:f>
      </x:c>
      <x:c r="P170" s="0">
        <x:f>""</x:f>
      </x:c>
      <x:c r="Q170" s="0">
        <x:f>""</x:f>
      </x:c>
      <x:c r="R170" s="0">
        <x:f>""</x:f>
      </x:c>
      <x:c r="S170" s="0">
        <x:f>""</x:f>
      </x:c>
      <x:c r="T170" s="0">
        <x:f>""</x:f>
      </x:c>
      <x:c r="W170" s="0">
        <x:f>""</x:f>
      </x:c>
    </x:row>
    <x:row r="171" spans="1:23" ht="45" customHeight="1" x14ac:dyDescent="0.25">
      <x:c r="A171" s="1">
        <x:f>ROW(A171)-1</x:f>
      </x:c>
      <x:c r="B171" s="10">
        <x:v>3155</x:v>
      </x:c>
      <x:c r="C171" s="10" t="s">
        <x:v>43</x:v>
      </x:c>
      <x:c r="D171" s="10" t="s">
        <x:v>203</x:v>
      </x:c>
      <x:c r="E171" s="10" t="s">
        <x:v>800</x:v>
      </x:c>
      <x:c r="F171" s="1" t="s">
        <x:v>70</x:v>
      </x:c>
      <x:c r="G171" s="10" t="s">
        <x:v>801</x:v>
      </x:c>
      <x:c r="H171" s="15" t="s">
        <x:v>116</x:v>
      </x:c>
      <x:c r="I171" s="15" t="s">
        <x:v>802</x:v>
      </x:c>
      <x:c r="J171" s="10">
        <x:v>3564</x:v>
      </x:c>
      <x:c r="K171" s="1" t="s">
        <x:v>771</x:v>
      </x:c>
      <x:c r="L171" s="0" t="s">
        <x:v>803</x:v>
      </x:c>
      <x:c r="M171" s="0">
        <x:v>11</x:v>
      </x:c>
      <x:c r="N171" s="0">
        <x:f>""</x:f>
      </x:c>
      <x:c r="O171" s="0">
        <x:f>""</x:f>
      </x:c>
      <x:c r="P171" s="0">
        <x:f>""</x:f>
      </x:c>
      <x:c r="Q171" s="0">
        <x:f>""</x:f>
      </x:c>
      <x:c r="R171" s="0">
        <x:f>""</x:f>
      </x:c>
      <x:c r="S171" s="0">
        <x:f>""</x:f>
      </x:c>
      <x:c r="T171" s="0">
        <x:f>""</x:f>
      </x:c>
      <x:c r="W171" s="0">
        <x:f>""</x:f>
      </x:c>
    </x:row>
    <x:row r="172" spans="1:23" ht="120" customHeight="1" x14ac:dyDescent="0.25">
      <x:c r="A172" s="1">
        <x:f>ROW(A172)-1</x:f>
      </x:c>
      <x:c r="B172" s="10">
        <x:v>3159</x:v>
      </x:c>
      <x:c r="C172" s="10" t="s">
        <x:v>43</x:v>
      </x:c>
      <x:c r="D172" s="10" t="s">
        <x:v>106</x:v>
      </x:c>
      <x:c r="E172" s="10" t="s">
        <x:v>804</x:v>
      </x:c>
      <x:c r="F172" s="1" t="s">
        <x:v>332</x:v>
      </x:c>
      <x:c r="G172" s="10" t="s">
        <x:v>805</x:v>
      </x:c>
      <x:c r="H172" s="15" t="s">
        <x:v>806</x:v>
      </x:c>
      <x:c r="I172" s="15" t="s">
        <x:v>807</x:v>
      </x:c>
      <x:c r="J172" s="10">
        <x:v>3500</x:v>
      </x:c>
      <x:c r="K172" s="1" t="s">
        <x:v>201</x:v>
      </x:c>
      <x:c r="L172" s="0" t="s">
        <x:v>808</x:v>
      </x:c>
      <x:c r="M172" s="0">
        <x:v>7</x:v>
      </x:c>
      <x:c r="N172" s="0">
        <x:f>""</x:f>
      </x:c>
      <x:c r="O172" s="0">
        <x:f>""</x:f>
      </x:c>
      <x:c r="P172" s="0">
        <x:f>""</x:f>
      </x:c>
      <x:c r="Q172" s="0">
        <x:f>""</x:f>
      </x:c>
      <x:c r="R172" s="0">
        <x:f>""</x:f>
      </x:c>
      <x:c r="S172" s="0">
        <x:f>""</x:f>
      </x:c>
      <x:c r="T172" s="0">
        <x:f>""</x:f>
      </x:c>
      <x:c r="W172" s="0">
        <x:f>""</x:f>
      </x:c>
    </x:row>
    <x:row r="173" spans="1:23" ht="75" customHeight="1" x14ac:dyDescent="0.25">
      <x:c r="A173" s="1">
        <x:f>ROW(A173)-1</x:f>
      </x:c>
      <x:c r="B173" s="10">
        <x:v>3160</x:v>
      </x:c>
      <x:c r="C173" s="10" t="s">
        <x:v>43</x:v>
      </x:c>
      <x:c r="D173" s="10" t="s">
        <x:v>809</x:v>
      </x:c>
      <x:c r="E173" s="10" t="s">
        <x:v>810</x:v>
      </x:c>
      <x:c r="F173" s="1" t="s">
        <x:v>261</x:v>
      </x:c>
      <x:c r="G173" s="10" t="s">
        <x:v>168</x:v>
      </x:c>
      <x:c r="H173" s="15" t="s">
        <x:v>116</x:v>
      </x:c>
      <x:c r="I173" s="15" t="s">
        <x:v>811</x:v>
      </x:c>
      <x:c r="J173" s="10">
        <x:v>3910</x:v>
      </x:c>
      <x:c r="K173" s="1" t="s">
        <x:v>50</x:v>
      </x:c>
      <x:c r="L173" s="0" t="s">
        <x:v>812</x:v>
      </x:c>
      <x:c r="M173" s="0">
        <x:v>10</x:v>
      </x:c>
      <x:c r="N173" s="0">
        <x:f>""</x:f>
      </x:c>
      <x:c r="O173" s="0">
        <x:f>""</x:f>
      </x:c>
      <x:c r="P173" s="0">
        <x:f>""</x:f>
      </x:c>
      <x:c r="Q173" s="0">
        <x:f>""</x:f>
      </x:c>
      <x:c r="R173" s="0">
        <x:f>""</x:f>
      </x:c>
      <x:c r="S173" s="0">
        <x:f>""</x:f>
      </x:c>
      <x:c r="T173" s="0">
        <x:f>""</x:f>
      </x:c>
      <x:c r="W173" s="0">
        <x:f>""</x:f>
      </x:c>
    </x:row>
    <x:row r="174" spans="1:23" ht="60" customHeight="1" x14ac:dyDescent="0.25">
      <x:c r="A174" s="1">
        <x:f>ROW(A174)-1</x:f>
      </x:c>
      <x:c r="B174" s="10">
        <x:v>3162</x:v>
      </x:c>
      <x:c r="C174" s="10" t="s">
        <x:v>43</x:v>
      </x:c>
      <x:c r="D174" s="10" t="s">
        <x:v>813</x:v>
      </x:c>
      <x:c r="E174" s="10" t="s">
        <x:v>814</x:v>
      </x:c>
      <x:c r="G174" s="10"/>
      <x:c r="H174" s="15" t="s">
        <x:v>116</x:v>
      </x:c>
      <x:c r="I174" s="15" t="s">
        <x:v>815</x:v>
      </x:c>
      <x:c r="J174" s="10">
        <x:v>3571</x:v>
      </x:c>
      <x:c r="K174" s="1" t="s">
        <x:v>58</x:v>
      </x:c>
      <x:c r="L174" s="0" t="s">
        <x:v>816</x:v>
      </x:c>
      <x:c r="M174" s="0">
        <x:v>621</x:v>
      </x:c>
      <x:c r="N174" s="0">
        <x:f>""</x:f>
      </x:c>
      <x:c r="O174" s="0">
        <x:f>""</x:f>
      </x:c>
      <x:c r="P174" s="0">
        <x:f>""</x:f>
      </x:c>
      <x:c r="Q174" s="0">
        <x:f>""</x:f>
      </x:c>
      <x:c r="R174" s="0">
        <x:f>""</x:f>
      </x:c>
      <x:c r="S174" s="0">
        <x:f>""</x:f>
      </x:c>
      <x:c r="T174" s="0">
        <x:f>""</x:f>
      </x:c>
      <x:c r="W174" s="0">
        <x:f>""</x:f>
      </x:c>
    </x:row>
    <x:row r="175" spans="1:23" ht="75" customHeight="1" x14ac:dyDescent="0.25">
      <x:c r="A175" s="1">
        <x:f>ROW(A175)-1</x:f>
      </x:c>
      <x:c r="B175" s="10">
        <x:v>3164</x:v>
      </x:c>
      <x:c r="C175" s="10" t="s">
        <x:v>43</x:v>
      </x:c>
      <x:c r="D175" s="10" t="s">
        <x:v>817</x:v>
      </x:c>
      <x:c r="E175" s="10" t="s">
        <x:v>818</x:v>
      </x:c>
      <x:c r="F175" s="1" t="s">
        <x:v>819</x:v>
      </x:c>
      <x:c r="G175" s="10" t="s">
        <x:v>820</x:v>
      </x:c>
      <x:c r="H175" s="15" t="s">
        <x:v>116</x:v>
      </x:c>
      <x:c r="I175" s="15" t="s">
        <x:v>821</x:v>
      </x:c>
      <x:c r="J175" s="10">
        <x:v>3972</x:v>
      </x:c>
      <x:c r="K175" s="1" t="s">
        <x:v>822</x:v>
      </x:c>
      <x:c r="L175" s="0" t="s">
        <x:v>822</x:v>
      </x:c>
      <x:c r="M175" s="0">
        <x:v>72</x:v>
      </x:c>
      <x:c r="N175" s="0">
        <x:f>""</x:f>
      </x:c>
      <x:c r="O175" s="0">
        <x:f>""</x:f>
      </x:c>
      <x:c r="P175" s="0">
        <x:f>""</x:f>
      </x:c>
      <x:c r="Q175" s="0">
        <x:f>""</x:f>
      </x:c>
      <x:c r="R175" s="0">
        <x:f>""</x:f>
      </x:c>
      <x:c r="S175" s="0">
        <x:f>""</x:f>
      </x:c>
      <x:c r="T175" s="0">
        <x:f>""</x:f>
      </x:c>
      <x:c r="W175" s="0">
        <x:f>""</x:f>
      </x:c>
    </x:row>
    <x:row r="176" spans="1:23" ht="60" customHeight="1" x14ac:dyDescent="0.25">
      <x:c r="A176" s="1">
        <x:f>ROW(A176)-1</x:f>
      </x:c>
      <x:c r="B176" s="10">
        <x:v>854</x:v>
      </x:c>
      <x:c r="C176" s="10" t="s">
        <x:v>43</x:v>
      </x:c>
      <x:c r="D176" s="10" t="s">
        <x:v>823</x:v>
      </x:c>
      <x:c r="E176" s="10" t="s">
        <x:v>824</x:v>
      </x:c>
      <x:c r="F176" s="1" t="s">
        <x:v>758</x:v>
      </x:c>
      <x:c r="G176" s="10" t="s">
        <x:v>775</x:v>
      </x:c>
      <x:c r="H176" s="15" t="s">
        <x:v>116</x:v>
      </x:c>
      <x:c r="I176" s="15"/>
      <x:c r="J176" s="10">
        <x:v>3591</x:v>
      </x:c>
      <x:c r="K176" s="1" t="s">
        <x:v>283</x:v>
      </x:c>
      <x:c r="L176" s="0" t="s">
        <x:v>776</x:v>
      </x:c>
      <x:c r="M176" s="0">
        <x:v>1</x:v>
      </x:c>
      <x:c r="N176" s="0">
        <x:f>""</x:f>
      </x:c>
      <x:c r="O176" s="0">
        <x:f>""</x:f>
      </x:c>
      <x:c r="P176" s="0">
        <x:f>""</x:f>
      </x:c>
      <x:c r="Q176" s="0">
        <x:f>""</x:f>
      </x:c>
      <x:c r="R176" s="0">
        <x:f>""</x:f>
      </x:c>
      <x:c r="S176" s="0">
        <x:f>""</x:f>
      </x:c>
      <x:c r="T176" s="0">
        <x:f>""</x:f>
      </x:c>
      <x:c r="W176" s="0">
        <x:f>""</x:f>
      </x:c>
    </x:row>
    <x:row r="177" spans="1:23" ht="60" customHeight="1" x14ac:dyDescent="0.25">
      <x:c r="A177" s="1">
        <x:f>ROW(A177)-1</x:f>
      </x:c>
      <x:c r="B177" s="10">
        <x:v>846</x:v>
      </x:c>
      <x:c r="C177" s="10" t="s">
        <x:v>43</x:v>
      </x:c>
      <x:c r="D177" s="10" t="s">
        <x:v>825</x:v>
      </x:c>
      <x:c r="E177" s="10" t="s">
        <x:v>826</x:v>
      </x:c>
      <x:c r="F177" s="1" t="s">
        <x:v>126</x:v>
      </x:c>
      <x:c r="G177" s="10" t="s">
        <x:v>827</x:v>
      </x:c>
      <x:c r="H177" s="15" t="s">
        <x:v>116</x:v>
      </x:c>
      <x:c r="I177" s="15"/>
      <x:c r="J177" s="10">
        <x:v>3200</x:v>
      </x:c>
      <x:c r="K177" s="1" t="s">
        <x:v>828</x:v>
      </x:c>
      <x:c r="L177" s="0" t="s">
        <x:v>338</x:v>
      </x:c>
      <x:c r="M177" s="0">
        <x:v>2</x:v>
      </x:c>
      <x:c r="N177" s="0">
        <x:f>""</x:f>
      </x:c>
      <x:c r="O177" s="0">
        <x:f>""</x:f>
      </x:c>
      <x:c r="P177" s="0">
        <x:f>""</x:f>
      </x:c>
      <x:c r="Q177" s="0">
        <x:f>""</x:f>
      </x:c>
      <x:c r="R177" s="0">
        <x:f>""</x:f>
      </x:c>
      <x:c r="S177" s="0">
        <x:f>""</x:f>
      </x:c>
      <x:c r="T177" s="0">
        <x:f>""</x:f>
      </x:c>
      <x:c r="W177" s="0">
        <x:f>""</x:f>
      </x:c>
    </x:row>
    <x:row r="178" spans="1:23" ht="90" customHeight="1" x14ac:dyDescent="0.25">
      <x:c r="A178" s="1">
        <x:f>ROW(A178)-1</x:f>
      </x:c>
      <x:c r="B178" s="10">
        <x:v>840</x:v>
      </x:c>
      <x:c r="C178" s="10" t="s">
        <x:v>43</x:v>
      </x:c>
      <x:c r="D178" s="10" t="s">
        <x:v>829</x:v>
      </x:c>
      <x:c r="E178" s="10" t="s">
        <x:v>830</x:v>
      </x:c>
      <x:c r="G178" s="10"/>
      <x:c r="H178" s="15" t="s">
        <x:v>116</x:v>
      </x:c>
      <x:c r="I178" s="15"/>
      <x:c r="J178" s="10">
        <x:v>2500</x:v>
      </x:c>
      <x:c r="K178" s="1" t="s">
        <x:v>831</x:v>
      </x:c>
      <x:c r="L178" s="0" t="s">
        <x:v>832</x:v>
      </x:c>
      <x:c r="M178" s="0">
        <x:v>5</x:v>
      </x:c>
      <x:c r="N178" s="0">
        <x:f>""</x:f>
      </x:c>
      <x:c r="O178" s="0">
        <x:f>""</x:f>
      </x:c>
      <x:c r="P178" s="0">
        <x:f>""</x:f>
      </x:c>
      <x:c r="Q178" s="0">
        <x:f>""</x:f>
      </x:c>
      <x:c r="R178" s="0">
        <x:f>""</x:f>
      </x:c>
      <x:c r="S178" s="0">
        <x:f>""</x:f>
      </x:c>
      <x:c r="T178" s="0">
        <x:f>""</x:f>
      </x:c>
      <x:c r="W178" s="0">
        <x:f>""</x:f>
      </x:c>
    </x:row>
    <x:row r="179" spans="1:23" ht="75" customHeight="1" x14ac:dyDescent="0.25">
      <x:c r="A179" s="1">
        <x:f>ROW(A179)-1</x:f>
      </x:c>
      <x:c r="B179" s="10">
        <x:v>839</x:v>
      </x:c>
      <x:c r="C179" s="10" t="s">
        <x:v>43</x:v>
      </x:c>
      <x:c r="D179" s="10" t="s">
        <x:v>833</x:v>
      </x:c>
      <x:c r="E179" s="10" t="s">
        <x:v>834</x:v>
      </x:c>
      <x:c r="F179" s="1" t="s">
        <x:v>368</x:v>
      </x:c>
      <x:c r="G179" s="10" t="s">
        <x:v>835</x:v>
      </x:c>
      <x:c r="H179" s="15" t="s">
        <x:v>116</x:v>
      </x:c>
      <x:c r="I179" s="15"/>
      <x:c r="J179" s="10">
        <x:v>3804</x:v>
      </x:c>
      <x:c r="K179" s="1" t="s">
        <x:v>465</x:v>
      </x:c>
      <x:c r="L179" s="0" t="s">
        <x:v>836</x:v>
      </x:c>
      <x:c r="M179" s="0">
        <x:v>20</x:v>
      </x:c>
      <x:c r="N179" s="0">
        <x:f>""</x:f>
      </x:c>
      <x:c r="O179" s="0">
        <x:f>""</x:f>
      </x:c>
      <x:c r="P179" s="0">
        <x:f>""</x:f>
      </x:c>
      <x:c r="Q179" s="0">
        <x:f>""</x:f>
      </x:c>
      <x:c r="R179" s="0">
        <x:f>""</x:f>
      </x:c>
      <x:c r="S179" s="0">
        <x:f>""</x:f>
      </x:c>
      <x:c r="T179" s="0">
        <x:f>""</x:f>
      </x:c>
      <x:c r="W179" s="0">
        <x:f>""</x:f>
      </x:c>
    </x:row>
    <x:row r="180" spans="1:23" ht="105" customHeight="1" x14ac:dyDescent="0.25">
      <x:c r="A180" s="1">
        <x:f>ROW(A180)-1</x:f>
      </x:c>
      <x:c r="B180" s="10">
        <x:v>838</x:v>
      </x:c>
      <x:c r="C180" s="10" t="s">
        <x:v>43</x:v>
      </x:c>
      <x:c r="D180" s="10" t="s">
        <x:v>837</x:v>
      </x:c>
      <x:c r="E180" s="10" t="s">
        <x:v>838</x:v>
      </x:c>
      <x:c r="F180" s="1" t="s">
        <x:v>332</x:v>
      </x:c>
      <x:c r="G180" s="10" t="s">
        <x:v>839</x:v>
      </x:c>
      <x:c r="H180" s="15" t="s">
        <x:v>116</x:v>
      </x:c>
      <x:c r="I180" s="15"/>
      <x:c r="J180" s="10">
        <x:v>3931</x:v>
      </x:c>
      <x:c r="K180" s="1" t="s">
        <x:v>494</x:v>
      </x:c>
      <x:c r="L180" s="0" t="s">
        <x:v>840</x:v>
      </x:c>
      <x:c r="M180" s="0">
        <x:v>10</x:v>
      </x:c>
      <x:c r="N180" s="0">
        <x:f>""</x:f>
      </x:c>
      <x:c r="O180" s="0">
        <x:f>""</x:f>
      </x:c>
      <x:c r="P180" s="0">
        <x:f>""</x:f>
      </x:c>
      <x:c r="Q180" s="0">
        <x:f>""</x:f>
      </x:c>
      <x:c r="R180" s="0">
        <x:f>""</x:f>
      </x:c>
      <x:c r="S180" s="0">
        <x:f>""</x:f>
      </x:c>
      <x:c r="T180" s="0">
        <x:f>""</x:f>
      </x:c>
      <x:c r="W180" s="0">
        <x:f>""</x:f>
      </x:c>
    </x:row>
    <x:row r="181" spans="1:23" ht="30" customHeight="1" x14ac:dyDescent="0.25">
      <x:c r="A181" s="1">
        <x:f>ROW(A181)-1</x:f>
      </x:c>
      <x:c r="C181" s="10" t="s">
        <x:v>43</x:v>
      </x:c>
      <x:c r="D181" s="10" t="s">
        <x:v>841</x:v>
      </x:c>
      <x:c r="E181" s="10" t="s">
        <x:v>842</x:v>
      </x:c>
      <x:c r="G181" s="10"/>
      <x:c r="H181" s="15" t="s">
        <x:v>116</x:v>
      </x:c>
      <x:c r="I181" s="15"/>
      <x:c r="J181" s="10">
        <x:v>2042</x:v>
      </x:c>
      <x:c r="K181" s="1" t="s">
        <x:v>656</x:v>
      </x:c>
      <x:c r="L181" s="0" t="s">
        <x:v>843</x:v>
      </x:c>
      <x:c r="M181" s="0">
        <x:v>3</x:v>
      </x:c>
      <x:c r="N181" s="0">
        <x:f>""</x:f>
      </x:c>
      <x:c r="O181" s="0">
        <x:f>""</x:f>
      </x:c>
      <x:c r="P181" s="0">
        <x:f>""</x:f>
      </x:c>
      <x:c r="Q181" s="0">
        <x:f>""</x:f>
      </x:c>
      <x:c r="R181" s="0">
        <x:f>""</x:f>
      </x:c>
      <x:c r="S181" s="0">
        <x:f>""</x:f>
      </x:c>
      <x:c r="T181" s="0">
        <x:f>""</x:f>
      </x:c>
      <x:c r="W181" s="0">
        <x:f>""</x:f>
      </x:c>
    </x:row>
    <x:row r="182" spans="1:23" ht="45" customHeight="1" x14ac:dyDescent="0.25">
      <x:c r="A182" s="1">
        <x:f>ROW(A182)-1</x:f>
      </x:c>
      <x:c r="B182" s="10">
        <x:v>828</x:v>
      </x:c>
      <x:c r="C182" s="10" t="s">
        <x:v>43</x:v>
      </x:c>
      <x:c r="D182" s="10" t="s">
        <x:v>844</x:v>
      </x:c>
      <x:c r="E182" s="10" t="s">
        <x:v>845</x:v>
      </x:c>
      <x:c r="F182" s="1" t="s">
        <x:v>468</x:v>
      </x:c>
      <x:c r="G182" s="10" t="s">
        <x:v>846</x:v>
      </x:c>
      <x:c r="H182" s="15" t="s">
        <x:v>116</x:v>
      </x:c>
      <x:c r="I182" s="15"/>
      <x:c r="J182" s="10">
        <x:v>3472</x:v>
      </x:c>
      <x:c r="K182" s="1" t="s">
        <x:v>847</x:v>
      </x:c>
      <x:c r="L182" s="0" t="s">
        <x:v>75</x:v>
      </x:c>
      <x:c r="M182" s="0">
        <x:v>25</x:v>
      </x:c>
      <x:c r="N182" s="0">
        <x:f>""</x:f>
      </x:c>
      <x:c r="O182" s="0">
        <x:f>""</x:f>
      </x:c>
      <x:c r="P182" s="0">
        <x:f>""</x:f>
      </x:c>
      <x:c r="Q182" s="0">
        <x:f>""</x:f>
      </x:c>
      <x:c r="R182" s="0">
        <x:f>""</x:f>
      </x:c>
      <x:c r="S182" s="0">
        <x:f>""</x:f>
      </x:c>
      <x:c r="T182" s="0">
        <x:f>""</x:f>
      </x:c>
      <x:c r="W182" s="0">
        <x:f>""</x:f>
      </x:c>
    </x:row>
    <x:row r="183" spans="1:23" ht="45" customHeight="1" x14ac:dyDescent="0.25">
      <x:c r="A183" s="1">
        <x:f>ROW(A183)-1</x:f>
      </x:c>
      <x:c r="B183" s="10">
        <x:v>819</x:v>
      </x:c>
      <x:c r="C183" s="10" t="s">
        <x:v>43</x:v>
      </x:c>
      <x:c r="E183" s="10" t="s">
        <x:v>848</x:v>
      </x:c>
      <x:c r="F183" s="1" t="s">
        <x:v>108</x:v>
      </x:c>
      <x:c r="G183" s="10" t="s">
        <x:v>849</x:v>
      </x:c>
      <x:c r="H183" s="15" t="s">
        <x:v>850</x:v>
      </x:c>
      <x:c r="I183" s="15"/>
      <x:c r="J183" s="10">
        <x:v>3300</x:v>
      </x:c>
      <x:c r="K183" s="1" t="s">
        <x:v>470</x:v>
      </x:c>
      <x:c r="L183" s="0" t="s">
        <x:v>851</x:v>
      </x:c>
      <x:c r="N183" s="0">
        <x:f>""</x:f>
      </x:c>
      <x:c r="O183" s="0">
        <x:f>""</x:f>
      </x:c>
      <x:c r="P183" s="0">
        <x:f>""</x:f>
      </x:c>
      <x:c r="Q183" s="0">
        <x:f>""</x:f>
      </x:c>
      <x:c r="R183" s="0">
        <x:f>""</x:f>
      </x:c>
      <x:c r="S183" s="0">
        <x:f>""</x:f>
      </x:c>
      <x:c r="T183" s="0">
        <x:f>""</x:f>
      </x:c>
      <x:c r="W183" s="0">
        <x:f>""</x:f>
      </x:c>
    </x:row>
    <x:row r="184" spans="1:23" ht="60" customHeight="1" x14ac:dyDescent="0.25">
      <x:c r="A184" s="1">
        <x:f>ROW(A184)-1</x:f>
      </x:c>
      <x:c r="B184" s="10">
        <x:v>813</x:v>
      </x:c>
      <x:c r="C184" s="10" t="s">
        <x:v>43</x:v>
      </x:c>
      <x:c r="D184" s="10" t="s">
        <x:v>852</x:v>
      </x:c>
      <x:c r="G184" s="10"/>
      <x:c r="H184" s="15" t="s">
        <x:v>853</x:v>
      </x:c>
      <x:c r="I184" s="15"/>
      <x:c r="J184" s="10">
        <x:v>3830</x:v>
      </x:c>
      <x:c r="K184" s="1" t="s">
        <x:v>297</x:v>
      </x:c>
      <x:c r="L184" s="0" t="s">
        <x:v>854</x:v>
      </x:c>
      <x:c r="M184" s="0">
        <x:v>2</x:v>
      </x:c>
      <x:c r="N184" s="0">
        <x:f>""</x:f>
      </x:c>
      <x:c r="O184" s="0">
        <x:f>""</x:f>
      </x:c>
      <x:c r="P184" s="0">
        <x:f>""</x:f>
      </x:c>
      <x:c r="Q184" s="0">
        <x:f>""</x:f>
      </x:c>
      <x:c r="R184" s="0">
        <x:f>""</x:f>
      </x:c>
      <x:c r="S184" s="0">
        <x:f>""</x:f>
      </x:c>
      <x:c r="T184" s="0">
        <x:f>""</x:f>
      </x:c>
      <x:c r="W184" s="0">
        <x:f>""</x:f>
      </x:c>
    </x:row>
    <x:row r="185" spans="1:23" ht="30" customHeight="1" x14ac:dyDescent="0.25">
      <x:c r="A185" s="1">
        <x:f>ROW(A185)-1</x:f>
      </x:c>
      <x:c r="B185" s="10">
        <x:v>802</x:v>
      </x:c>
      <x:c r="C185" s="10" t="s">
        <x:v>43</x:v>
      </x:c>
      <x:c r="D185" s="10" t="s">
        <x:v>855</x:v>
      </x:c>
      <x:c r="E185" s="10" t="s">
        <x:v>856</x:v>
      </x:c>
      <x:c r="F185" s="1" t="s">
        <x:v>857</x:v>
      </x:c>
      <x:c r="G185" s="10" t="s">
        <x:v>858</x:v>
      </x:c>
      <x:c r="H185" s="15" t="s">
        <x:v>116</x:v>
      </x:c>
      <x:c r="I185" s="15"/>
      <x:c r="J185" s="10">
        <x:v>3730</x:v>
      </x:c>
      <x:c r="K185" s="1" t="s">
        <x:v>208</x:v>
      </x:c>
      <x:c r="L185" s="0" t="s">
        <x:v>335</x:v>
      </x:c>
      <x:c r="M185" s="0">
        <x:v>3</x:v>
      </x:c>
      <x:c r="N185" s="0">
        <x:f>""</x:f>
      </x:c>
      <x:c r="O185" s="0">
        <x:f>""</x:f>
      </x:c>
      <x:c r="P185" s="0">
        <x:f>""</x:f>
      </x:c>
      <x:c r="Q185" s="0">
        <x:f>""</x:f>
      </x:c>
      <x:c r="R185" s="0">
        <x:f>""</x:f>
      </x:c>
      <x:c r="S185" s="0">
        <x:f>""</x:f>
      </x:c>
      <x:c r="T185" s="0">
        <x:f>""</x:f>
      </x:c>
      <x:c r="W185" s="0">
        <x:f>""</x:f>
      </x:c>
    </x:row>
    <x:row r="186" spans="1:23" ht="30" customHeight="1" x14ac:dyDescent="0.25">
      <x:c r="A186" s="1">
        <x:f>ROW(A186)-1</x:f>
      </x:c>
      <x:c r="C186" s="10" t="s">
        <x:v>43</x:v>
      </x:c>
      <x:c r="E186" s="10" t="s">
        <x:v>859</x:v>
      </x:c>
      <x:c r="G186" s="10"/>
      <x:c r="H186" s="15" t="s">
        <x:v>860</x:v>
      </x:c>
      <x:c r="I186" s="15"/>
      <x:c r="J186" s="10">
        <x:v>3100</x:v>
      </x:c>
      <x:c r="K186" s="1" t="s">
        <x:v>861</x:v>
      </x:c>
      <x:c r="L186" s="0" t="s">
        <x:v>862</x:v>
      </x:c>
      <x:c r="M186" s="0">
        <x:v>1</x:v>
      </x:c>
      <x:c r="N186" s="0">
        <x:f>""</x:f>
      </x:c>
      <x:c r="O186" s="0">
        <x:f>""</x:f>
      </x:c>
      <x:c r="P186" s="0">
        <x:f>""</x:f>
      </x:c>
      <x:c r="Q186" s="0">
        <x:f>""</x:f>
      </x:c>
      <x:c r="R186" s="0">
        <x:f>""</x:f>
      </x:c>
      <x:c r="S186" s="0">
        <x:f>""</x:f>
      </x:c>
      <x:c r="T186" s="0">
        <x:f>""</x:f>
      </x:c>
      <x:c r="W186" s="0">
        <x:f>""</x:f>
      </x:c>
    </x:row>
    <x:row r="187" spans="1:23" ht="75" customHeight="1" x14ac:dyDescent="0.25">
      <x:c r="A187" s="1">
        <x:f>ROW(A187)-1</x:f>
      </x:c>
      <x:c r="B187" s="10">
        <x:v>792</x:v>
      </x:c>
      <x:c r="C187" s="10" t="s">
        <x:v>43</x:v>
      </x:c>
      <x:c r="D187" s="10" t="s">
        <x:v>863</x:v>
      </x:c>
      <x:c r="E187" s="10" t="s">
        <x:v>864</x:v>
      </x:c>
      <x:c r="G187" s="10"/>
      <x:c r="H187" s="15" t="s">
        <x:v>865</x:v>
      </x:c>
      <x:c r="I187" s="15"/>
      <x:c r="J187" s="10">
        <x:v>3812</x:v>
      </x:c>
      <x:c r="K187" s="1" t="s">
        <x:v>123</x:v>
      </x:c>
      <x:c r="L187" s="0" t="s">
        <x:v>866</x:v>
      </x:c>
      <x:c r="M187" s="0">
        <x:v>5</x:v>
      </x:c>
      <x:c r="N187" s="0">
        <x:f>""</x:f>
      </x:c>
      <x:c r="O187" s="0">
        <x:f>""</x:f>
      </x:c>
      <x:c r="P187" s="0">
        <x:f>""</x:f>
      </x:c>
      <x:c r="Q187" s="0">
        <x:f>""</x:f>
      </x:c>
      <x:c r="R187" s="0">
        <x:f>""</x:f>
      </x:c>
      <x:c r="S187" s="0">
        <x:f>""</x:f>
      </x:c>
      <x:c r="T187" s="0">
        <x:f>""</x:f>
      </x:c>
      <x:c r="W187" s="0">
        <x:f>""</x:f>
      </x:c>
    </x:row>
    <x:row r="188" spans="1:23" ht="75" customHeight="1" x14ac:dyDescent="0.25">
      <x:c r="A188" s="1">
        <x:f>ROW(A188)-1</x:f>
      </x:c>
      <x:c r="B188" s="10">
        <x:v>791</x:v>
      </x:c>
      <x:c r="C188" s="10" t="s">
        <x:v>43</x:v>
      </x:c>
      <x:c r="D188" s="10" t="s">
        <x:v>867</x:v>
      </x:c>
      <x:c r="E188" s="10" t="s">
        <x:v>868</x:v>
      </x:c>
      <x:c r="G188" s="10"/>
      <x:c r="H188" s="15" t="s">
        <x:v>869</x:v>
      </x:c>
      <x:c r="I188" s="15"/>
      <x:c r="J188" s="10">
        <x:v>3643</x:v>
      </x:c>
      <x:c r="K188" s="1" t="s">
        <x:v>870</x:v>
      </x:c>
      <x:c r="L188" s="0" t="s">
        <x:v>871</x:v>
      </x:c>
      <x:c r="M188" s="0">
        <x:v>1</x:v>
      </x:c>
      <x:c r="N188" s="0">
        <x:f>""</x:f>
      </x:c>
      <x:c r="O188" s="0">
        <x:f>""</x:f>
      </x:c>
      <x:c r="P188" s="0">
        <x:f>""</x:f>
      </x:c>
      <x:c r="Q188" s="0">
        <x:f>""</x:f>
      </x:c>
      <x:c r="R188" s="0">
        <x:f>""</x:f>
      </x:c>
      <x:c r="S188" s="0">
        <x:f>""</x:f>
      </x:c>
      <x:c r="T188" s="0">
        <x:f>""</x:f>
      </x:c>
      <x:c r="W188" s="0">
        <x:f>""</x:f>
      </x:c>
    </x:row>
    <x:row r="189" spans="1:23" ht="75" customHeight="1" x14ac:dyDescent="0.25">
      <x:c r="A189" s="1">
        <x:f>ROW(A189)-1</x:f>
      </x:c>
      <x:c r="B189" s="10">
        <x:v>789</x:v>
      </x:c>
      <x:c r="C189" s="10" t="s">
        <x:v>43</x:v>
      </x:c>
      <x:c r="D189" s="10" t="s">
        <x:v>872</x:v>
      </x:c>
      <x:c r="E189" s="10" t="s">
        <x:v>331</x:v>
      </x:c>
      <x:c r="G189" s="10"/>
      <x:c r="H189" s="15" t="s">
        <x:v>873</x:v>
      </x:c>
      <x:c r="I189" s="15"/>
      <x:c r="J189" s="10">
        <x:v>2070</x:v>
      </x:c>
      <x:c r="K189" s="1" t="s">
        <x:v>334</x:v>
      </x:c>
      <x:c r="L189" s="0" t="s">
        <x:v>335</x:v>
      </x:c>
      <x:c r="M189" s="0">
        <x:v>17</x:v>
      </x:c>
      <x:c r="N189" s="0">
        <x:f>""</x:f>
      </x:c>
      <x:c r="O189" s="0">
        <x:f>""</x:f>
      </x:c>
      <x:c r="P189" s="0">
        <x:f>""</x:f>
      </x:c>
      <x:c r="Q189" s="0">
        <x:f>""</x:f>
      </x:c>
      <x:c r="R189" s="0">
        <x:f>""</x:f>
      </x:c>
      <x:c r="S189" s="0">
        <x:f>""</x:f>
      </x:c>
      <x:c r="T189" s="0">
        <x:f>""</x:f>
      </x:c>
      <x:c r="W189" s="0">
        <x:f>""</x:f>
      </x:c>
    </x:row>
    <x:row r="190" spans="1:23" ht="45" customHeight="1" x14ac:dyDescent="0.25">
      <x:c r="A190" s="1">
        <x:f>ROW(A190)-1</x:f>
      </x:c>
      <x:c r="B190" s="10">
        <x:v>782</x:v>
      </x:c>
      <x:c r="C190" s="10" t="s">
        <x:v>43</x:v>
      </x:c>
      <x:c r="D190" s="10" t="s">
        <x:v>874</x:v>
      </x:c>
      <x:c r="E190" s="10" t="s">
        <x:v>875</x:v>
      </x:c>
      <x:c r="G190" s="10"/>
      <x:c r="H190" s="15" t="s">
        <x:v>876</x:v>
      </x:c>
      <x:c r="I190" s="15"/>
      <x:c r="J190" s="10">
        <x:v>3950</x:v>
      </x:c>
      <x:c r="K190" s="1" t="s">
        <x:v>877</x:v>
      </x:c>
      <x:c r="L190" s="0" t="s">
        <x:v>491</x:v>
      </x:c>
      <x:c r="M190" s="0">
        <x:v>36</x:v>
      </x:c>
      <x:c r="N190" s="0">
        <x:f>""</x:f>
      </x:c>
      <x:c r="O190" s="0">
        <x:f>""</x:f>
      </x:c>
      <x:c r="P190" s="0">
        <x:f>""</x:f>
      </x:c>
      <x:c r="Q190" s="0">
        <x:f>""</x:f>
      </x:c>
      <x:c r="R190" s="0">
        <x:f>""</x:f>
      </x:c>
      <x:c r="S190" s="0">
        <x:f>""</x:f>
      </x:c>
      <x:c r="T190" s="0">
        <x:f>""</x:f>
      </x:c>
      <x:c r="W190" s="0">
        <x:f>""</x:f>
      </x:c>
    </x:row>
    <x:row r="191" spans="1:23" ht="75" customHeight="1" x14ac:dyDescent="0.25">
      <x:c r="A191" s="1">
        <x:f>ROW(A191)-1</x:f>
      </x:c>
      <x:c r="B191" s="10">
        <x:v>779</x:v>
      </x:c>
      <x:c r="C191" s="10" t="s">
        <x:v>43</x:v>
      </x:c>
      <x:c r="D191" s="10" t="s">
        <x:v>878</x:v>
      </x:c>
      <x:c r="E191" s="10" t="s">
        <x:v>879</x:v>
      </x:c>
      <x:c r="G191" s="10"/>
      <x:c r="H191" s="15" t="s">
        <x:v>880</x:v>
      </x:c>
      <x:c r="I191" s="15"/>
      <x:c r="J191" s="10">
        <x:v>3843</x:v>
      </x:c>
      <x:c r="K191" s="1" t="s">
        <x:v>364</x:v>
      </x:c>
      <x:c r="L191" s="0" t="s">
        <x:v>413</x:v>
      </x:c>
      <x:c r="M191" s="0">
        <x:v>2</x:v>
      </x:c>
      <x:c r="N191" s="0">
        <x:f>""</x:f>
      </x:c>
      <x:c r="O191" s="0">
        <x:f>""</x:f>
      </x:c>
      <x:c r="P191" s="0">
        <x:f>""</x:f>
      </x:c>
      <x:c r="Q191" s="0">
        <x:f>""</x:f>
      </x:c>
      <x:c r="R191" s="0">
        <x:f>""</x:f>
      </x:c>
      <x:c r="S191" s="0">
        <x:f>""</x:f>
      </x:c>
      <x:c r="T191" s="0">
        <x:f>""</x:f>
      </x:c>
      <x:c r="W191" s="0">
        <x:f>""</x:f>
      </x:c>
    </x:row>
    <x:row r="192" spans="1:23" ht="75" customHeight="1" x14ac:dyDescent="0.25">
      <x:c r="A192" s="1">
        <x:f>ROW(A192)-1</x:f>
      </x:c>
      <x:c r="B192" s="10">
        <x:v>777</x:v>
      </x:c>
      <x:c r="C192" s="10" t="s">
        <x:v>43</x:v>
      </x:c>
      <x:c r="D192" s="10" t="s">
        <x:v>881</x:v>
      </x:c>
      <x:c r="E192" s="10" t="s">
        <x:v>882</x:v>
      </x:c>
      <x:c r="F192" s="1" t="s">
        <x:v>425</x:v>
      </x:c>
      <x:c r="G192" s="10" t="s">
        <x:v>883</x:v>
      </x:c>
      <x:c r="H192" s="15" t="s">
        <x:v>884</x:v>
      </x:c>
      <x:c r="I192" s="15"/>
      <x:c r="J192" s="10">
        <x:v>2034</x:v>
      </x:c>
      <x:c r="K192" s="1" t="s">
        <x:v>882</x:v>
      </x:c>
      <x:c r="L192" s="0" t="s">
        <x:v>882</x:v>
      </x:c>
      <x:c r="M192" s="0">
        <x:v>145</x:v>
      </x:c>
      <x:c r="N192" s="0">
        <x:f>""</x:f>
      </x:c>
      <x:c r="O192" s="0">
        <x:f>""</x:f>
      </x:c>
      <x:c r="P192" s="0">
        <x:f>""</x:f>
      </x:c>
      <x:c r="Q192" s="0">
        <x:f>""</x:f>
      </x:c>
      <x:c r="R192" s="0">
        <x:f>""</x:f>
      </x:c>
      <x:c r="S192" s="0">
        <x:f>""</x:f>
      </x:c>
      <x:c r="T192" s="0">
        <x:f>""</x:f>
      </x:c>
      <x:c r="W192" s="0">
        <x:f>""</x:f>
      </x:c>
    </x:row>
    <x:row r="193" spans="1:23" ht="75" customHeight="1" x14ac:dyDescent="0.25">
      <x:c r="A193" s="1">
        <x:f>ROW(A193)-1</x:f>
      </x:c>
      <x:c r="B193" s="10">
        <x:v>776</x:v>
      </x:c>
      <x:c r="C193" s="10" t="s">
        <x:v>43</x:v>
      </x:c>
      <x:c r="D193" s="10" t="s">
        <x:v>885</x:v>
      </x:c>
      <x:c r="E193" s="10" t="s">
        <x:v>886</x:v>
      </x:c>
      <x:c r="G193" s="10"/>
      <x:c r="H193" s="15" t="s">
        <x:v>887</x:v>
      </x:c>
      <x:c r="I193" s="15"/>
      <x:c r="J193" s="10">
        <x:v>2164</x:v>
      </x:c>
      <x:c r="K193" s="1" t="s">
        <x:v>888</x:v>
      </x:c>
      <x:c r="L193" s="0" t="s">
        <x:v>888</x:v>
      </x:c>
      <x:c r="M193" s="0">
        <x:v>95</x:v>
      </x:c>
      <x:c r="N193" s="0">
        <x:f>""</x:f>
      </x:c>
      <x:c r="O193" s="0">
        <x:f>""</x:f>
      </x:c>
      <x:c r="P193" s="0">
        <x:f>""</x:f>
      </x:c>
      <x:c r="Q193" s="0">
        <x:f>""</x:f>
      </x:c>
      <x:c r="R193" s="0">
        <x:f>""</x:f>
      </x:c>
      <x:c r="S193" s="0">
        <x:f>""</x:f>
      </x:c>
      <x:c r="T193" s="0">
        <x:f>""</x:f>
      </x:c>
      <x:c r="W193" s="0">
        <x:f>""</x:f>
      </x:c>
    </x:row>
    <x:row r="194" spans="1:23" ht="75" customHeight="1" x14ac:dyDescent="0.25">
      <x:c r="A194" s="1">
        <x:f>ROW(A194)-1</x:f>
      </x:c>
      <x:c r="B194" s="10">
        <x:v>774</x:v>
      </x:c>
      <x:c r="C194" s="10" t="s">
        <x:v>43</x:v>
      </x:c>
      <x:c r="D194" s="10" t="s">
        <x:v>889</x:v>
      </x:c>
      <x:c r="E194" s="10" t="s">
        <x:v>890</x:v>
      </x:c>
      <x:c r="G194" s="10"/>
      <x:c r="H194" s="15" t="s">
        <x:v>116</x:v>
      </x:c>
      <x:c r="I194" s="15"/>
      <x:c r="J194" s="10">
        <x:v>3543</x:v>
      </x:c>
      <x:c r="K194" s="1" t="s">
        <x:v>890</x:v>
      </x:c>
      <x:c r="L194" s="0" t="s">
        <x:v>891</x:v>
      </x:c>
      <x:c r="M194" s="0">
        <x:v>22</x:v>
      </x:c>
      <x:c r="N194" s="0">
        <x:f>""</x:f>
      </x:c>
      <x:c r="O194" s="0">
        <x:f>""</x:f>
      </x:c>
      <x:c r="P194" s="0">
        <x:f>""</x:f>
      </x:c>
      <x:c r="Q194" s="0">
        <x:f>""</x:f>
      </x:c>
      <x:c r="R194" s="0">
        <x:f>""</x:f>
      </x:c>
      <x:c r="S194" s="0">
        <x:f>""</x:f>
      </x:c>
      <x:c r="T194" s="0">
        <x:f>""</x:f>
      </x:c>
      <x:c r="W194" s="0">
        <x:f>""</x:f>
      </x:c>
    </x:row>
    <x:row r="195" spans="1:23" ht="45" customHeight="1" x14ac:dyDescent="0.25">
      <x:c r="A195" s="1">
        <x:f>ROW(A195)-1</x:f>
      </x:c>
      <x:c r="B195" s="10">
        <x:v>771</x:v>
      </x:c>
      <x:c r="C195" s="10" t="s">
        <x:v>43</x:v>
      </x:c>
      <x:c r="D195" s="10" t="s">
        <x:v>892</x:v>
      </x:c>
      <x:c r="E195" s="10" t="s">
        <x:v>893</x:v>
      </x:c>
      <x:c r="F195" s="1" t="s">
        <x:v>70</x:v>
      </x:c>
      <x:c r="G195" s="10" t="s">
        <x:v>894</x:v>
      </x:c>
      <x:c r="H195" s="15" t="s">
        <x:v>895</x:v>
      </x:c>
      <x:c r="I195" s="15"/>
      <x:c r="J195" s="10">
        <x:v>3722</x:v>
      </x:c>
      <x:c r="K195" s="1" t="s">
        <x:v>645</x:v>
      </x:c>
      <x:c r="L195" s="0" t="s">
        <x:v>645</x:v>
      </x:c>
      <x:c r="M195" s="0">
        <x:v>114</x:v>
      </x:c>
      <x:c r="N195" s="0">
        <x:f>""</x:f>
      </x:c>
      <x:c r="O195" s="0">
        <x:f>""</x:f>
      </x:c>
      <x:c r="P195" s="0">
        <x:f>""</x:f>
      </x:c>
      <x:c r="Q195" s="0">
        <x:f>""</x:f>
      </x:c>
      <x:c r="R195" s="0">
        <x:f>""</x:f>
      </x:c>
      <x:c r="S195" s="0">
        <x:f>""</x:f>
      </x:c>
      <x:c r="T195" s="0">
        <x:f>""</x:f>
      </x:c>
      <x:c r="W195" s="0">
        <x:f>""</x:f>
      </x:c>
    </x:row>
    <x:row r="196" spans="1:23" ht="30" customHeight="1" x14ac:dyDescent="0.25">
      <x:c r="A196" s="1">
        <x:f>ROW(A196)-1</x:f>
      </x:c>
      <x:c r="B196" s="10">
        <x:v>770</x:v>
      </x:c>
      <x:c r="C196" s="10" t="s">
        <x:v>43</x:v>
      </x:c>
      <x:c r="E196" s="10" t="s">
        <x:v>896</x:v>
      </x:c>
      <x:c r="G196" s="10"/>
      <x:c r="H196" s="15" t="s">
        <x:v>897</x:v>
      </x:c>
      <x:c r="I196" s="15"/>
      <x:c r="J196" s="10">
        <x:v>2500</x:v>
      </x:c>
      <x:c r="K196" s="1" t="s">
        <x:v>831</x:v>
      </x:c>
      <x:c r="L196" s="0" t="s">
        <x:v>898</x:v>
      </x:c>
      <x:c r="M196" s="0">
        <x:v>23</x:v>
      </x:c>
      <x:c r="N196" s="0">
        <x:f>""</x:f>
      </x:c>
      <x:c r="O196" s="0">
        <x:f>""</x:f>
      </x:c>
      <x:c r="P196" s="0">
        <x:f>""</x:f>
      </x:c>
      <x:c r="Q196" s="0">
        <x:f>""</x:f>
      </x:c>
      <x:c r="R196" s="0">
        <x:f>""</x:f>
      </x:c>
      <x:c r="S196" s="0">
        <x:f>""</x:f>
      </x:c>
      <x:c r="T196" s="0">
        <x:f>""</x:f>
      </x:c>
      <x:c r="W196" s="0">
        <x:f>""</x:f>
      </x:c>
    </x:row>
    <x:row r="197" spans="1:23" ht="60" customHeight="1" x14ac:dyDescent="0.25">
      <x:c r="A197" s="1">
        <x:f>ROW(A197)-1</x:f>
      </x:c>
      <x:c r="B197" s="10">
        <x:v>721</x:v>
      </x:c>
      <x:c r="C197" s="10" t="s">
        <x:v>43</x:v>
      </x:c>
      <x:c r="D197" s="10" t="s">
        <x:v>899</x:v>
      </x:c>
      <x:c r="E197" s="10" t="s">
        <x:v>900</x:v>
      </x:c>
      <x:c r="G197" s="10"/>
      <x:c r="H197" s="15" t="s">
        <x:v>901</x:v>
      </x:c>
      <x:c r="I197" s="15" t="s">
        <x:v>902</x:v>
      </x:c>
      <x:c r="J197" s="10">
        <x:v>3931</x:v>
      </x:c>
      <x:c r="K197" s="1" t="s">
        <x:v>494</x:v>
      </x:c>
      <x:c r="L197" s="0" t="s">
        <x:v>338</x:v>
      </x:c>
      <x:c r="M197" s="0">
        <x:v>25</x:v>
      </x:c>
      <x:c r="N197" s="0">
        <x:f>""</x:f>
      </x:c>
      <x:c r="O197" s="0">
        <x:f>""</x:f>
      </x:c>
      <x:c r="P197" s="0">
        <x:f>""</x:f>
      </x:c>
      <x:c r="Q197" s="0">
        <x:f>""</x:f>
      </x:c>
      <x:c r="R197" s="0">
        <x:f>""</x:f>
      </x:c>
      <x:c r="S197" s="0">
        <x:f>""</x:f>
      </x:c>
      <x:c r="T197" s="0">
        <x:f>""</x:f>
      </x:c>
      <x:c r="W197" s="0">
        <x:f>""</x:f>
      </x:c>
    </x:row>
    <x:row r="198" spans="1:23" ht="45" customHeight="1" x14ac:dyDescent="0.25">
      <x:c r="A198" s="1">
        <x:f>ROW(A198)-1</x:f>
      </x:c>
      <x:c r="B198" s="10">
        <x:v>719</x:v>
      </x:c>
      <x:c r="C198" s="10" t="s">
        <x:v>43</x:v>
      </x:c>
      <x:c r="D198" s="10" t="s">
        <x:v>903</x:v>
      </x:c>
      <x:c r="E198" s="10" t="s">
        <x:v>240</x:v>
      </x:c>
      <x:c r="F198" s="1" t="s">
        <x:v>241</x:v>
      </x:c>
      <x:c r="G198" s="10" t="s">
        <x:v>242</x:v>
      </x:c>
      <x:c r="H198" s="15" t="s">
        <x:v>116</x:v>
      </x:c>
      <x:c r="I198" s="15"/>
      <x:c r="J198" s="10">
        <x:v>3633</x:v>
      </x:c>
      <x:c r="K198" s="1" t="s">
        <x:v>245</x:v>
      </x:c>
      <x:c r="L198" s="0" t="s">
        <x:v>245</x:v>
      </x:c>
      <x:c r="M198" s="0">
        <x:v>2</x:v>
      </x:c>
      <x:c r="N198" s="0">
        <x:f>""</x:f>
      </x:c>
      <x:c r="O198" s="0">
        <x:f>""</x:f>
      </x:c>
      <x:c r="P198" s="0">
        <x:f>""</x:f>
      </x:c>
      <x:c r="Q198" s="0">
        <x:f>""</x:f>
      </x:c>
      <x:c r="R198" s="0">
        <x:f>""</x:f>
      </x:c>
      <x:c r="S198" s="0">
        <x:f>""</x:f>
      </x:c>
      <x:c r="T198" s="0">
        <x:f>""</x:f>
      </x:c>
      <x:c r="W198" s="0">
        <x:f>""</x:f>
      </x:c>
    </x:row>
    <x:row r="199" spans="1:23" ht="30" customHeight="1" x14ac:dyDescent="0.25">
      <x:c r="A199" s="1">
        <x:f>ROW(A199)-1</x:f>
      </x:c>
      <x:c r="B199" s="10">
        <x:v>768</x:v>
      </x:c>
      <x:c r="C199" s="10" t="s">
        <x:v>43</x:v>
      </x:c>
      <x:c r="D199" s="10" t="s">
        <x:v>114</x:v>
      </x:c>
      <x:c r="E199" s="10" t="s">
        <x:v>904</x:v>
      </x:c>
      <x:c r="G199" s="10"/>
      <x:c r="H199" s="15" t="s">
        <x:v>116</x:v>
      </x:c>
      <x:c r="I199" s="15"/>
      <x:c r="J199" s="10">
        <x:v>3970</x:v>
      </x:c>
      <x:c r="K199" s="1" t="s">
        <x:v>905</x:v>
      </x:c>
      <x:c r="L199" s="0" t="s">
        <x:v>906</x:v>
      </x:c>
      <x:c r="M199" s="0">
        <x:v>1</x:v>
      </x:c>
      <x:c r="N199" s="0">
        <x:f>""</x:f>
      </x:c>
      <x:c r="O199" s="0">
        <x:f>""</x:f>
      </x:c>
      <x:c r="P199" s="0">
        <x:f>""</x:f>
      </x:c>
      <x:c r="Q199" s="0">
        <x:f>""</x:f>
      </x:c>
      <x:c r="R199" s="0">
        <x:f>""</x:f>
      </x:c>
      <x:c r="S199" s="0">
        <x:f>""</x:f>
      </x:c>
      <x:c r="T199" s="0">
        <x:f>""</x:f>
      </x:c>
      <x:c r="W199" s="0">
        <x:f>""</x:f>
      </x:c>
    </x:row>
    <x:row r="200" spans="1:23" ht="60" customHeight="1" x14ac:dyDescent="0.25">
      <x:c r="A200" s="1">
        <x:f>ROW(A200)-1</x:f>
      </x:c>
      <x:c r="B200" s="10">
        <x:v>767</x:v>
      </x:c>
      <x:c r="C200" s="10" t="s">
        <x:v>43</x:v>
      </x:c>
      <x:c r="D200" s="10" t="s">
        <x:v>907</x:v>
      </x:c>
      <x:c r="E200" s="10" t="s">
        <x:v>908</x:v>
      </x:c>
      <x:c r="G200" s="10"/>
      <x:c r="H200" s="15" t="s">
        <x:v>909</x:v>
      </x:c>
      <x:c r="I200" s="15"/>
      <x:c r="J200" s="10">
        <x:v>3910</x:v>
      </x:c>
      <x:c r="K200" s="1" t="s">
        <x:v>50</x:v>
      </x:c>
      <x:c r="L200" s="0" t="s">
        <x:v>910</x:v>
      </x:c>
      <x:c r="M200" s="0">
        <x:v>4</x:v>
      </x:c>
      <x:c r="N200" s="0">
        <x:f>""</x:f>
      </x:c>
      <x:c r="O200" s="0">
        <x:f>""</x:f>
      </x:c>
      <x:c r="P200" s="0">
        <x:f>""</x:f>
      </x:c>
      <x:c r="Q200" s="0">
        <x:f>""</x:f>
      </x:c>
      <x:c r="R200" s="0">
        <x:f>""</x:f>
      </x:c>
      <x:c r="S200" s="0">
        <x:f>""</x:f>
      </x:c>
      <x:c r="T200" s="0">
        <x:f>""</x:f>
      </x:c>
      <x:c r="W200" s="0">
        <x:f>""</x:f>
      </x:c>
    </x:row>
    <x:row r="201" spans="1:23" ht="45" customHeight="1" x14ac:dyDescent="0.25">
      <x:c r="A201" s="1">
        <x:f>ROW(A201)-1</x:f>
      </x:c>
      <x:c r="B201" s="10">
        <x:v>764</x:v>
      </x:c>
      <x:c r="C201" s="10" t="s">
        <x:v>43</x:v>
      </x:c>
      <x:c r="D201" s="10" t="s">
        <x:v>911</x:v>
      </x:c>
      <x:c r="E201" s="10" t="s">
        <x:v>912</x:v>
      </x:c>
      <x:c r="G201" s="10"/>
      <x:c r="H201" s="15" t="s">
        <x:v>913</x:v>
      </x:c>
      <x:c r="I201" s="15"/>
      <x:c r="J201" s="10">
        <x:v>3932</x:v>
      </x:c>
      <x:c r="K201" s="1" t="s">
        <x:v>912</x:v>
      </x:c>
      <x:c r="L201" s="0" t="s">
        <x:v>912</x:v>
      </x:c>
      <x:c r="M201" s="0">
        <x:v>7</x:v>
      </x:c>
      <x:c r="N201" s="0">
        <x:f>""</x:f>
      </x:c>
      <x:c r="O201" s="0">
        <x:f>""</x:f>
      </x:c>
      <x:c r="P201" s="0">
        <x:f>""</x:f>
      </x:c>
      <x:c r="Q201" s="0">
        <x:f>""</x:f>
      </x:c>
      <x:c r="R201" s="0">
        <x:f>""</x:f>
      </x:c>
      <x:c r="S201" s="0">
        <x:f>""</x:f>
      </x:c>
      <x:c r="T201" s="0">
        <x:f>""</x:f>
      </x:c>
      <x:c r="W201" s="0">
        <x:f>""</x:f>
      </x:c>
    </x:row>
    <x:row r="202" spans="1:23" ht="30" customHeight="1" x14ac:dyDescent="0.25">
      <x:c r="A202" s="1">
        <x:f>ROW(A202)-1</x:f>
      </x:c>
      <x:c r="B202" s="10">
        <x:v>762</x:v>
      </x:c>
      <x:c r="C202" s="10" t="s">
        <x:v>43</x:v>
      </x:c>
      <x:c r="E202" s="10" t="s">
        <x:v>914</x:v>
      </x:c>
      <x:c r="G202" s="10"/>
      <x:c r="H202" s="15" t="s">
        <x:v>915</x:v>
      </x:c>
      <x:c r="I202" s="15"/>
      <x:c r="J202" s="10">
        <x:v>2134</x:v>
      </x:c>
      <x:c r="K202" s="1" t="s">
        <x:v>916</x:v>
      </x:c>
      <x:c r="L202" s="0" t="s">
        <x:v>917</x:v>
      </x:c>
      <x:c r="M202" s="0">
        <x:v>3</x:v>
      </x:c>
      <x:c r="N202" s="0">
        <x:f>""</x:f>
      </x:c>
      <x:c r="O202" s="0">
        <x:f>""</x:f>
      </x:c>
      <x:c r="P202" s="0">
        <x:f>""</x:f>
      </x:c>
      <x:c r="Q202" s="0">
        <x:f>""</x:f>
      </x:c>
      <x:c r="R202" s="0">
        <x:f>""</x:f>
      </x:c>
      <x:c r="S202" s="0">
        <x:f>""</x:f>
      </x:c>
      <x:c r="T202" s="0">
        <x:f>""</x:f>
      </x:c>
      <x:c r="W202" s="0">
        <x:f>""</x:f>
      </x:c>
    </x:row>
    <x:row r="203" spans="1:23" ht="45" customHeight="1" x14ac:dyDescent="0.25">
      <x:c r="A203" s="1">
        <x:f>ROW(A203)-1</x:f>
      </x:c>
      <x:c r="B203" s="10">
        <x:v>761</x:v>
      </x:c>
      <x:c r="C203" s="10" t="s">
        <x:v>43</x:v>
      </x:c>
      <x:c r="D203" s="10" t="s">
        <x:v>918</x:v>
      </x:c>
      <x:c r="E203" s="10" t="s">
        <x:v>919</x:v>
      </x:c>
      <x:c r="G203" s="10"/>
      <x:c r="H203" s="15" t="s">
        <x:v>920</x:v>
      </x:c>
      <x:c r="I203" s="15"/>
      <x:c r="J203" s="10">
        <x:v>2500</x:v>
      </x:c>
      <x:c r="K203" s="1" t="s">
        <x:v>831</x:v>
      </x:c>
      <x:c r="L203" s="0" t="s">
        <x:v>921</x:v>
      </x:c>
      <x:c r="M203" s="0">
        <x:v>109</x:v>
      </x:c>
      <x:c r="N203" s="0">
        <x:f>""</x:f>
      </x:c>
      <x:c r="O203" s="0">
        <x:f>""</x:f>
      </x:c>
      <x:c r="P203" s="0">
        <x:f>""</x:f>
      </x:c>
      <x:c r="Q203" s="0">
        <x:f>""</x:f>
      </x:c>
      <x:c r="R203" s="0">
        <x:f>""</x:f>
      </x:c>
      <x:c r="S203" s="0">
        <x:f>""</x:f>
      </x:c>
      <x:c r="T203" s="0">
        <x:f>""</x:f>
      </x:c>
      <x:c r="W203" s="0">
        <x:f>""</x:f>
      </x:c>
    </x:row>
    <x:row r="204" spans="1:23" ht="45" customHeight="1" x14ac:dyDescent="0.25">
      <x:c r="A204" s="1">
        <x:f>ROW(A204)-1</x:f>
      </x:c>
      <x:c r="B204" s="10">
        <x:v>759</x:v>
      </x:c>
      <x:c r="C204" s="10" t="s">
        <x:v>43</x:v>
      </x:c>
      <x:c r="D204" s="10" t="s">
        <x:v>922</x:v>
      </x:c>
      <x:c r="E204" s="10" t="s">
        <x:v>923</x:v>
      </x:c>
      <x:c r="G204" s="10"/>
      <x:c r="H204" s="15" t="s">
        <x:v>924</x:v>
      </x:c>
      <x:c r="I204" s="15"/>
      <x:c r="J204" s="10">
        <x:v>3872</x:v>
      </x:c>
      <x:c r="K204" s="1" t="s">
        <x:v>925</x:v>
      </x:c>
      <x:c r="L204" s="0" t="s">
        <x:v>75</x:v>
      </x:c>
      <x:c r="M204" s="0">
        <x:v>190</x:v>
      </x:c>
      <x:c r="N204" s="0">
        <x:f>""</x:f>
      </x:c>
      <x:c r="O204" s="0">
        <x:f>""</x:f>
      </x:c>
      <x:c r="P204" s="0">
        <x:f>""</x:f>
      </x:c>
      <x:c r="Q204" s="0">
        <x:f>""</x:f>
      </x:c>
      <x:c r="R204" s="0">
        <x:f>""</x:f>
      </x:c>
      <x:c r="S204" s="0">
        <x:f>""</x:f>
      </x:c>
      <x:c r="T204" s="0">
        <x:f>""</x:f>
      </x:c>
      <x:c r="W204" s="0">
        <x:f>""</x:f>
      </x:c>
    </x:row>
    <x:row r="205" spans="1:23" ht="45" customHeight="1" x14ac:dyDescent="0.25">
      <x:c r="A205" s="1">
        <x:f>ROW(A205)-1</x:f>
      </x:c>
      <x:c r="B205" s="10">
        <x:v>739</x:v>
      </x:c>
      <x:c r="C205" s="10" t="s">
        <x:v>43</x:v>
      </x:c>
      <x:c r="D205" s="10" t="s">
        <x:v>903</x:v>
      </x:c>
      <x:c r="E205" s="10" t="s">
        <x:v>926</x:v>
      </x:c>
      <x:c r="G205" s="10"/>
      <x:c r="H205" s="15" t="s">
        <x:v>927</x:v>
      </x:c>
      <x:c r="I205" s="15"/>
      <x:c r="J205" s="10">
        <x:v>2070</x:v>
      </x:c>
      <x:c r="K205" s="1" t="s">
        <x:v>334</x:v>
      </x:c>
      <x:c r="L205" s="0" t="s">
        <x:v>338</x:v>
      </x:c>
      <x:c r="M205" s="0">
        <x:v>30</x:v>
      </x:c>
      <x:c r="N205" s="0">
        <x:f>""</x:f>
      </x:c>
      <x:c r="O205" s="0">
        <x:f>""</x:f>
      </x:c>
      <x:c r="P205" s="0">
        <x:f>""</x:f>
      </x:c>
      <x:c r="Q205" s="0">
        <x:f>""</x:f>
      </x:c>
      <x:c r="R205" s="0">
        <x:f>""</x:f>
      </x:c>
      <x:c r="S205" s="0">
        <x:f>""</x:f>
      </x:c>
      <x:c r="T205" s="0">
        <x:f>""</x:f>
      </x:c>
      <x:c r="W205" s="0">
        <x:f>""</x:f>
      </x:c>
    </x:row>
    <x:row r="206" spans="1:23" ht="30" customHeight="1" x14ac:dyDescent="0.25">
      <x:c r="A206" s="1">
        <x:f>ROW(A206)-1</x:f>
      </x:c>
      <x:c r="B206" s="10">
        <x:v>1047</x:v>
      </x:c>
      <x:c r="C206" s="10" t="s">
        <x:v>43</x:v>
      </x:c>
      <x:c r="D206" s="10" t="s">
        <x:v>928</x:v>
      </x:c>
      <x:c r="F206" s="1" t="s">
        <x:v>929</x:v>
      </x:c>
      <x:c r="G206" s="1" t="s">
        <x:v>930</x:v>
      </x:c>
      <x:c r="H206" s="10" t="s">
        <x:v>931</x:v>
      </x:c>
      <x:c r="I206" s="23" t="s">
        <x:v>932</x:v>
      </x:c>
      <x:c r="J206" s="10">
        <x:v>2211</x:v>
      </x:c>
      <x:c r="K206" s="1" t="s">
        <x:v>933</x:v>
      </x:c>
      <x:c r="L206" s="0" t="s">
        <x:v>338</x:v>
      </x:c>
      <x:c r="M206" s="0">
        <x:v>3</x:v>
      </x:c>
      <x:c r="N206" s="0">
        <x:f>""</x:f>
      </x:c>
      <x:c r="O206" s="0">
        <x:f>""</x:f>
      </x:c>
      <x:c r="P206" s="0">
        <x:f>""</x:f>
      </x:c>
      <x:c r="Q206" s="0">
        <x:f>""</x:f>
      </x:c>
      <x:c r="R206" s="0">
        <x:f>""</x:f>
      </x:c>
      <x:c r="S206" s="0">
        <x:f>""</x:f>
      </x:c>
      <x:c r="T206" s="0">
        <x:f>""</x:f>
      </x:c>
      <x:c r="V206" s="22">
        <x:v>45957</x:v>
      </x:c>
      <x:c r="W206" s="0" t="s">
        <x:v>934</x:v>
      </x:c>
    </x:row>
    <x:row r="207" spans="1:23" ht="45" customHeight="1" x14ac:dyDescent="0.25">
      <x:c r="A207" s="1">
        <x:f>ROW(A207)-1</x:f>
      </x:c>
      <x:c r="C207" s="10" t="s">
        <x:v>43</x:v>
      </x:c>
      <x:c r="D207" s="10" t="s">
        <x:v>935</x:v>
      </x:c>
      <x:c r="F207" s="1" t="s">
        <x:v>468</x:v>
      </x:c>
      <x:c r="G207" s="1" t="s">
        <x:v>936</x:v>
      </x:c>
      <x:c r="H207" s="10" t="s">
        <x:v>937</x:v>
      </x:c>
      <x:c r="I207" s="23" t="s">
        <x:v>938</x:v>
      </x:c>
      <x:c r="J207" s="10">
        <x:v>3500</x:v>
      </x:c>
      <x:c r="K207" s="1" t="s">
        <x:v>201</x:v>
      </x:c>
      <x:c r="L207" s="0" t="s">
        <x:v>939</x:v>
      </x:c>
      <x:c r="M207" s="0">
        <x:v>64</x:v>
      </x:c>
      <x:c r="N207" s="0">
        <x:f>""</x:f>
      </x:c>
      <x:c r="O207" s="0">
        <x:f>""</x:f>
      </x:c>
      <x:c r="P207" s="0">
        <x:f>""</x:f>
      </x:c>
      <x:c r="Q207" s="0">
        <x:f>""</x:f>
      </x:c>
      <x:c r="R207" s="0">
        <x:f>""</x:f>
      </x:c>
      <x:c r="S207" s="0">
        <x:f>""</x:f>
      </x:c>
      <x:c r="T207" s="0">
        <x:f>""</x:f>
      </x:c>
      <x:c r="W207" s="0" t="s">
        <x:v>940</x:v>
      </x:c>
    </x:row>
    <x:row r="208" spans="1:23" ht="45" customHeight="1" x14ac:dyDescent="0.25">
      <x:c r="A208" s="1">
        <x:f>ROW(A208)-1</x:f>
      </x:c>
      <x:c r="B208" s="10">
        <x:v>3016</x:v>
      </x:c>
      <x:c r="C208" s="10" t="s">
        <x:v>43</x:v>
      </x:c>
      <x:c r="D208" s="10" t="s">
        <x:v>477</x:v>
      </x:c>
      <x:c r="F208" s="1" t="s">
        <x:v>941</x:v>
      </x:c>
      <x:c r="G208" s="1" t="s">
        <x:v>942</x:v>
      </x:c>
      <x:c r="H208" s="10" t="s">
        <x:v>943</x:v>
      </x:c>
      <x:c r="I208" s="23" t="s">
        <x:v>944</x:v>
      </x:c>
      <x:c r="J208" s="10">
        <x:v>3580</x:v>
      </x:c>
      <x:c r="K208" s="1" t="s">
        <x:v>329</x:v>
      </x:c>
      <x:c r="L208" s="0" t="s">
        <x:v>298</x:v>
      </x:c>
      <x:c r="M208" s="0">
        <x:v>19</x:v>
      </x:c>
      <x:c r="N208" s="0">
        <x:f>""</x:f>
      </x:c>
      <x:c r="O208" s="0">
        <x:f>""</x:f>
      </x:c>
      <x:c r="P208" s="0">
        <x:f>""</x:f>
      </x:c>
      <x:c r="Q208" s="0">
        <x:f>""</x:f>
      </x:c>
      <x:c r="R208" s="0">
        <x:f>""</x:f>
      </x:c>
      <x:c r="S208" s="0">
        <x:f>""</x:f>
      </x:c>
      <x:c r="T208" s="0">
        <x:f>""</x:f>
      </x:c>
      <x:c r="W208" s="0" t="s">
        <x:v>945</x:v>
      </x:c>
    </x:row>
    <x:row r="209" spans="1:23" ht="45" customHeight="1" x14ac:dyDescent="0.25">
      <x:c r="A209" s="1">
        <x:f>ROW(A209)-1</x:f>
      </x:c>
      <x:c r="B209" s="10">
        <x:v>3033</x:v>
      </x:c>
      <x:c r="C209" s="10" t="s">
        <x:v>43</x:v>
      </x:c>
      <x:c r="D209" s="10" t="s">
        <x:v>477</x:v>
      </x:c>
      <x:c r="F209" s="1" t="s">
        <x:v>946</x:v>
      </x:c>
      <x:c r="G209" s="1" t="s">
        <x:v>947</x:v>
      </x:c>
      <x:c r="H209" s="10" t="s">
        <x:v>948</x:v>
      </x:c>
      <x:c r="I209" s="23" t="s">
        <x:v>949</x:v>
      </x:c>
      <x:c r="J209" s="10">
        <x:v>3843</x:v>
      </x:c>
      <x:c r="K209" s="1" t="s">
        <x:v>364</x:v>
      </x:c>
      <x:c r="L209" s="0" t="s">
        <x:v>950</x:v>
      </x:c>
      <x:c r="M209" s="0">
        <x:v>13</x:v>
      </x:c>
      <x:c r="N209" s="0">
        <x:f>""</x:f>
      </x:c>
      <x:c r="O209" s="0">
        <x:f>""</x:f>
      </x:c>
      <x:c r="P209" s="0">
        <x:f>""</x:f>
      </x:c>
      <x:c r="Q209" s="0">
        <x:f>""</x:f>
      </x:c>
      <x:c r="R209" s="0">
        <x:f>""</x:f>
      </x:c>
      <x:c r="S209" s="0">
        <x:f>""</x:f>
      </x:c>
      <x:c r="T209" s="0">
        <x:f>""</x:f>
      </x:c>
      <x:c r="W209" s="0">
        <x:f>""</x:f>
      </x:c>
    </x:row>
    <x:row r="210" spans="1:23" ht="75" customHeight="1" x14ac:dyDescent="0.25">
      <x:c r="A210" s="1">
        <x:f>ROW(A210)-1</x:f>
      </x:c>
      <x:c r="B210" s="10">
        <x:v>386</x:v>
      </x:c>
      <x:c r="C210" s="10" t="s">
        <x:v>43</x:v>
      </x:c>
      <x:c r="D210" s="10" t="s">
        <x:v>951</x:v>
      </x:c>
      <x:c r="F210" s="1" t="s">
        <x:v>952</x:v>
      </x:c>
      <x:c r="G210" s="1" t="s">
        <x:v>953</x:v>
      </x:c>
      <x:c r="H210" s="10" t="s">
        <x:v>954</x:v>
      </x:c>
      <x:c r="I210" s="23" t="s">
        <x:v>955</x:v>
      </x:c>
      <x:c r="J210" s="10">
        <x:v>3830</x:v>
      </x:c>
      <x:c r="K210" s="1" t="s">
        <x:v>956</x:v>
      </x:c>
      <x:c r="L210" s="0" t="s">
        <x:v>338</x:v>
      </x:c>
      <x:c r="M210" s="0">
        <x:v>18</x:v>
      </x:c>
      <x:c r="N210" s="0">
        <x:f>""</x:f>
      </x:c>
      <x:c r="O210" s="0">
        <x:f>""</x:f>
      </x:c>
      <x:c r="P210" s="0">
        <x:f>""</x:f>
      </x:c>
      <x:c r="Q210" s="0">
        <x:f>""</x:f>
      </x:c>
      <x:c r="R210" s="0">
        <x:f>""</x:f>
      </x:c>
      <x:c r="S210" s="0">
        <x:f>""</x:f>
      </x:c>
      <x:c r="T210" s="0">
        <x:f>""</x:f>
      </x:c>
      <x:c r="W210" s="0" t="s">
        <x:v>957</x:v>
      </x:c>
    </x:row>
    <x:row r="211" spans="1:23" x14ac:dyDescent="0.25">
      <x:c r="A211" s="1">
        <x:f>ROW(A211)-1</x:f>
      </x:c>
      <x:c r="B211" s="10">
        <x:v>3168</x:v>
      </x:c>
      <x:c r="C211" s="10" t="s">
        <x:v>43</x:v>
      </x:c>
      <x:c r="H211" s="10">
        <x:v>0</x:v>
      </x:c>
      <x:c r="I211" s="23"/>
      <x:c r="M211" s="0">
        <x:v>0</x:v>
      </x:c>
      <x:c r="N211" s="0">
        <x:f>""</x:f>
      </x:c>
      <x:c r="O211" s="0">
        <x:f>""</x:f>
      </x:c>
      <x:c r="P211" s="0">
        <x:f>""</x:f>
      </x:c>
      <x:c r="Q211" s="0">
        <x:f>""</x:f>
      </x:c>
      <x:c r="R211" s="0">
        <x:f>""</x:f>
      </x:c>
      <x:c r="S211" s="0">
        <x:f>""</x:f>
      </x:c>
      <x:c r="T211" s="0">
        <x:f>""</x:f>
      </x:c>
      <x:c r="W211" s="0">
        <x:f>""</x:f>
      </x:c>
    </x:row>
    <x:row r="212" spans="1:23" x14ac:dyDescent="0.25">
      <x:c r="A212" s="1">
        <x:f>ROW(A212)-1</x:f>
      </x:c>
      <x:c r="B212" s="10">
        <x:v>3152</x:v>
      </x:c>
      <x:c r="C212" s="10" t="s">
        <x:v>43</x:v>
      </x:c>
      <x:c r="H212" s="10">
        <x:v>0</x:v>
      </x:c>
      <x:c r="I212" s="23"/>
      <x:c r="M212" s="0">
        <x:v>0</x:v>
      </x:c>
      <x:c r="N212" s="0">
        <x:f>""</x:f>
      </x:c>
      <x:c r="O212" s="0">
        <x:f>""</x:f>
      </x:c>
      <x:c r="P212" s="0">
        <x:f>""</x:f>
      </x:c>
      <x:c r="Q212" s="0">
        <x:f>""</x:f>
      </x:c>
      <x:c r="R212" s="0">
        <x:f>""</x:f>
      </x:c>
      <x:c r="S212" s="0">
        <x:f>""</x:f>
      </x:c>
      <x:c r="T212" s="0">
        <x:f>""</x:f>
      </x:c>
      <x:c r="W212" s="0">
        <x:f>""</x:f>
      </x:c>
    </x:row>
    <x:row r="213" spans="1:23" x14ac:dyDescent="0.25">
      <x:c r="A213" s="1">
        <x:f>ROW(A213)-1</x:f>
      </x:c>
      <x:c r="B213" s="10">
        <x:v>3158</x:v>
      </x:c>
      <x:c r="C213" s="10" t="s">
        <x:v>43</x:v>
      </x:c>
      <x:c r="H213" s="10">
        <x:v>0</x:v>
      </x:c>
      <x:c r="I213" s="23"/>
      <x:c r="M213" s="0">
        <x:v>0</x:v>
      </x:c>
      <x:c r="N213" s="0">
        <x:f>""</x:f>
      </x:c>
      <x:c r="O213" s="0">
        <x:f>""</x:f>
      </x:c>
      <x:c r="P213" s="0">
        <x:f>""</x:f>
      </x:c>
      <x:c r="Q213" s="0">
        <x:f>""</x:f>
      </x:c>
      <x:c r="R213" s="0">
        <x:f>""</x:f>
      </x:c>
      <x:c r="S213" s="0">
        <x:f>""</x:f>
      </x:c>
      <x:c r="T213" s="0">
        <x:f>""</x:f>
      </x:c>
      <x:c r="W213" s="0">
        <x:f>""</x:f>
      </x:c>
    </x:row>
    <x:row r="214" spans="1:23" x14ac:dyDescent="0.25">
      <x:c r="A214" s="1">
        <x:f>ROW(A214)-1</x:f>
      </x:c>
      <x:c r="B214" s="10">
        <x:v>3163</x:v>
      </x:c>
      <x:c r="C214" s="10" t="s">
        <x:v>43</x:v>
      </x:c>
      <x:c r="H214" s="10">
        <x:v>0</x:v>
      </x:c>
      <x:c r="I214" s="23"/>
      <x:c r="M214" s="0">
        <x:v>0</x:v>
      </x:c>
      <x:c r="N214" s="0">
        <x:f>""</x:f>
      </x:c>
      <x:c r="O214" s="0">
        <x:f>""</x:f>
      </x:c>
      <x:c r="P214" s="0">
        <x:f>""</x:f>
      </x:c>
      <x:c r="Q214" s="0">
        <x:f>""</x:f>
      </x:c>
      <x:c r="R214" s="0">
        <x:f>""</x:f>
      </x:c>
      <x:c r="S214" s="0">
        <x:f>""</x:f>
      </x:c>
      <x:c r="T214" s="0">
        <x:f>""</x:f>
      </x:c>
      <x:c r="W214" s="0">
        <x:f>""</x:f>
      </x:c>
    </x:row>
    <x:row r="215" spans="1:23" x14ac:dyDescent="0.25">
      <x:c r="A215" s="1">
        <x:f>ROW(A215)-1</x:f>
      </x:c>
      <x:c r="B215" s="10">
        <x:v>3165</x:v>
      </x:c>
      <x:c r="C215" s="10" t="s">
        <x:v>43</x:v>
      </x:c>
      <x:c r="H215" s="10">
        <x:v>0</x:v>
      </x:c>
      <x:c r="I215" s="23"/>
      <x:c r="M215" s="0">
        <x:v>0</x:v>
      </x:c>
      <x:c r="N215" s="0">
        <x:f>""</x:f>
      </x:c>
      <x:c r="O215" s="0">
        <x:f>""</x:f>
      </x:c>
      <x:c r="P215" s="0">
        <x:f>""</x:f>
      </x:c>
      <x:c r="Q215" s="0">
        <x:f>""</x:f>
      </x:c>
      <x:c r="R215" s="0">
        <x:f>""</x:f>
      </x:c>
      <x:c r="S215" s="0">
        <x:f>""</x:f>
      </x:c>
      <x:c r="T215" s="0">
        <x:f>""</x:f>
      </x:c>
      <x:c r="W215" s="0">
        <x:f>""</x:f>
      </x:c>
    </x:row>
    <x:row r="216" spans="1:23" x14ac:dyDescent="0.25">
      <x:c r="A216" s="1">
        <x:f>ROW(A216)-1</x:f>
      </x:c>
      <x:c r="B216" s="10">
        <x:v>3167</x:v>
      </x:c>
      <x:c r="C216" s="10" t="s">
        <x:v>43</x:v>
      </x:c>
      <x:c r="H216" s="10">
        <x:v>0</x:v>
      </x:c>
      <x:c r="I216" s="23"/>
      <x:c r="M216" s="0">
        <x:v>0</x:v>
      </x:c>
      <x:c r="N216" s="0">
        <x:f>""</x:f>
      </x:c>
      <x:c r="O216" s="0">
        <x:f>""</x:f>
      </x:c>
      <x:c r="P216" s="0">
        <x:f>""</x:f>
      </x:c>
      <x:c r="Q216" s="0">
        <x:f>""</x:f>
      </x:c>
      <x:c r="R216" s="0">
        <x:f>""</x:f>
      </x:c>
      <x:c r="S216" s="0">
        <x:f>""</x:f>
      </x:c>
      <x:c r="T216" s="0">
        <x:f>""</x:f>
      </x:c>
      <x:c r="W216" s="0">
        <x:f>""</x:f>
      </x:c>
    </x:row>
    <x:row r="217" spans="1:23" ht="30" customHeight="1" x14ac:dyDescent="0.25">
      <x:c r="A217" s="1">
        <x:f>ROW(A217)-1</x:f>
      </x:c>
      <x:c r="B217" s="10">
        <x:v>594</x:v>
      </x:c>
      <x:c r="C217" s="10" t="s">
        <x:v>43</x:v>
      </x:c>
      <x:c r="D217" s="10" t="s">
        <x:v>203</x:v>
      </x:c>
      <x:c r="F217" s="1" t="s">
        <x:v>232</x:v>
      </x:c>
      <x:c r="G217" s="1" t="s">
        <x:v>958</x:v>
      </x:c>
      <x:c r="H217" s="10" t="s">
        <x:v>959</x:v>
      </x:c>
      <x:c r="I217" s="23"/>
      <x:c r="J217" s="10">
        <x:v>3580</x:v>
      </x:c>
      <x:c r="K217" s="1" t="s">
        <x:v>329</x:v>
      </x:c>
      <x:c r="L217" s="0" t="s">
        <x:v>960</x:v>
      </x:c>
      <x:c r="M217" s="0">
        <x:v>14</x:v>
      </x:c>
      <x:c r="N217" s="0">
        <x:f>""</x:f>
      </x:c>
      <x:c r="O217" s="0">
        <x:f>""</x:f>
      </x:c>
      <x:c r="P217" s="0">
        <x:f>""</x:f>
      </x:c>
      <x:c r="Q217" s="0">
        <x:f>""</x:f>
      </x:c>
      <x:c r="R217" s="0">
        <x:f>""</x:f>
      </x:c>
      <x:c r="S217" s="0">
        <x:f>""</x:f>
      </x:c>
      <x:c r="T217" s="0">
        <x:f>""</x:f>
      </x:c>
      <x:c r="W217" s="0">
        <x:f>""</x:f>
      </x:c>
    </x:row>
    <x:row r="218" spans="1:23" x14ac:dyDescent="0.25">
      <x:c r="A218" s="1">
        <x:f>ROW(A218)-1</x:f>
      </x:c>
      <x:c r="B218" s="10">
        <x:v>837</x:v>
      </x:c>
      <x:c r="C218" s="10" t="s">
        <x:v>43</x:v>
      </x:c>
      <x:c r="H218" s="10">
        <x:v>0</x:v>
      </x:c>
      <x:c r="I218" s="23"/>
      <x:c r="M218" s="0">
        <x:v>0</x:v>
      </x:c>
      <x:c r="N218" s="0">
        <x:f>""</x:f>
      </x:c>
      <x:c r="O218" s="0">
        <x:f>""</x:f>
      </x:c>
      <x:c r="P218" s="0">
        <x:f>""</x:f>
      </x:c>
      <x:c r="Q218" s="0">
        <x:f>""</x:f>
      </x:c>
      <x:c r="R218" s="0">
        <x:f>""</x:f>
      </x:c>
      <x:c r="S218" s="0">
        <x:f>""</x:f>
      </x:c>
      <x:c r="T218" s="0">
        <x:f>""</x:f>
      </x:c>
      <x:c r="W218" s="0">
        <x:f>""</x:f>
      </x:c>
    </x:row>
    <x:row r="219" spans="1:23" ht="30" customHeight="1" x14ac:dyDescent="0.25">
      <x:c r="A219" s="1">
        <x:f>ROW(A219)-1</x:f>
      </x:c>
      <x:c r="B219" s="10">
        <x:v>3136</x:v>
      </x:c>
      <x:c r="C219" s="10" t="s">
        <x:v>43</x:v>
      </x:c>
      <x:c r="D219" s="10" t="s">
        <x:v>780</x:v>
      </x:c>
      <x:c r="F219" s="1" t="s">
        <x:v>78</x:v>
      </x:c>
      <x:c r="G219" s="1" t="s">
        <x:v>161</x:v>
      </x:c>
      <x:c r="H219" s="10">
        <x:v>0</x:v>
      </x:c>
      <x:c r="I219" s="23"/>
      <x:c r="J219" s="10">
        <x:v>2224</x:v>
      </x:c>
      <x:c r="K219" s="1" t="s">
        <x:v>961</x:v>
      </x:c>
      <x:c r="L219" s="0" t="s">
        <x:v>961</x:v>
      </x:c>
      <x:c r="M219" s="0">
        <x:v>250</x:v>
      </x:c>
      <x:c r="N219" s="0">
        <x:f>""</x:f>
      </x:c>
      <x:c r="O219" s="0">
        <x:f>""</x:f>
      </x:c>
      <x:c r="P219" s="0">
        <x:f>""</x:f>
      </x:c>
      <x:c r="Q219" s="0">
        <x:f>""</x:f>
      </x:c>
      <x:c r="R219" s="0">
        <x:f>""</x:f>
      </x:c>
      <x:c r="S219" s="0">
        <x:f>""</x:f>
      </x:c>
      <x:c r="T219" s="0">
        <x:f>""</x:f>
      </x:c>
      <x:c r="W219" s="0">
        <x:f>""</x:f>
      </x:c>
    </x:row>
    <x:row r="220" spans="1:23" ht="60" customHeight="1" x14ac:dyDescent="0.25">
      <x:c r="A220" s="1">
        <x:f>ROW(A220)-1</x:f>
      </x:c>
      <x:c r="B220" s="10">
        <x:v>495</x:v>
      </x:c>
      <x:c r="C220" s="10" t="s">
        <x:v>43</x:v>
      </x:c>
      <x:c r="D220" s="10" t="s">
        <x:v>962</x:v>
      </x:c>
      <x:c r="F220" s="1" t="s">
        <x:v>963</x:v>
      </x:c>
      <x:c r="G220" s="1" t="s">
        <x:v>964</x:v>
      </x:c>
      <x:c r="H220" s="10" t="s">
        <x:v>965</x:v>
      </x:c>
      <x:c r="I220" s="23" t="s">
        <x:v>966</x:v>
      </x:c>
      <x:c r="J220" s="10">
        <x:v>3902</x:v>
      </x:c>
      <x:c r="K220" s="1" t="s">
        <x:v>270</x:v>
      </x:c>
      <x:c r="L220" s="0" t="s">
        <x:v>284</x:v>
      </x:c>
      <x:c r="M220" s="0">
        <x:v>19</x:v>
      </x:c>
      <x:c r="N220" s="0">
        <x:f>""</x:f>
      </x:c>
      <x:c r="O220" s="0">
        <x:f>""</x:f>
      </x:c>
      <x:c r="P220" s="0">
        <x:f>""</x:f>
      </x:c>
      <x:c r="Q220" s="0">
        <x:f>""</x:f>
      </x:c>
      <x:c r="R220" s="0">
        <x:f>""</x:f>
      </x:c>
      <x:c r="S220" s="0">
        <x:f>""</x:f>
      </x:c>
      <x:c r="T220" s="0">
        <x:f>""</x:f>
      </x:c>
      <x:c r="W220" s="0">
        <x:f>""</x:f>
      </x:c>
    </x:row>
    <x:row r="221" spans="1:23" ht="45" customHeight="1" x14ac:dyDescent="0.25">
      <x:c r="A221" s="1">
        <x:f>ROW(A221)-1</x:f>
      </x:c>
      <x:c r="B221" s="10">
        <x:v>375</x:v>
      </x:c>
      <x:c r="C221" s="10" t="s">
        <x:v>43</x:v>
      </x:c>
      <x:c r="D221" s="10" t="s">
        <x:v>967</x:v>
      </x:c>
      <x:c r="F221" s="1" t="s">
        <x:v>70</x:v>
      </x:c>
      <x:c r="G221" s="1" t="s">
        <x:v>968</x:v>
      </x:c>
      <x:c r="H221" s="10" t="s">
        <x:v>969</x:v>
      </x:c>
      <x:c r="I221" s="23" t="s">
        <x:v>970</x:v>
      </x:c>
      <x:c r="J221" s="10">
        <x:v>3800</x:v>
      </x:c>
      <x:c r="K221" s="1" t="s">
        <x:v>481</x:v>
      </x:c>
      <x:c r="L221" s="0" t="s">
        <x:v>687</x:v>
      </x:c>
      <x:c r="M221" s="0">
        <x:v>1</x:v>
      </x:c>
      <x:c r="N221" s="0">
        <x:f>""</x:f>
      </x:c>
      <x:c r="O221" s="0">
        <x:f>""</x:f>
      </x:c>
      <x:c r="P221" s="0">
        <x:f>""</x:f>
      </x:c>
      <x:c r="Q221" s="0">
        <x:f>""</x:f>
      </x:c>
      <x:c r="R221" s="0">
        <x:f>""</x:f>
      </x:c>
      <x:c r="S221" s="0">
        <x:f>""</x:f>
      </x:c>
      <x:c r="T221" s="0">
        <x:f>""</x:f>
      </x:c>
      <x:c r="W221" s="0">
        <x:f>""</x:f>
      </x:c>
    </x:row>
    <x:row r="222" spans="1:23" ht="45" customHeight="1" x14ac:dyDescent="0.25">
      <x:c r="A222" s="1">
        <x:f>ROW(A222)-1</x:f>
      </x:c>
      <x:c r="B222" s="10">
        <x:v>563</x:v>
      </x:c>
      <x:c r="C222" s="10" t="s">
        <x:v>43</x:v>
      </x:c>
      <x:c r="D222" s="10" t="s">
        <x:v>350</x:v>
      </x:c>
      <x:c r="F222" s="1" t="s">
        <x:v>971</x:v>
      </x:c>
      <x:c r="G222" s="1" t="s">
        <x:v>972</x:v>
      </x:c>
      <x:c r="H222" s="10" t="s">
        <x:v>973</x:v>
      </x:c>
      <x:c r="I222" s="23"/>
      <x:c r="J222" s="10">
        <x:v>3830</x:v>
      </x:c>
      <x:c r="K222" s="1" t="s">
        <x:v>104</x:v>
      </x:c>
      <x:c r="L222" s="0" t="s">
        <x:v>974</x:v>
      </x:c>
      <x:c r="M222" s="0">
        <x:v>2</x:v>
      </x:c>
      <x:c r="N222" s="0">
        <x:f>""</x:f>
      </x:c>
      <x:c r="O222" s="0">
        <x:f>""</x:f>
      </x:c>
      <x:c r="P222" s="0">
        <x:f>""</x:f>
      </x:c>
      <x:c r="Q222" s="0">
        <x:f>""</x:f>
      </x:c>
      <x:c r="R222" s="0">
        <x:f>""</x:f>
      </x:c>
      <x:c r="S222" s="0">
        <x:f>""</x:f>
      </x:c>
      <x:c r="T222" s="0">
        <x:f>""</x:f>
      </x:c>
      <x:c r="W222" s="0">
        <x:f>""</x:f>
      </x:c>
    </x:row>
    <x:row r="223" spans="1:23" ht="45" customHeight="1" x14ac:dyDescent="0.25">
      <x:c r="A223" s="1">
        <x:f>ROW(A223)-1</x:f>
      </x:c>
      <x:c r="B223" s="10">
        <x:v>580</x:v>
      </x:c>
      <x:c r="C223" s="10" t="s">
        <x:v>43</x:v>
      </x:c>
      <x:c r="D223" s="10" t="s">
        <x:v>350</x:v>
      </x:c>
      <x:c r="F223" s="1" t="s">
        <x:v>975</x:v>
      </x:c>
      <x:c r="G223" s="1" t="s">
        <x:v>976</x:v>
      </x:c>
      <x:c r="H223" s="10" t="s">
        <x:v>977</x:v>
      </x:c>
      <x:c r="I223" s="23"/>
      <x:c r="J223" s="10">
        <x:v>3580</x:v>
      </x:c>
      <x:c r="K223" s="1" t="s">
        <x:v>329</x:v>
      </x:c>
      <x:c r="L223" s="0" t="s">
        <x:v>298</x:v>
      </x:c>
      <x:c r="M223" s="0">
        <x:v>15</x:v>
      </x:c>
      <x:c r="N223" s="0">
        <x:f>""</x:f>
      </x:c>
      <x:c r="O223" s="0">
        <x:f>""</x:f>
      </x:c>
      <x:c r="P223" s="0">
        <x:f>""</x:f>
      </x:c>
      <x:c r="Q223" s="0">
        <x:f>""</x:f>
      </x:c>
      <x:c r="R223" s="0">
        <x:f>""</x:f>
      </x:c>
      <x:c r="S223" s="0">
        <x:f>""</x:f>
      </x:c>
      <x:c r="T223" s="0">
        <x:f>""</x:f>
      </x:c>
      <x:c r="W223" s="0">
        <x:f>""</x:f>
      </x:c>
    </x:row>
    <x:row r="224" spans="1:23" ht="105" customHeight="1" x14ac:dyDescent="0.25">
      <x:c r="A224" s="1">
        <x:f>ROW(A224)-1</x:f>
      </x:c>
      <x:c r="B224" s="10">
        <x:v>444</x:v>
      </x:c>
      <x:c r="C224" s="10" t="s">
        <x:v>43</x:v>
      </x:c>
      <x:c r="D224" s="10" t="s">
        <x:v>978</x:v>
      </x:c>
      <x:c r="H224" s="10">
        <x:v>0</x:v>
      </x:c>
      <x:c r="I224" s="23"/>
      <x:c r="J224" s="10">
        <x:v>3860</x:v>
      </x:c>
      <x:c r="K224" s="1" t="s">
        <x:v>176</x:v>
      </x:c>
      <x:c r="L224" s="0" t="s">
        <x:v>979</x:v>
      </x:c>
      <x:c r="M224" s="0">
        <x:v>80</x:v>
      </x:c>
      <x:c r="N224" s="0">
        <x:f>""</x:f>
      </x:c>
      <x:c r="O224" s="0">
        <x:f>""</x:f>
      </x:c>
      <x:c r="P224" s="0">
        <x:f>""</x:f>
      </x:c>
      <x:c r="Q224" s="0">
        <x:f>""</x:f>
      </x:c>
      <x:c r="R224" s="0">
        <x:f>""</x:f>
      </x:c>
      <x:c r="S224" s="0">
        <x:f>""</x:f>
      </x:c>
      <x:c r="T224" s="0">
        <x:f>""</x:f>
      </x:c>
      <x:c r="W224" s="0">
        <x:f>""</x:f>
      </x:c>
    </x:row>
    <x:row r="225" spans="1:23" ht="30" customHeight="1" x14ac:dyDescent="0.25">
      <x:c r="A225" s="1">
        <x:f>ROW(A225)-1</x:f>
      </x:c>
      <x:c r="B225" s="10">
        <x:v>586</x:v>
      </x:c>
      <x:c r="C225" s="10" t="s">
        <x:v>43</x:v>
      </x:c>
      <x:c r="D225" s="10" t="s">
        <x:v>980</x:v>
      </x:c>
      <x:c r="H225" s="10">
        <x:v>0</x:v>
      </x:c>
      <x:c r="I225" s="23"/>
      <x:c r="J225" s="10">
        <x:v>3580</x:v>
      </x:c>
      <x:c r="K225" s="1" t="s">
        <x:v>329</x:v>
      </x:c>
      <x:c r="L225" s="0" t="s">
        <x:v>731</x:v>
      </x:c>
      <x:c r="M225" s="0">
        <x:v>6</x:v>
      </x:c>
      <x:c r="N225" s="0">
        <x:f>""</x:f>
      </x:c>
      <x:c r="O225" s="0">
        <x:f>""</x:f>
      </x:c>
      <x:c r="P225" s="0">
        <x:f>""</x:f>
      </x:c>
      <x:c r="Q225" s="0">
        <x:f>""</x:f>
      </x:c>
      <x:c r="R225" s="0">
        <x:f>""</x:f>
      </x:c>
      <x:c r="S225" s="0">
        <x:f>""</x:f>
      </x:c>
      <x:c r="T225" s="0">
        <x:f>""</x:f>
      </x:c>
      <x:c r="W225" s="0">
        <x:f>""</x:f>
      </x:c>
    </x:row>
    <x:row r="226" spans="1:23" ht="60" customHeight="1" x14ac:dyDescent="0.25">
      <x:c r="A226" s="1">
        <x:f>ROW(A226)-1</x:f>
      </x:c>
      <x:c r="B226" s="10">
        <x:v>641</x:v>
      </x:c>
      <x:c r="C226" s="10" t="s">
        <x:v>43</x:v>
      </x:c>
      <x:c r="D226" s="10" t="s">
        <x:v>350</x:v>
      </x:c>
      <x:c r="F226" s="1" t="s">
        <x:v>981</x:v>
      </x:c>
      <x:c r="G226" s="1" t="s">
        <x:v>502</x:v>
      </x:c>
      <x:c r="H226" s="10">
        <x:v>0</x:v>
      </x:c>
      <x:c r="I226" s="23"/>
      <x:c r="J226" s="10">
        <x:v>3830</x:v>
      </x:c>
      <x:c r="K226" s="1" t="s">
        <x:v>297</x:v>
      </x:c>
      <x:c r="L226" s="0" t="s">
        <x:v>982</x:v>
      </x:c>
      <x:c r="M226" s="0">
        <x:v>34</x:v>
      </x:c>
      <x:c r="N226" s="0">
        <x:f>""</x:f>
      </x:c>
      <x:c r="O226" s="0">
        <x:f>""</x:f>
      </x:c>
      <x:c r="P226" s="0">
        <x:f>""</x:f>
      </x:c>
      <x:c r="Q226" s="0">
        <x:f>""</x:f>
      </x:c>
      <x:c r="R226" s="0">
        <x:f>""</x:f>
      </x:c>
      <x:c r="S226" s="0">
        <x:f>""</x:f>
      </x:c>
      <x:c r="T226" s="0">
        <x:f>""</x:f>
      </x:c>
      <x:c r="W226" s="0">
        <x:f>""</x:f>
      </x:c>
    </x:row>
    <x:row r="227" spans="1:23" ht="30" customHeight="1" x14ac:dyDescent="0.25">
      <x:c r="A227" s="1">
        <x:f>ROW(A227)-1</x:f>
      </x:c>
      <x:c r="B227" s="10">
        <x:v>521</x:v>
      </x:c>
      <x:c r="C227" s="10" t="s">
        <x:v>43</x:v>
      </x:c>
      <x:c r="D227" s="10" t="s">
        <x:v>203</x:v>
      </x:c>
      <x:c r="H227" s="10">
        <x:v>0</x:v>
      </x:c>
      <x:c r="I227" s="23"/>
      <x:c r="J227" s="10">
        <x:v>3580</x:v>
      </x:c>
      <x:c r="K227" s="1" t="s">
        <x:v>983</x:v>
      </x:c>
      <x:c r="L227" s="0" t="s">
        <x:v>983</x:v>
      </x:c>
      <x:c r="M227" s="0">
        <x:v>2</x:v>
      </x:c>
      <x:c r="N227" s="0">
        <x:f>""</x:f>
      </x:c>
      <x:c r="O227" s="0">
        <x:f>""</x:f>
      </x:c>
      <x:c r="P227" s="0">
        <x:f>""</x:f>
      </x:c>
      <x:c r="Q227" s="0">
        <x:f>""</x:f>
      </x:c>
      <x:c r="R227" s="0">
        <x:f>""</x:f>
      </x:c>
      <x:c r="S227" s="0">
        <x:f>""</x:f>
      </x:c>
      <x:c r="T227" s="0">
        <x:f>""</x:f>
      </x:c>
      <x:c r="W227" s="0">
        <x:f>""</x:f>
      </x:c>
    </x:row>
    <x:row r="228" spans="1:23" ht="75" customHeight="1" x14ac:dyDescent="0.25">
      <x:c r="A228" s="1">
        <x:f>ROW(A228)-1</x:f>
      </x:c>
      <x:c r="B228" s="10">
        <x:v>492</x:v>
      </x:c>
      <x:c r="C228" s="10" t="s">
        <x:v>43</x:v>
      </x:c>
      <x:c r="D228" s="10" t="s">
        <x:v>984</x:v>
      </x:c>
      <x:c r="F228" s="1" t="s">
        <x:v>70</x:v>
      </x:c>
      <x:c r="G228" s="1" t="s">
        <x:v>985</x:v>
      </x:c>
      <x:c r="H228" s="10" t="s">
        <x:v>986</x:v>
      </x:c>
      <x:c r="I228" s="23" t="s">
        <x:v>987</x:v>
      </x:c>
      <x:c r="J228" s="10">
        <x:v>3830</x:v>
      </x:c>
      <x:c r="K228" s="1" t="s">
        <x:v>297</x:v>
      </x:c>
      <x:c r="L228" s="0" t="s">
        <x:v>982</x:v>
      </x:c>
      <x:c r="M228" s="0">
        <x:v>19</x:v>
      </x:c>
      <x:c r="N228" s="0">
        <x:f>""</x:f>
      </x:c>
      <x:c r="O228" s="0">
        <x:f>""</x:f>
      </x:c>
      <x:c r="P228" s="0">
        <x:f>""</x:f>
      </x:c>
      <x:c r="Q228" s="0">
        <x:f>""</x:f>
      </x:c>
      <x:c r="R228" s="0">
        <x:f>""</x:f>
      </x:c>
      <x:c r="S228" s="0">
        <x:f>""</x:f>
      </x:c>
      <x:c r="T228" s="0">
        <x:f>""</x:f>
      </x:c>
      <x:c r="W228" s="0">
        <x:f>""</x:f>
      </x:c>
    </x:row>
    <x:row r="229" spans="1:23" ht="45" customHeight="1" x14ac:dyDescent="0.25">
      <x:c r="A229" s="1">
        <x:f>ROW(A229)-1</x:f>
      </x:c>
      <x:c r="B229" s="10">
        <x:v>460</x:v>
      </x:c>
      <x:c r="C229" s="10" t="s">
        <x:v>43</x:v>
      </x:c>
      <x:c r="D229" s="10" t="s">
        <x:v>988</x:v>
      </x:c>
      <x:c r="F229" s="1" t="s">
        <x:v>989</x:v>
      </x:c>
      <x:c r="G229" s="1" t="s">
        <x:v>990</x:v>
      </x:c>
      <x:c r="H229" s="10">
        <x:v>0</x:v>
      </x:c>
      <x:c r="I229" s="23"/>
      <x:c r="J229" s="10">
        <x:v>3971</x:v>
      </x:c>
      <x:c r="K229" s="1" t="s">
        <x:v>991</x:v>
      </x:c>
      <x:c r="L229" s="0" t="s">
        <x:v>992</x:v>
      </x:c>
      <x:c r="M229" s="0">
        <x:v>38</x:v>
      </x:c>
      <x:c r="N229" s="0">
        <x:f>""</x:f>
      </x:c>
      <x:c r="O229" s="0">
        <x:f>""</x:f>
      </x:c>
      <x:c r="P229" s="0">
        <x:f>""</x:f>
      </x:c>
      <x:c r="Q229" s="0">
        <x:f>""</x:f>
      </x:c>
      <x:c r="R229" s="0">
        <x:f>""</x:f>
      </x:c>
      <x:c r="S229" s="0">
        <x:f>""</x:f>
      </x:c>
      <x:c r="T229" s="0">
        <x:f>""</x:f>
      </x:c>
      <x:c r="W229" s="0">
        <x:f>""</x:f>
      </x:c>
    </x:row>
    <x:row r="230" spans="1:23" x14ac:dyDescent="0.25">
      <x:c r="A230" s="1">
        <x:f>ROW(A230)-1</x:f>
      </x:c>
      <x:c r="B230" s="10">
        <x:v>338</x:v>
      </x:c>
      <x:c r="C230" s="10" t="s">
        <x:v>43</x:v>
      </x:c>
      <x:c r="D230" s="10" t="s">
        <x:v>993</x:v>
      </x:c>
      <x:c r="H230" s="10">
        <x:v>0</x:v>
      </x:c>
      <x:c r="I230" s="23"/>
      <x:c r="M230" s="0">
        <x:v>0</x:v>
      </x:c>
      <x:c r="N230" s="0">
        <x:f>""</x:f>
      </x:c>
      <x:c r="O230" s="0">
        <x:f>""</x:f>
      </x:c>
      <x:c r="P230" s="0">
        <x:f>""</x:f>
      </x:c>
      <x:c r="Q230" s="0">
        <x:f>""</x:f>
      </x:c>
      <x:c r="R230" s="0">
        <x:f>""</x:f>
      </x:c>
      <x:c r="S230" s="0">
        <x:f>""</x:f>
      </x:c>
      <x:c r="T230" s="0">
        <x:f>""</x:f>
      </x:c>
      <x:c r="W230" s="0">
        <x:f>""</x:f>
      </x:c>
    </x:row>
    <x:row r="231" spans="1:23" ht="75" customHeight="1" x14ac:dyDescent="0.25">
      <x:c r="A231" s="1">
        <x:f>ROW(A231)-1</x:f>
      </x:c>
      <x:c r="B231" s="10">
        <x:v>458</x:v>
      </x:c>
      <x:c r="C231" s="10" t="s">
        <x:v>43</x:v>
      </x:c>
      <x:c r="D231" s="10" t="s">
        <x:v>994</x:v>
      </x:c>
      <x:c r="F231" s="1" t="s">
        <x:v>160</x:v>
      </x:c>
      <x:c r="G231" s="1" t="s">
        <x:v>995</x:v>
      </x:c>
      <x:c r="H231" s="10">
        <x:v>0</x:v>
      </x:c>
      <x:c r="I231" s="23"/>
      <x:c r="J231" s="10">
        <x:v>3580</x:v>
      </x:c>
      <x:c r="K231" s="1" t="s">
        <x:v>329</x:v>
      </x:c>
      <x:c r="L231" s="0" t="s">
        <x:v>338</x:v>
      </x:c>
      <x:c r="M231" s="0">
        <x:v>22</x:v>
      </x:c>
      <x:c r="N231" s="0">
        <x:f>""</x:f>
      </x:c>
      <x:c r="O231" s="0">
        <x:f>""</x:f>
      </x:c>
      <x:c r="P231" s="0">
        <x:f>""</x:f>
      </x:c>
      <x:c r="Q231" s="0">
        <x:f>""</x:f>
      </x:c>
      <x:c r="R231" s="0">
        <x:f>""</x:f>
      </x:c>
      <x:c r="S231" s="0">
        <x:f>""</x:f>
      </x:c>
      <x:c r="T231" s="0">
        <x:f>""</x:f>
      </x:c>
      <x:c r="W231" s="0">
        <x:f>""</x:f>
      </x:c>
    </x:row>
    <x:row r="232" spans="1:23" ht="60" customHeight="1" x14ac:dyDescent="0.25">
      <x:c r="A232" s="1">
        <x:f>ROW(A232)-1</x:f>
      </x:c>
      <x:c r="B232" s="10">
        <x:v>558</x:v>
      </x:c>
      <x:c r="C232" s="10" t="s">
        <x:v>43</x:v>
      </x:c>
      <x:c r="D232" s="10" t="s">
        <x:v>203</x:v>
      </x:c>
      <x:c r="F232" s="1" t="s">
        <x:v>996</x:v>
      </x:c>
      <x:c r="G232" s="1" t="s">
        <x:v>997</x:v>
      </x:c>
      <x:c r="H232" s="10">
        <x:v>0</x:v>
      </x:c>
      <x:c r="I232" s="23"/>
      <x:c r="J232" s="10">
        <x:v>3830</x:v>
      </x:c>
      <x:c r="K232" s="1" t="s">
        <x:v>297</x:v>
      </x:c>
      <x:c r="L232" s="0" t="s">
        <x:v>982</x:v>
      </x:c>
      <x:c r="M232" s="0">
        <x:v>2</x:v>
      </x:c>
      <x:c r="N232" s="0">
        <x:f>""</x:f>
      </x:c>
      <x:c r="O232" s="0">
        <x:f>""</x:f>
      </x:c>
      <x:c r="P232" s="0">
        <x:f>""</x:f>
      </x:c>
      <x:c r="Q232" s="0">
        <x:f>""</x:f>
      </x:c>
      <x:c r="R232" s="0">
        <x:f>""</x:f>
      </x:c>
      <x:c r="S232" s="0">
        <x:f>""</x:f>
      </x:c>
      <x:c r="T232" s="0">
        <x:f>""</x:f>
      </x:c>
      <x:c r="W232" s="0">
        <x:f>""</x:f>
      </x:c>
    </x:row>
    <x:row r="233" spans="1:23" ht="90" customHeight="1" x14ac:dyDescent="0.25">
      <x:c r="A233" s="1">
        <x:f>ROW(A233)-1</x:f>
      </x:c>
      <x:c r="B233" s="10">
        <x:v>301</x:v>
      </x:c>
      <x:c r="C233" s="10" t="s">
        <x:v>43</x:v>
      </x:c>
      <x:c r="D233" s="10" t="s">
        <x:v>998</x:v>
      </x:c>
      <x:c r="F233" s="1" t="s">
        <x:v>463</x:v>
      </x:c>
      <x:c r="G233" s="1" t="s">
        <x:v>999</x:v>
      </x:c>
      <x:c r="H233" s="10">
        <x:v>0</x:v>
      </x:c>
      <x:c r="I233" s="23"/>
      <x:c r="J233" s="10">
        <x:v>3830</x:v>
      </x:c>
      <x:c r="K233" s="1" t="s">
        <x:v>297</x:v>
      </x:c>
      <x:c r="L233" s="0" t="s">
        <x:v>1000</x:v>
      </x:c>
      <x:c r="M233" s="0">
        <x:v>17</x:v>
      </x:c>
      <x:c r="N233" s="0">
        <x:f>""</x:f>
      </x:c>
      <x:c r="O233" s="0">
        <x:f>""</x:f>
      </x:c>
      <x:c r="P233" s="0">
        <x:f>""</x:f>
      </x:c>
      <x:c r="Q233" s="0">
        <x:f>""</x:f>
      </x:c>
      <x:c r="R233" s="0">
        <x:f>""</x:f>
      </x:c>
      <x:c r="S233" s="0">
        <x:f>""</x:f>
      </x:c>
      <x:c r="T233" s="0">
        <x:f>""</x:f>
      </x:c>
      <x:c r="W233" s="0">
        <x:f>""</x:f>
      </x:c>
    </x:row>
    <x:row r="234" spans="1:23" ht="60" customHeight="1" x14ac:dyDescent="0.25">
      <x:c r="A234" s="1">
        <x:f>ROW(A234)-1</x:f>
      </x:c>
      <x:c r="B234" s="10">
        <x:v>324</x:v>
      </x:c>
      <x:c r="C234" s="10" t="s">
        <x:v>43</x:v>
      </x:c>
      <x:c r="D234" s="10" t="s">
        <x:v>1001</x:v>
      </x:c>
      <x:c r="F234" s="1" t="s">
        <x:v>1002</x:v>
      </x:c>
      <x:c r="G234" s="1" t="s">
        <x:v>1003</x:v>
      </x:c>
      <x:c r="H234" s="10">
        <x:v>0</x:v>
      </x:c>
      <x:c r="I234" s="23"/>
      <x:c r="J234" s="10">
        <x:v>3751</x:v>
      </x:c>
      <x:c r="K234" s="1" t="s">
        <x:v>1004</x:v>
      </x:c>
      <x:c r="L234" s="0" t="s">
        <x:v>75</x:v>
      </x:c>
      <x:c r="M234" s="0">
        <x:v>46</x:v>
      </x:c>
      <x:c r="N234" s="0">
        <x:f>""</x:f>
      </x:c>
      <x:c r="O234" s="0">
        <x:f>""</x:f>
      </x:c>
      <x:c r="P234" s="0">
        <x:f>""</x:f>
      </x:c>
      <x:c r="Q234" s="0">
        <x:f>""</x:f>
      </x:c>
      <x:c r="R234" s="0">
        <x:f>""</x:f>
      </x:c>
      <x:c r="S234" s="0">
        <x:f>""</x:f>
      </x:c>
      <x:c r="T234" s="0">
        <x:f>""</x:f>
      </x:c>
      <x:c r="W234" s="0">
        <x:f>""</x:f>
      </x:c>
    </x:row>
    <x:row r="235" spans="1:23" ht="45" customHeight="1" x14ac:dyDescent="0.25">
      <x:c r="A235" s="1">
        <x:f>ROW(A235)-1</x:f>
      </x:c>
      <x:c r="B235" s="10">
        <x:v>385</x:v>
      </x:c>
      <x:c r="C235" s="10" t="s">
        <x:v>43</x:v>
      </x:c>
      <x:c r="D235" s="10" t="s">
        <x:v>1005</x:v>
      </x:c>
      <x:c r="F235" s="1" t="s">
        <x:v>963</x:v>
      </x:c>
      <x:c r="G235" s="1" t="s">
        <x:v>1006</x:v>
      </x:c>
      <x:c r="H235" s="10">
        <x:v>0</x:v>
      </x:c>
      <x:c r="I235" s="23"/>
      <x:c r="J235" s="10">
        <x:v>3950</x:v>
      </x:c>
      <x:c r="K235" s="1" t="s">
        <x:v>877</x:v>
      </x:c>
      <x:c r="L235" s="0" t="s">
        <x:v>1007</x:v>
      </x:c>
      <x:c r="M235" s="0">
        <x:v>40</x:v>
      </x:c>
      <x:c r="N235" s="0">
        <x:f>""</x:f>
      </x:c>
      <x:c r="O235" s="0">
        <x:f>""</x:f>
      </x:c>
      <x:c r="P235" s="0">
        <x:f>""</x:f>
      </x:c>
      <x:c r="Q235" s="0">
        <x:f>""</x:f>
      </x:c>
      <x:c r="R235" s="0">
        <x:f>""</x:f>
      </x:c>
      <x:c r="S235" s="0">
        <x:f>""</x:f>
      </x:c>
      <x:c r="T235" s="0">
        <x:f>""</x:f>
      </x:c>
      <x:c r="W235" s="0">
        <x:f>""</x:f>
      </x:c>
    </x:row>
    <x:row r="236" spans="1:23" ht="75" customHeight="1" x14ac:dyDescent="0.25">
      <x:c r="A236" s="1">
        <x:f>ROW(A236)-1</x:f>
      </x:c>
      <x:c r="B236" s="10">
        <x:v>423</x:v>
      </x:c>
      <x:c r="C236" s="10" t="s">
        <x:v>43</x:v>
      </x:c>
      <x:c r="D236" s="10" t="s">
        <x:v>1008</x:v>
      </x:c>
      <x:c r="F236" s="1" t="s">
        <x:v>54</x:v>
      </x:c>
      <x:c r="G236" s="1" t="s">
        <x:v>55</x:v>
      </x:c>
      <x:c r="H236" s="10">
        <x:v>0</x:v>
      </x:c>
      <x:c r="I236" s="23" t="s">
        <x:v>57</x:v>
      </x:c>
      <x:c r="J236" s="10">
        <x:v>3571</x:v>
      </x:c>
      <x:c r="K236" s="1" t="s">
        <x:v>58</x:v>
      </x:c>
      <x:c r="L236" s="0" t="s">
        <x:v>1009</x:v>
      </x:c>
      <x:c r="M236" s="0">
        <x:v>163</x:v>
      </x:c>
      <x:c r="N236" s="0">
        <x:f>""</x:f>
      </x:c>
      <x:c r="O236" s="0">
        <x:f>""</x:f>
      </x:c>
      <x:c r="P236" s="0">
        <x:f>""</x:f>
      </x:c>
      <x:c r="Q236" s="0">
        <x:f>""</x:f>
      </x:c>
      <x:c r="R236" s="0">
        <x:f>""</x:f>
      </x:c>
      <x:c r="S236" s="0">
        <x:f>""</x:f>
      </x:c>
      <x:c r="T236" s="0">
        <x:f>""</x:f>
      </x:c>
      <x:c r="W236" s="0" t="s">
        <x:v>1010</x:v>
      </x:c>
    </x:row>
    <x:row r="237" spans="1:23" ht="75" customHeight="1" x14ac:dyDescent="0.25">
      <x:c r="A237" s="1">
        <x:f>ROW(A237)-1</x:f>
      </x:c>
      <x:c r="B237" s="10">
        <x:v>462</x:v>
      </x:c>
      <x:c r="C237" s="10" t="s">
        <x:v>43</x:v>
      </x:c>
      <x:c r="D237" s="10" t="s">
        <x:v>1011</x:v>
      </x:c>
      <x:c r="F237" s="1" t="s">
        <x:v>179</x:v>
      </x:c>
      <x:c r="G237" s="1" t="s">
        <x:v>1012</x:v>
      </x:c>
      <x:c r="H237" s="10" t="s">
        <x:v>1013</x:v>
      </x:c>
      <x:c r="I237" s="23" t="s">
        <x:v>1014</x:v>
      </x:c>
      <x:c r="J237" s="10">
        <x:v>3970</x:v>
      </x:c>
      <x:c r="K237" s="1" t="s">
        <x:v>905</x:v>
      </x:c>
      <x:c r="L237" s="0" t="s">
        <x:v>906</x:v>
      </x:c>
      <x:c r="M237" s="0">
        <x:v>8</x:v>
      </x:c>
      <x:c r="N237" s="0">
        <x:f>""</x:f>
      </x:c>
      <x:c r="O237" s="0">
        <x:f>""</x:f>
      </x:c>
      <x:c r="P237" s="0">
        <x:f>""</x:f>
      </x:c>
      <x:c r="Q237" s="0">
        <x:f>""</x:f>
      </x:c>
      <x:c r="R237" s="0">
        <x:f>""</x:f>
      </x:c>
      <x:c r="S237" s="0">
        <x:f>""</x:f>
      </x:c>
      <x:c r="T237" s="0">
        <x:f>""</x:f>
      </x:c>
      <x:c r="W237" s="0">
        <x:f>""</x:f>
      </x:c>
    </x:row>
    <x:row r="238" spans="1:23" ht="75" customHeight="1" x14ac:dyDescent="0.25">
      <x:c r="A238" s="1">
        <x:f>ROW(A238)-1</x:f>
      </x:c>
      <x:c r="B238" s="10">
        <x:v>468</x:v>
      </x:c>
      <x:c r="C238" s="10" t="s">
        <x:v>43</x:v>
      </x:c>
      <x:c r="D238" s="10" t="s">
        <x:v>1015</x:v>
      </x:c>
      <x:c r="H238" s="10">
        <x:v>0</x:v>
      </x:c>
      <x:c r="I238" s="23"/>
      <x:c r="M238" s="0">
        <x:v>0</x:v>
      </x:c>
      <x:c r="N238" s="0">
        <x:f>""</x:f>
      </x:c>
      <x:c r="O238" s="0">
        <x:f>""</x:f>
      </x:c>
      <x:c r="P238" s="0">
        <x:f>""</x:f>
      </x:c>
      <x:c r="Q238" s="0">
        <x:f>""</x:f>
      </x:c>
      <x:c r="R238" s="0">
        <x:f>""</x:f>
      </x:c>
      <x:c r="S238" s="0">
        <x:f>""</x:f>
      </x:c>
      <x:c r="T238" s="0">
        <x:f>""</x:f>
      </x:c>
      <x:c r="W238" s="0">
        <x:f>""</x:f>
      </x:c>
    </x:row>
    <x:row r="239" spans="1:23" ht="60" customHeight="1" x14ac:dyDescent="0.25">
      <x:c r="A239" s="1">
        <x:f>ROW(A239)-1</x:f>
      </x:c>
      <x:c r="B239" s="10">
        <x:v>373</x:v>
      </x:c>
      <x:c r="C239" s="10" t="s">
        <x:v>43</x:v>
      </x:c>
      <x:c r="D239" s="10" t="s">
        <x:v>1016</x:v>
      </x:c>
      <x:c r="H239" s="10">
        <x:v>0</x:v>
      </x:c>
      <x:c r="I239" s="23"/>
      <x:c r="J239" s="10">
        <x:v>3812</x:v>
      </x:c>
      <x:c r="K239" s="1" t="s">
        <x:v>123</x:v>
      </x:c>
      <x:c r="L239" s="0" t="s">
        <x:v>491</x:v>
      </x:c>
      <x:c r="M239" s="0">
        <x:v>32</x:v>
      </x:c>
      <x:c r="N239" s="0">
        <x:f>""</x:f>
      </x:c>
      <x:c r="O239" s="0">
        <x:f>""</x:f>
      </x:c>
      <x:c r="P239" s="0">
        <x:f>""</x:f>
      </x:c>
      <x:c r="Q239" s="0">
        <x:f>""</x:f>
      </x:c>
      <x:c r="R239" s="0">
        <x:f>""</x:f>
      </x:c>
      <x:c r="S239" s="0">
        <x:f>""</x:f>
      </x:c>
      <x:c r="T239" s="0">
        <x:f>""</x:f>
      </x:c>
      <x:c r="W239" s="0">
        <x:f>""</x:f>
      </x:c>
    </x:row>
    <x:row r="240" spans="1:23" ht="60" customHeight="1" x14ac:dyDescent="0.25">
      <x:c r="A240" s="1">
        <x:f>ROW(A240)-1</x:f>
      </x:c>
      <x:c r="B240" s="10">
        <x:v>446</x:v>
      </x:c>
      <x:c r="C240" s="10" t="s">
        <x:v>43</x:v>
      </x:c>
      <x:c r="D240" s="10" t="s">
        <x:v>1017</x:v>
      </x:c>
      <x:c r="F240" s="1" t="s">
        <x:v>546</x:v>
      </x:c>
      <x:c r="G240" s="1" t="s">
        <x:v>1018</x:v>
      </x:c>
      <x:c r="H240" s="10">
        <x:v>0</x:v>
      </x:c>
      <x:c r="I240" s="23"/>
      <x:c r="J240" s="10">
        <x:v>3580</x:v>
      </x:c>
      <x:c r="K240" s="1" t="s">
        <x:v>329</x:v>
      </x:c>
      <x:c r="L240" s="0" t="s">
        <x:v>1019</x:v>
      </x:c>
      <x:c r="M240" s="0">
        <x:v>7</x:v>
      </x:c>
      <x:c r="N240" s="0">
        <x:f>""</x:f>
      </x:c>
      <x:c r="O240" s="0">
        <x:f>""</x:f>
      </x:c>
      <x:c r="P240" s="0">
        <x:f>""</x:f>
      </x:c>
      <x:c r="Q240" s="0">
        <x:f>""</x:f>
      </x:c>
      <x:c r="R240" s="0">
        <x:f>""</x:f>
      </x:c>
      <x:c r="S240" s="0">
        <x:f>""</x:f>
      </x:c>
      <x:c r="T240" s="0">
        <x:f>""</x:f>
      </x:c>
      <x:c r="W240" s="0">
        <x:f>""</x:f>
      </x:c>
    </x:row>
    <x:row r="241" spans="1:23" ht="60" customHeight="1" x14ac:dyDescent="0.25">
      <x:c r="A241" s="1">
        <x:f>ROW(A241)-1</x:f>
      </x:c>
      <x:c r="B241" s="10">
        <x:v>551</x:v>
      </x:c>
      <x:c r="C241" s="10" t="s">
        <x:v>43</x:v>
      </x:c>
      <x:c r="D241" s="10" t="s">
        <x:v>1020</x:v>
      </x:c>
      <x:c r="F241" s="1" t="s">
        <x:v>425</x:v>
      </x:c>
      <x:c r="G241" s="1" t="s">
        <x:v>1021</x:v>
      </x:c>
      <x:c r="H241" s="10">
        <x:v>0</x:v>
      </x:c>
      <x:c r="I241" s="23"/>
      <x:c r="J241" s="10">
        <x:v>3665</x:v>
      </x:c>
      <x:c r="K241" s="1" t="s">
        <x:v>1022</x:v>
      </x:c>
      <x:c r="L241" s="0" t="s">
        <x:v>1022</x:v>
      </x:c>
      <x:c r="M241" s="0">
        <x:v>22</x:v>
      </x:c>
      <x:c r="N241" s="0">
        <x:f>""</x:f>
      </x:c>
      <x:c r="O241" s="0">
        <x:f>""</x:f>
      </x:c>
      <x:c r="P241" s="0">
        <x:f>""</x:f>
      </x:c>
      <x:c r="Q241" s="0">
        <x:f>""</x:f>
      </x:c>
      <x:c r="R241" s="0">
        <x:f>""</x:f>
      </x:c>
      <x:c r="S241" s="0">
        <x:f>""</x:f>
      </x:c>
      <x:c r="T241" s="0">
        <x:f>""</x:f>
      </x:c>
      <x:c r="W241" s="0">
        <x:f>""</x:f>
      </x:c>
    </x:row>
    <x:row r="242" spans="1:23" ht="45" customHeight="1" x14ac:dyDescent="0.25">
      <x:c r="A242" s="1">
        <x:f>ROW(A242)-1</x:f>
      </x:c>
      <x:c r="B242" s="10">
        <x:v>556</x:v>
      </x:c>
      <x:c r="C242" s="10" t="s">
        <x:v>43</x:v>
      </x:c>
      <x:c r="D242" s="10" t="s">
        <x:v>1023</x:v>
      </x:c>
      <x:c r="H242" s="10">
        <x:v>0</x:v>
      </x:c>
      <x:c r="I242" s="23"/>
      <x:c r="K242" s="1" t="s">
        <x:v>394</x:v>
      </x:c>
      <x:c r="L242" s="0" t="s">
        <x:v>1024</x:v>
      </x:c>
      <x:c r="M242" s="0">
        <x:v>0</x:v>
      </x:c>
      <x:c r="N242" s="0">
        <x:f>""</x:f>
      </x:c>
      <x:c r="O242" s="0">
        <x:f>""</x:f>
      </x:c>
      <x:c r="P242" s="0">
        <x:f>""</x:f>
      </x:c>
      <x:c r="Q242" s="0">
        <x:f>""</x:f>
      </x:c>
      <x:c r="R242" s="0">
        <x:f>""</x:f>
      </x:c>
      <x:c r="S242" s="0">
        <x:f>""</x:f>
      </x:c>
      <x:c r="T242" s="0">
        <x:f>""</x:f>
      </x:c>
      <x:c r="W242" s="0">
        <x:f>""</x:f>
      </x:c>
    </x:row>
    <x:row r="243" spans="1:23" ht="60" customHeight="1" x14ac:dyDescent="0.25">
      <x:c r="A243" s="1">
        <x:f>ROW(A243)-1</x:f>
      </x:c>
      <x:c r="B243" s="10">
        <x:v>563</x:v>
      </x:c>
      <x:c r="C243" s="10" t="s">
        <x:v>43</x:v>
      </x:c>
      <x:c r="D243" s="10" t="s">
        <x:v>1025</x:v>
      </x:c>
      <x:c r="F243" s="1" t="s">
        <x:v>1026</x:v>
      </x:c>
      <x:c r="G243" s="1" t="s">
        <x:v>1027</x:v>
      </x:c>
      <x:c r="H243" s="10">
        <x:v>0</x:v>
      </x:c>
      <x:c r="I243" s="23"/>
      <x:c r="J243" s="10">
        <x:v>3804</x:v>
      </x:c>
      <x:c r="K243" s="1" t="s">
        <x:v>1028</x:v>
      </x:c>
      <x:c r="L243" s="0" t="s">
        <x:v>75</x:v>
      </x:c>
      <x:c r="M243" s="0">
        <x:v>16</x:v>
      </x:c>
      <x:c r="N243" s="0">
        <x:f>""</x:f>
      </x:c>
      <x:c r="O243" s="0">
        <x:f>""</x:f>
      </x:c>
      <x:c r="P243" s="0">
        <x:f>""</x:f>
      </x:c>
      <x:c r="Q243" s="0">
        <x:f>""</x:f>
      </x:c>
      <x:c r="R243" s="0">
        <x:f>""</x:f>
      </x:c>
      <x:c r="S243" s="0">
        <x:f>""</x:f>
      </x:c>
      <x:c r="T243" s="0">
        <x:f>""</x:f>
      </x:c>
      <x:c r="W243" s="0">
        <x:f>""</x:f>
      </x:c>
    </x:row>
    <x:row r="244" spans="1:23" ht="30" customHeight="1" x14ac:dyDescent="0.25">
      <x:c r="A244" s="1">
        <x:f>ROW(A244)-1</x:f>
      </x:c>
      <x:c r="B244" s="10">
        <x:v>569</x:v>
      </x:c>
      <x:c r="C244" s="10" t="s">
        <x:v>43</x:v>
      </x:c>
      <x:c r="D244" s="10" t="s">
        <x:v>285</x:v>
      </x:c>
      <x:c r="H244" s="10">
        <x:v>0</x:v>
      </x:c>
      <x:c r="I244" s="23"/>
      <x:c r="J244" s="10">
        <x:v>3580</x:v>
      </x:c>
      <x:c r="K244" s="1" t="s">
        <x:v>329</x:v>
      </x:c>
      <x:c r="L244" s="0" t="s">
        <x:v>338</x:v>
      </x:c>
      <x:c r="M244" s="0">
        <x:v>10</x:v>
      </x:c>
      <x:c r="N244" s="0">
        <x:f>""</x:f>
      </x:c>
      <x:c r="O244" s="0">
        <x:f>""</x:f>
      </x:c>
      <x:c r="P244" s="0">
        <x:f>""</x:f>
      </x:c>
      <x:c r="Q244" s="0">
        <x:f>""</x:f>
      </x:c>
      <x:c r="R244" s="0">
        <x:f>""</x:f>
      </x:c>
      <x:c r="S244" s="0">
        <x:f>""</x:f>
      </x:c>
      <x:c r="T244" s="0">
        <x:f>""</x:f>
      </x:c>
      <x:c r="W244" s="0">
        <x:f>""</x:f>
      </x:c>
    </x:row>
    <x:row r="245" spans="1:23" ht="60" customHeight="1" x14ac:dyDescent="0.25">
      <x:c r="A245" s="1">
        <x:f>ROW(A245)-1</x:f>
      </x:c>
      <x:c r="B245" s="10">
        <x:v>405</x:v>
      </x:c>
      <x:c r="C245" s="10" t="s">
        <x:v>43</x:v>
      </x:c>
      <x:c r="D245" s="10" t="s">
        <x:v>1029</x:v>
      </x:c>
      <x:c r="H245" s="10">
        <x:v>0</x:v>
      </x:c>
      <x:c r="I245" s="23"/>
      <x:c r="J245" s="10">
        <x:v>3830</x:v>
      </x:c>
      <x:c r="K245" s="1" t="s">
        <x:v>297</x:v>
      </x:c>
      <x:c r="L245" s="0" t="s">
        <x:v>298</x:v>
      </x:c>
      <x:c r="M245" s="0">
        <x:v>12</x:v>
      </x:c>
      <x:c r="N245" s="0">
        <x:f>""</x:f>
      </x:c>
      <x:c r="O245" s="0">
        <x:f>""</x:f>
      </x:c>
      <x:c r="P245" s="0">
        <x:f>""</x:f>
      </x:c>
      <x:c r="Q245" s="0">
        <x:f>""</x:f>
      </x:c>
      <x:c r="R245" s="0">
        <x:f>""</x:f>
      </x:c>
      <x:c r="S245" s="0">
        <x:f>""</x:f>
      </x:c>
      <x:c r="T245" s="0">
        <x:f>""</x:f>
      </x:c>
      <x:c r="W245" s="0">
        <x:f>""</x:f>
      </x:c>
    </x:row>
    <x:row r="246" spans="1:23" ht="45" customHeight="1" x14ac:dyDescent="0.25">
      <x:c r="A246" s="1">
        <x:f>ROW(A246)-1</x:f>
      </x:c>
      <x:c r="B246" s="10">
        <x:v>493</x:v>
      </x:c>
      <x:c r="C246" s="10" t="s">
        <x:v>43</x:v>
      </x:c>
      <x:c r="D246" s="10" t="s">
        <x:v>1030</x:v>
      </x:c>
      <x:c r="F246" s="1" t="s">
        <x:v>1031</x:v>
      </x:c>
      <x:c r="G246" s="1" t="s">
        <x:v>1032</x:v>
      </x:c>
      <x:c r="H246" s="10">
        <x:v>0</x:v>
      </x:c>
      <x:c r="I246" s="23"/>
      <x:c r="J246" s="10">
        <x:v>3812</x:v>
      </x:c>
      <x:c r="K246" s="1" t="s">
        <x:v>123</x:v>
      </x:c>
      <x:c r="L246" s="0" t="s">
        <x:v>747</x:v>
      </x:c>
      <x:c r="M246" s="0">
        <x:v>4</x:v>
      </x:c>
      <x:c r="N246" s="0">
        <x:f>""</x:f>
      </x:c>
      <x:c r="O246" s="0">
        <x:f>""</x:f>
      </x:c>
      <x:c r="P246" s="0">
        <x:f>""</x:f>
      </x:c>
      <x:c r="Q246" s="0">
        <x:f>""</x:f>
      </x:c>
      <x:c r="R246" s="0">
        <x:f>""</x:f>
      </x:c>
      <x:c r="S246" s="0">
        <x:f>""</x:f>
      </x:c>
      <x:c r="T246" s="0">
        <x:f>""</x:f>
      </x:c>
      <x:c r="W246" s="0">
        <x:f>""</x:f>
      </x:c>
    </x:row>
    <x:row r="247" spans="1:23" ht="75" customHeight="1" x14ac:dyDescent="0.25">
      <x:c r="A247" s="1">
        <x:f>ROW(A247)-1</x:f>
      </x:c>
      <x:c r="B247" s="10">
        <x:v>465</x:v>
      </x:c>
      <x:c r="C247" s="10" t="s">
        <x:v>43</x:v>
      </x:c>
      <x:c r="D247" s="10" t="s">
        <x:v>1033</x:v>
      </x:c>
      <x:c r="F247" s="1" t="s">
        <x:v>497</x:v>
      </x:c>
      <x:c r="G247" s="1" t="s">
        <x:v>47</x:v>
      </x:c>
      <x:c r="H247" s="10">
        <x:v>0</x:v>
      </x:c>
      <x:c r="I247" s="23"/>
      <x:c r="J247" s="10">
        <x:v>3571</x:v>
      </x:c>
      <x:c r="K247" s="1" t="s">
        <x:v>58</x:v>
      </x:c>
      <x:c r="L247" s="0" t="s">
        <x:v>338</x:v>
      </x:c>
      <x:c r="M247" s="0">
        <x:v>80</x:v>
      </x:c>
      <x:c r="N247" s="0">
        <x:f>""</x:f>
      </x:c>
      <x:c r="O247" s="0">
        <x:f>""</x:f>
      </x:c>
      <x:c r="P247" s="0">
        <x:f>""</x:f>
      </x:c>
      <x:c r="Q247" s="0">
        <x:f>""</x:f>
      </x:c>
      <x:c r="R247" s="0">
        <x:f>""</x:f>
      </x:c>
      <x:c r="S247" s="0">
        <x:f>""</x:f>
      </x:c>
      <x:c r="T247" s="0">
        <x:f>""</x:f>
      </x:c>
      <x:c r="W247" s="0" t="s">
        <x:v>945</x:v>
      </x:c>
    </x:row>
    <x:row r="248" spans="1:23" ht="75" customHeight="1" x14ac:dyDescent="0.25">
      <x:c r="A248" s="1">
        <x:f>ROW(A248)-1</x:f>
      </x:c>
      <x:c r="B248" s="10">
        <x:v>489</x:v>
      </x:c>
      <x:c r="C248" s="10" t="s">
        <x:v>43</x:v>
      </x:c>
      <x:c r="D248" s="10" t="s">
        <x:v>1034</x:v>
      </x:c>
      <x:c r="F248" s="1" t="s">
        <x:v>54</x:v>
      </x:c>
      <x:c r="G248" s="1" t="s">
        <x:v>1035</x:v>
      </x:c>
      <x:c r="H248" s="10" t="s">
        <x:v>1036</x:v>
      </x:c>
      <x:c r="I248" s="23" t="s">
        <x:v>1037</x:v>
      </x:c>
      <x:c r="J248" s="10">
        <x:v>3830</x:v>
      </x:c>
      <x:c r="K248" s="1" t="s">
        <x:v>297</x:v>
      </x:c>
      <x:c r="L248" s="0" t="s">
        <x:v>1038</x:v>
      </x:c>
      <x:c r="M248" s="0">
        <x:v>24</x:v>
      </x:c>
      <x:c r="N248" s="0">
        <x:f>""</x:f>
      </x:c>
      <x:c r="O248" s="0">
        <x:f>""</x:f>
      </x:c>
      <x:c r="P248" s="0">
        <x:f>""</x:f>
      </x:c>
      <x:c r="Q248" s="0">
        <x:f>""</x:f>
      </x:c>
      <x:c r="R248" s="0">
        <x:f>""</x:f>
      </x:c>
      <x:c r="S248" s="0">
        <x:f>""</x:f>
      </x:c>
      <x:c r="T248" s="0">
        <x:f>""</x:f>
      </x:c>
      <x:c r="W248" s="0" t="s">
        <x:v>945</x:v>
      </x:c>
    </x:row>
    <x:row r="249" spans="1:23" ht="60" customHeight="1" x14ac:dyDescent="0.25">
      <x:c r="A249" s="1">
        <x:f>ROW(A249)-1</x:f>
      </x:c>
      <x:c r="B249" s="10">
        <x:v>475</x:v>
      </x:c>
      <x:c r="C249" s="10" t="s">
        <x:v>43</x:v>
      </x:c>
      <x:c r="D249" s="10" t="s">
        <x:v>336</x:v>
      </x:c>
      <x:c r="F249" s="1" t="s">
        <x:v>1039</x:v>
      </x:c>
      <x:c r="G249" s="1" t="s">
        <x:v>1040</x:v>
      </x:c>
      <x:c r="H249" s="10" t="s">
        <x:v>1041</x:v>
      </x:c>
      <x:c r="I249" s="23" t="s">
        <x:v>1042</x:v>
      </x:c>
      <x:c r="J249" s="10">
        <x:v>3830</x:v>
      </x:c>
      <x:c r="K249" s="1" t="s">
        <x:v>297</x:v>
      </x:c>
      <x:c r="L249" s="0" t="s">
        <x:v>1043</x:v>
      </x:c>
      <x:c r="M249" s="0">
        <x:v>5</x:v>
      </x:c>
      <x:c r="N249" s="0">
        <x:f>""</x:f>
      </x:c>
      <x:c r="O249" s="0">
        <x:f>""</x:f>
      </x:c>
      <x:c r="P249" s="0">
        <x:f>""</x:f>
      </x:c>
      <x:c r="Q249" s="0">
        <x:f>""</x:f>
      </x:c>
      <x:c r="R249" s="0">
        <x:f>""</x:f>
      </x:c>
      <x:c r="S249" s="0">
        <x:f>""</x:f>
      </x:c>
      <x:c r="T249" s="0">
        <x:f>""</x:f>
      </x:c>
      <x:c r="W249" s="0" t="s">
        <x:v>1044</x:v>
      </x:c>
    </x:row>
    <x:row r="250" spans="1:23" ht="120" customHeight="1" x14ac:dyDescent="0.25">
      <x:c r="A250" s="1">
        <x:f>ROW(A250)-1</x:f>
      </x:c>
      <x:c r="B250" s="10">
        <x:v>467</x:v>
      </x:c>
      <x:c r="C250" s="10" t="s">
        <x:v>43</x:v>
      </x:c>
      <x:c r="D250" s="10" t="s">
        <x:v>1045</x:v>
      </x:c>
      <x:c r="F250" s="1" t="s">
        <x:v>119</x:v>
      </x:c>
      <x:c r="G250" s="1" t="s">
        <x:v>1046</x:v>
      </x:c>
      <x:c r="H250" s="10">
        <x:v>0</x:v>
      </x:c>
      <x:c r="I250" s="23"/>
      <x:c r="J250" s="10">
        <x:v>3843</x:v>
      </x:c>
      <x:c r="K250" s="1" t="s">
        <x:v>364</x:v>
      </x:c>
      <x:c r="L250" s="0" t="s">
        <x:v>365</x:v>
      </x:c>
      <x:c r="M250" s="0">
        <x:v>33</x:v>
      </x:c>
      <x:c r="N250" s="0">
        <x:f>""</x:f>
      </x:c>
      <x:c r="O250" s="0">
        <x:f>""</x:f>
      </x:c>
      <x:c r="P250" s="0">
        <x:f>""</x:f>
      </x:c>
      <x:c r="Q250" s="0">
        <x:f>""</x:f>
      </x:c>
      <x:c r="R250" s="0">
        <x:f>""</x:f>
      </x:c>
      <x:c r="S250" s="0">
        <x:f>""</x:f>
      </x:c>
      <x:c r="T250" s="0">
        <x:f>""</x:f>
      </x:c>
      <x:c r="W250" s="0">
        <x:f>""</x:f>
      </x:c>
    </x:row>
    <x:row r="251" spans="1:23" ht="120" customHeight="1" x14ac:dyDescent="0.25">
      <x:c r="A251" s="1">
        <x:f>ROW(A251)-1</x:f>
      </x:c>
      <x:c r="B251" s="10">
        <x:v>463</x:v>
      </x:c>
      <x:c r="C251" s="10" t="s">
        <x:v>43</x:v>
      </x:c>
      <x:c r="D251" s="10" t="s">
        <x:v>1047</x:v>
      </x:c>
      <x:c r="F251" s="1" t="s">
        <x:v>1048</x:v>
      </x:c>
      <x:c r="G251" s="1" t="s">
        <x:v>1049</x:v>
      </x:c>
      <x:c r="H251" s="10">
        <x:v>0</x:v>
      </x:c>
      <x:c r="I251" s="23"/>
      <x:c r="J251" s="10">
        <x:v>3500</x:v>
      </x:c>
      <x:c r="K251" s="1" t="s">
        <x:v>201</x:v>
      </x:c>
      <x:c r="L251" s="0" t="s">
        <x:v>1050</x:v>
      </x:c>
      <x:c r="M251" s="0">
        <x:v>17</x:v>
      </x:c>
      <x:c r="N251" s="0">
        <x:f>""</x:f>
      </x:c>
      <x:c r="O251" s="0">
        <x:f>""</x:f>
      </x:c>
      <x:c r="P251" s="0">
        <x:f>""</x:f>
      </x:c>
      <x:c r="Q251" s="0">
        <x:f>""</x:f>
      </x:c>
      <x:c r="R251" s="0">
        <x:f>""</x:f>
      </x:c>
      <x:c r="S251" s="0">
        <x:f>""</x:f>
      </x:c>
      <x:c r="T251" s="0">
        <x:f>""</x:f>
      </x:c>
      <x:c r="W251" s="0">
        <x:f>""</x:f>
      </x:c>
    </x:row>
    <x:row r="252" spans="1:23" ht="75" customHeight="1" x14ac:dyDescent="0.25">
      <x:c r="A252" s="1">
        <x:f>ROW(A252)-1</x:f>
      </x:c>
      <x:c r="B252" s="10">
        <x:v>672</x:v>
      </x:c>
      <x:c r="C252" s="10" t="s">
        <x:v>43</x:v>
      </x:c>
      <x:c r="D252" s="10" t="s">
        <x:v>1051</x:v>
      </x:c>
      <x:c r="F252" s="1" t="s">
        <x:v>241</x:v>
      </x:c>
      <x:c r="G252" s="1" t="s">
        <x:v>702</x:v>
      </x:c>
      <x:c r="H252" s="10" t="s">
        <x:v>1052</x:v>
      </x:c>
      <x:c r="I252" s="23" t="s">
        <x:v>1053</x:v>
      </x:c>
      <x:c r="J252" s="10">
        <x:v>3943</x:v>
      </x:c>
      <x:c r="K252" s="1" t="s">
        <x:v>183</x:v>
      </x:c>
      <x:c r="L252" s="0" t="s">
        <x:v>1054</x:v>
      </x:c>
      <x:c r="M252" s="0">
        <x:v>20</x:v>
      </x:c>
      <x:c r="N252" s="0">
        <x:f>""</x:f>
      </x:c>
      <x:c r="O252" s="0">
        <x:f>""</x:f>
      </x:c>
      <x:c r="P252" s="0">
        <x:f>""</x:f>
      </x:c>
      <x:c r="Q252" s="0">
        <x:f>""</x:f>
      </x:c>
      <x:c r="R252" s="0">
        <x:f>""</x:f>
      </x:c>
      <x:c r="S252" s="0">
        <x:f>""</x:f>
      </x:c>
      <x:c r="T252" s="0">
        <x:f>""</x:f>
      </x:c>
      <x:c r="W252" s="0">
        <x:f>""</x:f>
      </x:c>
    </x:row>
    <x:row r="253" spans="1:23" ht="30" customHeight="1" x14ac:dyDescent="0.25">
      <x:c r="A253" s="1">
        <x:f>ROW(A253)-1</x:f>
      </x:c>
      <x:c r="B253" s="10">
        <x:v>663</x:v>
      </x:c>
      <x:c r="C253" s="10" t="s">
        <x:v>43</x:v>
      </x:c>
      <x:c r="D253" s="10" t="s">
        <x:v>1055</x:v>
      </x:c>
      <x:c r="H253" s="10">
        <x:v>0</x:v>
      </x:c>
      <x:c r="I253" s="23"/>
      <x:c r="J253" s="10">
        <x:v>3352</x:v>
      </x:c>
      <x:c r="K253" s="1" t="s">
        <x:v>1056</x:v>
      </x:c>
      <x:c r="L253" s="0" t="s">
        <x:v>1057</x:v>
      </x:c>
      <x:c r="M253" s="0">
        <x:v>20</x:v>
      </x:c>
      <x:c r="N253" s="0">
        <x:f>""</x:f>
      </x:c>
      <x:c r="O253" s="0">
        <x:f>""</x:f>
      </x:c>
      <x:c r="P253" s="0">
        <x:f>""</x:f>
      </x:c>
      <x:c r="Q253" s="0">
        <x:f>""</x:f>
      </x:c>
      <x:c r="R253" s="0">
        <x:f>""</x:f>
      </x:c>
      <x:c r="S253" s="0">
        <x:f>""</x:f>
      </x:c>
      <x:c r="T253" s="0">
        <x:f>""</x:f>
      </x:c>
      <x:c r="W253" s="0">
        <x:f>""</x:f>
      </x:c>
    </x:row>
    <x:row r="254" spans="1:23" ht="75" customHeight="1" x14ac:dyDescent="0.25">
      <x:c r="A254" s="1">
        <x:f>ROW(A254)-1</x:f>
      </x:c>
      <x:c r="B254" s="10">
        <x:v>614</x:v>
      </x:c>
      <x:c r="C254" s="10" t="s">
        <x:v>43</x:v>
      </x:c>
      <x:c r="D254" s="10" t="s">
        <x:v>1058</x:v>
      </x:c>
      <x:c r="H254" s="10">
        <x:v>0</x:v>
      </x:c>
      <x:c r="I254" s="23"/>
      <x:c r="J254" s="10">
        <x:v>3830</x:v>
      </x:c>
      <x:c r="K254" s="1" t="s">
        <x:v>297</x:v>
      </x:c>
      <x:c r="M254" s="0">
        <x:v>0</x:v>
      </x:c>
      <x:c r="N254" s="0">
        <x:f>""</x:f>
      </x:c>
      <x:c r="O254" s="0">
        <x:f>""</x:f>
      </x:c>
      <x:c r="P254" s="0">
        <x:f>""</x:f>
      </x:c>
      <x:c r="Q254" s="0">
        <x:f>""</x:f>
      </x:c>
      <x:c r="R254" s="0">
        <x:f>""</x:f>
      </x:c>
      <x:c r="S254" s="0">
        <x:f>""</x:f>
      </x:c>
      <x:c r="T254" s="0">
        <x:f>""</x:f>
      </x:c>
      <x:c r="W254" s="0">
        <x:f>""</x:f>
      </x:c>
    </x:row>
    <x:row r="255" spans="1:23" ht="75" customHeight="1" x14ac:dyDescent="0.25">
      <x:c r="A255" s="1">
        <x:f>ROW(A255)-1</x:f>
      </x:c>
      <x:c r="B255" s="10">
        <x:v>567</x:v>
      </x:c>
      <x:c r="C255" s="10" t="s">
        <x:v>43</x:v>
      </x:c>
      <x:c r="D255" s="10" t="s">
        <x:v>1059</x:v>
      </x:c>
      <x:c r="H255" s="10">
        <x:v>0</x:v>
      </x:c>
      <x:c r="I255" s="23"/>
      <x:c r="J255" s="10">
        <x:v>3464</x:v>
      </x:c>
      <x:c r="K255" s="1" t="s">
        <x:v>1060</x:v>
      </x:c>
      <x:c r="M255" s="0">
        <x:v>0</x:v>
      </x:c>
      <x:c r="N255" s="0">
        <x:f>""</x:f>
      </x:c>
      <x:c r="O255" s="0">
        <x:f>""</x:f>
      </x:c>
      <x:c r="P255" s="0">
        <x:f>""</x:f>
      </x:c>
      <x:c r="Q255" s="0">
        <x:f>""</x:f>
      </x:c>
      <x:c r="R255" s="0">
        <x:f>""</x:f>
      </x:c>
      <x:c r="S255" s="0">
        <x:f>""</x:f>
      </x:c>
      <x:c r="T255" s="0">
        <x:f>""</x:f>
      </x:c>
      <x:c r="W255" s="0">
        <x:f>""</x:f>
      </x:c>
    </x:row>
    <x:row r="256" spans="1:23" ht="75" customHeight="1" x14ac:dyDescent="0.25">
      <x:c r="A256" s="1">
        <x:f>ROW(A256)-1</x:f>
      </x:c>
      <x:c r="B256" s="10">
        <x:v>592</x:v>
      </x:c>
      <x:c r="C256" s="10" t="s">
        <x:v>43</x:v>
      </x:c>
      <x:c r="D256" s="10" t="s">
        <x:v>1061</x:v>
      </x:c>
      <x:c r="F256" s="1" t="s">
        <x:v>1048</x:v>
      </x:c>
      <x:c r="G256" s="1" t="s">
        <x:v>1062</x:v>
      </x:c>
      <x:c r="H256" s="10">
        <x:v>0</x:v>
      </x:c>
      <x:c r="I256" s="23"/>
      <x:c r="J256" s="10">
        <x:v>3830</x:v>
      </x:c>
      <x:c r="K256" s="1" t="s">
        <x:v>297</x:v>
      </x:c>
      <x:c r="L256" s="0" t="s">
        <x:v>1063</x:v>
      </x:c>
      <x:c r="M256" s="0">
        <x:v>9</x:v>
      </x:c>
      <x:c r="N256" s="0">
        <x:f>""</x:f>
      </x:c>
      <x:c r="O256" s="0">
        <x:f>""</x:f>
      </x:c>
      <x:c r="P256" s="0">
        <x:f>""</x:f>
      </x:c>
      <x:c r="Q256" s="0">
        <x:f>""</x:f>
      </x:c>
      <x:c r="R256" s="0">
        <x:f>""</x:f>
      </x:c>
      <x:c r="S256" s="0">
        <x:f>""</x:f>
      </x:c>
      <x:c r="T256" s="0">
        <x:f>""</x:f>
      </x:c>
      <x:c r="W256" s="0">
        <x:f>""</x:f>
      </x:c>
    </x:row>
    <x:row r="257" spans="1:23" ht="60" customHeight="1" x14ac:dyDescent="0.25">
      <x:c r="A257" s="1">
        <x:f>ROW(A257)-1</x:f>
      </x:c>
      <x:c r="B257" s="10">
        <x:v>565</x:v>
      </x:c>
      <x:c r="C257" s="10" t="s">
        <x:v>43</x:v>
      </x:c>
      <x:c r="D257" s="10" t="s">
        <x:v>1064</x:v>
      </x:c>
      <x:c r="H257" s="10">
        <x:v>0</x:v>
      </x:c>
      <x:c r="I257" s="23"/>
      <x:c r="M257" s="0">
        <x:v>0</x:v>
      </x:c>
      <x:c r="N257" s="0">
        <x:f>""</x:f>
      </x:c>
      <x:c r="O257" s="0">
        <x:f>""</x:f>
      </x:c>
      <x:c r="P257" s="0">
        <x:f>""</x:f>
      </x:c>
      <x:c r="Q257" s="0">
        <x:f>""</x:f>
      </x:c>
      <x:c r="R257" s="0">
        <x:f>""</x:f>
      </x:c>
      <x:c r="S257" s="0">
        <x:f>""</x:f>
      </x:c>
      <x:c r="T257" s="0">
        <x:f>""</x:f>
      </x:c>
      <x:c r="W257" s="0">
        <x:f>""</x:f>
      </x:c>
    </x:row>
    <x:row r="258" spans="1:23" ht="60" customHeight="1" x14ac:dyDescent="0.25">
      <x:c r="A258" s="1">
        <x:f>ROW(A258)-1</x:f>
      </x:c>
      <x:c r="B258" s="10">
        <x:v>552</x:v>
      </x:c>
      <x:c r="C258" s="10" t="s">
        <x:v>43</x:v>
      </x:c>
      <x:c r="D258" s="10" t="s">
        <x:v>1065</x:v>
      </x:c>
      <x:c r="H258" s="10">
        <x:v>0</x:v>
      </x:c>
      <x:c r="I258" s="23"/>
      <x:c r="M258" s="0">
        <x:v>0</x:v>
      </x:c>
      <x:c r="N258" s="0">
        <x:f>""</x:f>
      </x:c>
      <x:c r="O258" s="0">
        <x:f>""</x:f>
      </x:c>
      <x:c r="P258" s="0">
        <x:f>""</x:f>
      </x:c>
      <x:c r="Q258" s="0">
        <x:f>""</x:f>
      </x:c>
      <x:c r="R258" s="0">
        <x:f>""</x:f>
      </x:c>
      <x:c r="S258" s="0">
        <x:f>""</x:f>
      </x:c>
      <x:c r="T258" s="0">
        <x:f>""</x:f>
      </x:c>
      <x:c r="W258" s="0">
        <x:f>""</x:f>
      </x:c>
    </x:row>
    <x:row r="259" spans="1:23" ht="75" customHeight="1" x14ac:dyDescent="0.25">
      <x:c r="A259" s="1">
        <x:f>ROW(A259)-1</x:f>
      </x:c>
      <x:c r="B259" s="10">
        <x:v>519</x:v>
      </x:c>
      <x:c r="C259" s="10" t="s">
        <x:v>43</x:v>
      </x:c>
      <x:c r="D259" s="10" t="s">
        <x:v>1066</x:v>
      </x:c>
      <x:c r="H259" s="10">
        <x:v>0</x:v>
      </x:c>
      <x:c r="I259" s="23"/>
      <x:c r="M259" s="0">
        <x:v>0</x:v>
      </x:c>
      <x:c r="N259" s="0">
        <x:f>""</x:f>
      </x:c>
      <x:c r="O259" s="0">
        <x:f>""</x:f>
      </x:c>
      <x:c r="P259" s="0">
        <x:f>""</x:f>
      </x:c>
      <x:c r="Q259" s="0">
        <x:f>""</x:f>
      </x:c>
      <x:c r="R259" s="0">
        <x:f>""</x:f>
      </x:c>
      <x:c r="S259" s="0">
        <x:f>""</x:f>
      </x:c>
      <x:c r="T259" s="0">
        <x:f>""</x:f>
      </x:c>
      <x:c r="W259" s="0">
        <x:f>""</x:f>
      </x:c>
    </x:row>
    <x:row r="260" spans="1:23" ht="60" customHeight="1" x14ac:dyDescent="0.25">
      <x:c r="A260" s="1">
        <x:f>ROW(A260)-1</x:f>
      </x:c>
      <x:c r="B260" s="10">
        <x:v>517</x:v>
      </x:c>
      <x:c r="C260" s="10" t="s">
        <x:v>43</x:v>
      </x:c>
      <x:c r="D260" s="10" t="s">
        <x:v>1067</x:v>
      </x:c>
      <x:c r="F260" s="1" t="s">
        <x:v>248</x:v>
      </x:c>
      <x:c r="G260" s="1" t="s">
        <x:v>1068</x:v>
      </x:c>
      <x:c r="H260" s="10">
        <x:v>0</x:v>
      </x:c>
      <x:c r="I260" s="23"/>
      <x:c r="J260" s="10">
        <x:v>3872</x:v>
      </x:c>
      <x:c r="K260" s="1" t="s">
        <x:v>925</x:v>
      </x:c>
      <x:c r="M260" s="0">
        <x:v>0</x:v>
      </x:c>
      <x:c r="N260" s="0">
        <x:f>""</x:f>
      </x:c>
      <x:c r="O260" s="0">
        <x:f>""</x:f>
      </x:c>
      <x:c r="P260" s="0">
        <x:f>""</x:f>
      </x:c>
      <x:c r="Q260" s="0">
        <x:f>""</x:f>
      </x:c>
      <x:c r="R260" s="0">
        <x:f>""</x:f>
      </x:c>
      <x:c r="S260" s="0">
        <x:f>""</x:f>
      </x:c>
      <x:c r="T260" s="0">
        <x:f>""</x:f>
      </x:c>
      <x:c r="W260" s="0">
        <x:f>""</x:f>
      </x:c>
    </x:row>
    <x:row r="261" spans="1:23" ht="60" customHeight="1" x14ac:dyDescent="0.25">
      <x:c r="A261" s="1">
        <x:f>ROW(A261)-1</x:f>
      </x:c>
      <x:c r="B261" s="10">
        <x:v>514</x:v>
      </x:c>
      <x:c r="C261" s="10" t="s">
        <x:v>43</x:v>
      </x:c>
      <x:c r="D261" s="10" t="s">
        <x:v>1069</x:v>
      </x:c>
      <x:c r="F261" s="1" t="s">
        <x:v>546</x:v>
      </x:c>
      <x:c r="G261" s="1" t="s">
        <x:v>1070</x:v>
      </x:c>
      <x:c r="H261" s="10">
        <x:v>0</x:v>
      </x:c>
      <x:c r="I261" s="23"/>
      <x:c r="J261" s="10">
        <x:v>3753</x:v>
      </x:c>
      <x:c r="K261" s="1" t="s">
        <x:v>1071</x:v>
      </x:c>
      <x:c r="M261" s="0">
        <x:v>0</x:v>
      </x:c>
      <x:c r="N261" s="0">
        <x:f>""</x:f>
      </x:c>
      <x:c r="O261" s="0">
        <x:f>""</x:f>
      </x:c>
      <x:c r="P261" s="0">
        <x:f>""</x:f>
      </x:c>
      <x:c r="Q261" s="0">
        <x:f>""</x:f>
      </x:c>
      <x:c r="R261" s="0">
        <x:f>""</x:f>
      </x:c>
      <x:c r="S261" s="0">
        <x:f>""</x:f>
      </x:c>
      <x:c r="T261" s="0">
        <x:f>""</x:f>
      </x:c>
      <x:c r="W261" s="0">
        <x:f>""</x:f>
      </x:c>
    </x:row>
    <x:row r="262" spans="1:23" ht="135" customHeight="1" x14ac:dyDescent="0.25">
      <x:c r="A262" s="1">
        <x:f>ROW(A262)-1</x:f>
      </x:c>
      <x:c r="B262" s="10">
        <x:v>498</x:v>
      </x:c>
      <x:c r="C262" s="10" t="s">
        <x:v>43</x:v>
      </x:c>
      <x:c r="D262" s="10" t="s">
        <x:v>1072</x:v>
      </x:c>
      <x:c r="H262" s="10">
        <x:v>0</x:v>
      </x:c>
      <x:c r="I262" s="23"/>
      <x:c r="J262" s="10">
        <x:v>3595</x:v>
      </x:c>
      <x:c r="K262" s="1" t="s">
        <x:v>567</x:v>
      </x:c>
      <x:c r="M262" s="0">
        <x:v>0</x:v>
      </x:c>
      <x:c r="N262" s="0">
        <x:f>""</x:f>
      </x:c>
      <x:c r="O262" s="0">
        <x:f>""</x:f>
      </x:c>
      <x:c r="P262" s="0">
        <x:f>""</x:f>
      </x:c>
      <x:c r="Q262" s="0">
        <x:f>""</x:f>
      </x:c>
      <x:c r="R262" s="0">
        <x:f>""</x:f>
      </x:c>
      <x:c r="S262" s="0">
        <x:f>""</x:f>
      </x:c>
      <x:c r="T262" s="0">
        <x:f>""</x:f>
      </x:c>
      <x:c r="W262" s="0">
        <x:f>""</x:f>
      </x:c>
    </x:row>
    <x:row r="263" spans="1:23" ht="150" customHeight="1" x14ac:dyDescent="0.25">
      <x:c r="A263" s="1">
        <x:f>ROW(A263)-1</x:f>
      </x:c>
      <x:c r="B263" s="10">
        <x:v>473</x:v>
      </x:c>
      <x:c r="C263" s="10" t="s">
        <x:v>43</x:v>
      </x:c>
      <x:c r="D263" s="10" t="s">
        <x:v>1073</x:v>
      </x:c>
      <x:c r="F263" s="1" t="s">
        <x:v>1074</x:v>
      </x:c>
      <x:c r="G263" s="1" t="s">
        <x:v>1075</x:v>
      </x:c>
      <x:c r="H263" s="10">
        <x:v>0</x:v>
      </x:c>
      <x:c r="I263" s="23"/>
      <x:c r="J263" s="10">
        <x:v>3730</x:v>
      </x:c>
      <x:c r="K263" s="1" t="s">
        <x:v>208</x:v>
      </x:c>
      <x:c r="M263" s="0">
        <x:v>0</x:v>
      </x:c>
      <x:c r="N263" s="0">
        <x:f>""</x:f>
      </x:c>
      <x:c r="O263" s="0">
        <x:f>""</x:f>
      </x:c>
      <x:c r="P263" s="0">
        <x:f>""</x:f>
      </x:c>
      <x:c r="Q263" s="0">
        <x:f>""</x:f>
      </x:c>
      <x:c r="R263" s="0">
        <x:f>""</x:f>
      </x:c>
      <x:c r="S263" s="0">
        <x:f>""</x:f>
      </x:c>
      <x:c r="T263" s="0">
        <x:f>""</x:f>
      </x:c>
      <x:c r="W263" s="0">
        <x:f>""</x:f>
      </x:c>
    </x:row>
    <x:row r="264" spans="1:23" ht="75" customHeight="1" x14ac:dyDescent="0.25">
      <x:c r="A264" s="1">
        <x:f>ROW(A264)-1</x:f>
      </x:c>
      <x:c r="B264" s="10">
        <x:v>486</x:v>
      </x:c>
      <x:c r="C264" s="10" t="s">
        <x:v>43</x:v>
      </x:c>
      <x:c r="D264" s="10" t="s">
        <x:v>1076</x:v>
      </x:c>
      <x:c r="F264" s="1" t="s">
        <x:v>78</x:v>
      </x:c>
      <x:c r="G264" s="1" t="s">
        <x:v>1077</x:v>
      </x:c>
      <x:c r="H264" s="10">
        <x:v>0</x:v>
      </x:c>
      <x:c r="I264" s="23"/>
      <x:c r="J264" s="10">
        <x:v>3925</x:v>
      </x:c>
      <x:c r="K264" s="1" t="s">
        <x:v>1078</x:v>
      </x:c>
      <x:c r="L264" s="0" t="s">
        <x:v>1078</x:v>
      </x:c>
      <x:c r="M264" s="0">
        <x:v>17</x:v>
      </x:c>
      <x:c r="N264" s="0">
        <x:f>""</x:f>
      </x:c>
      <x:c r="O264" s="0">
        <x:f>""</x:f>
      </x:c>
      <x:c r="P264" s="0">
        <x:f>""</x:f>
      </x:c>
      <x:c r="Q264" s="0">
        <x:f>""</x:f>
      </x:c>
      <x:c r="R264" s="0">
        <x:f>""</x:f>
      </x:c>
      <x:c r="S264" s="0">
        <x:f>""</x:f>
      </x:c>
      <x:c r="T264" s="0">
        <x:f>""</x:f>
      </x:c>
      <x:c r="W264" s="0">
        <x:f>""</x:f>
      </x:c>
    </x:row>
    <x:row r="265" spans="1:23" ht="30" customHeight="1" x14ac:dyDescent="0.25">
      <x:c r="A265" s="1">
        <x:f>ROW(A265)-1</x:f>
      </x:c>
      <x:c r="B265" s="10">
        <x:v>422</x:v>
      </x:c>
      <x:c r="C265" s="10" t="s">
        <x:v>43</x:v>
      </x:c>
      <x:c r="D265" s="10" t="s">
        <x:v>1079</x:v>
      </x:c>
      <x:c r="F265" s="1" t="s">
        <x:v>593</x:v>
      </x:c>
      <x:c r="G265" s="1" t="s">
        <x:v>194</x:v>
      </x:c>
      <x:c r="H265" s="10">
        <x:v>0</x:v>
      </x:c>
      <x:c r="I265" s="23"/>
      <x:c r="J265" s="10">
        <x:v>3943</x:v>
      </x:c>
      <x:c r="K265" s="1" t="s">
        <x:v>183</x:v>
      </x:c>
      <x:c r="L265" s="0" t="s">
        <x:v>1080</x:v>
      </x:c>
      <x:c r="M265" s="0">
        <x:v>5</x:v>
      </x:c>
      <x:c r="N265" s="0">
        <x:f>""</x:f>
      </x:c>
      <x:c r="O265" s="0">
        <x:f>""</x:f>
      </x:c>
      <x:c r="P265" s="0">
        <x:f>""</x:f>
      </x:c>
      <x:c r="Q265" s="0">
        <x:f>""</x:f>
      </x:c>
      <x:c r="R265" s="0">
        <x:f>""</x:f>
      </x:c>
      <x:c r="S265" s="0">
        <x:f>""</x:f>
      </x:c>
      <x:c r="T265" s="0">
        <x:f>""</x:f>
      </x:c>
      <x:c r="W265" s="0">
        <x:f>""</x:f>
      </x:c>
    </x:row>
    <x:row r="266" spans="1:23" ht="45" customHeight="1" x14ac:dyDescent="0.25">
      <x:c r="A266" s="1">
        <x:f>ROW(A266)-1</x:f>
      </x:c>
      <x:c r="B266" s="10">
        <x:v>3002</x:v>
      </x:c>
      <x:c r="C266" s="10" t="s">
        <x:v>43</x:v>
      </x:c>
      <x:c r="D266" s="10" t="s">
        <x:v>350</x:v>
      </x:c>
      <x:c r="F266" s="1" t="s">
        <x:v>484</x:v>
      </x:c>
      <x:c r="G266" s="1" t="s">
        <x:v>485</x:v>
      </x:c>
      <x:c r="H266" s="10">
        <x:v>0</x:v>
      </x:c>
      <x:c r="I266" s="23"/>
      <x:c r="J266" s="10">
        <x:v>3580</x:v>
      </x:c>
      <x:c r="K266" s="1" t="s">
        <x:v>329</x:v>
      </x:c>
      <x:c r="L266" s="0" t="s">
        <x:v>486</x:v>
      </x:c>
      <x:c r="M266" s="0">
        <x:v>14</x:v>
      </x:c>
      <x:c r="N266" s="0">
        <x:f>""</x:f>
      </x:c>
      <x:c r="O266" s="0">
        <x:f>""</x:f>
      </x:c>
      <x:c r="P266" s="0">
        <x:f>""</x:f>
      </x:c>
      <x:c r="Q266" s="0">
        <x:f>""</x:f>
      </x:c>
      <x:c r="R266" s="0">
        <x:f>""</x:f>
      </x:c>
      <x:c r="S266" s="0">
        <x:f>""</x:f>
      </x:c>
      <x:c r="T266" s="0">
        <x:f>""</x:f>
      </x:c>
      <x:c r="W266" s="0">
        <x:f>""</x:f>
      </x:c>
    </x:row>
    <x:row r="267" spans="1:23" ht="30" customHeight="1" x14ac:dyDescent="0.25">
      <x:c r="A267" s="1">
        <x:f>ROW(A267)-1</x:f>
      </x:c>
      <x:c r="B267" s="10">
        <x:v>3003</x:v>
      </x:c>
      <x:c r="C267" s="10" t="s">
        <x:v>43</x:v>
      </x:c>
      <x:c r="D267" s="10" t="s">
        <x:v>277</x:v>
      </x:c>
      <x:c r="F267" s="1" t="s">
        <x:v>474</x:v>
      </x:c>
      <x:c r="G267" s="1" t="s">
        <x:v>475</x:v>
      </x:c>
      <x:c r="H267" s="10">
        <x:v>0</x:v>
      </x:c>
      <x:c r="I267" s="23"/>
      <x:c r="J267" s="10">
        <x:v>3970</x:v>
      </x:c>
      <x:c r="K267" s="1" t="s">
        <x:v>1081</x:v>
      </x:c>
      <x:c r="L267" s="0" t="s">
        <x:v>476</x:v>
      </x:c>
      <x:c r="M267" s="0">
        <x:v>53</x:v>
      </x:c>
      <x:c r="N267" s="0">
        <x:f>""</x:f>
      </x:c>
      <x:c r="O267" s="0">
        <x:f>""</x:f>
      </x:c>
      <x:c r="P267" s="0">
        <x:f>""</x:f>
      </x:c>
      <x:c r="Q267" s="0">
        <x:f>""</x:f>
      </x:c>
      <x:c r="R267" s="0">
        <x:f>""</x:f>
      </x:c>
      <x:c r="S267" s="0">
        <x:f>""</x:f>
      </x:c>
      <x:c r="T267" s="0">
        <x:f>""</x:f>
      </x:c>
      <x:c r="W267" s="0">
        <x:f>""</x:f>
      </x:c>
    </x:row>
    <x:row r="268" spans="1:23" ht="75" customHeight="1" x14ac:dyDescent="0.25">
      <x:c r="A268" s="1">
        <x:f>ROW(A268)-1</x:f>
      </x:c>
      <x:c r="B268" s="10">
        <x:v>3004</x:v>
      </x:c>
      <x:c r="C268" s="10" t="s">
        <x:v>43</x:v>
      </x:c>
      <x:c r="D268" s="10" t="s">
        <x:v>500</x:v>
      </x:c>
      <x:c r="F268" s="1" t="s">
        <x:v>694</x:v>
      </x:c>
      <x:c r="G268" s="1" t="s">
        <x:v>502</x:v>
      </x:c>
      <x:c r="H268" s="10">
        <x:v>0</x:v>
      </x:c>
      <x:c r="I268" s="23"/>
      <x:c r="J268" s="10">
        <x:v>3838</x:v>
      </x:c>
      <x:c r="K268" s="1" t="s">
        <x:v>297</x:v>
      </x:c>
      <x:c r="L268" s="0" t="s">
        <x:v>1038</x:v>
      </x:c>
      <x:c r="M268" s="0">
        <x:v>38</x:v>
      </x:c>
      <x:c r="N268" s="0">
        <x:f>""</x:f>
      </x:c>
      <x:c r="O268" s="0">
        <x:f>""</x:f>
      </x:c>
      <x:c r="P268" s="0">
        <x:f>""</x:f>
      </x:c>
      <x:c r="Q268" s="0">
        <x:f>""</x:f>
      </x:c>
      <x:c r="R268" s="0">
        <x:f>""</x:f>
      </x:c>
      <x:c r="S268" s="0">
        <x:f>""</x:f>
      </x:c>
      <x:c r="T268" s="0">
        <x:f>""</x:f>
      </x:c>
      <x:c r="W268" s="0">
        <x:f>""</x:f>
      </x:c>
    </x:row>
    <x:row r="269" spans="1:23" ht="180" customHeight="1" x14ac:dyDescent="0.25">
      <x:c r="A269" s="1">
        <x:f>ROW(A269)-1</x:f>
      </x:c>
      <x:c r="B269" s="10">
        <x:v>3009</x:v>
      </x:c>
      <x:c r="C269" s="10" t="s">
        <x:v>43</x:v>
      </x:c>
      <x:c r="D269" s="10" t="s">
        <x:v>1082</x:v>
      </x:c>
      <x:c r="F269" s="1" t="s">
        <x:v>488</x:v>
      </x:c>
      <x:c r="G269" s="1" t="s">
        <x:v>502</x:v>
      </x:c>
      <x:c r="H269" s="10">
        <x:v>0</x:v>
      </x:c>
      <x:c r="I269" s="23"/>
      <x:c r="J269" s="10">
        <x:v>3843</x:v>
      </x:c>
      <x:c r="K269" s="1" t="s">
        <x:v>364</x:v>
      </x:c>
      <x:c r="L269" s="0" t="s">
        <x:v>950</x:v>
      </x:c>
      <x:c r="M269" s="0">
        <x:v>16</x:v>
      </x:c>
      <x:c r="N269" s="0">
        <x:f>""</x:f>
      </x:c>
      <x:c r="O269" s="0">
        <x:f>""</x:f>
      </x:c>
      <x:c r="P269" s="0">
        <x:f>""</x:f>
      </x:c>
      <x:c r="Q269" s="0">
        <x:f>""</x:f>
      </x:c>
      <x:c r="R269" s="0">
        <x:f>""</x:f>
      </x:c>
      <x:c r="S269" s="0">
        <x:f>""</x:f>
      </x:c>
      <x:c r="T269" s="0">
        <x:f>""</x:f>
      </x:c>
      <x:c r="W269" s="0">
        <x:f>""</x:f>
      </x:c>
    </x:row>
    <x:row r="270" spans="1:23" ht="60" customHeight="1" x14ac:dyDescent="0.25">
      <x:c r="A270" s="1">
        <x:f>ROW(A270)-1</x:f>
      </x:c>
      <x:c r="B270" s="10">
        <x:v>3015</x:v>
      </x:c>
      <x:c r="C270" s="10" t="s">
        <x:v>43</x:v>
      </x:c>
      <x:c r="D270" s="10" t="s">
        <x:v>477</x:v>
      </x:c>
      <x:c r="F270" s="1" t="s">
        <x:v>546</x:v>
      </x:c>
      <x:c r="G270" s="1" t="s">
        <x:v>1083</x:v>
      </x:c>
      <x:c r="H270" s="10">
        <x:v>0</x:v>
      </x:c>
      <x:c r="I270" s="23"/>
      <x:c r="J270" s="10">
        <x:v>3830</x:v>
      </x:c>
      <x:c r="K270" s="1" t="s">
        <x:v>297</x:v>
      </x:c>
      <x:c r="L270" s="0" t="s">
        <x:v>974</x:v>
      </x:c>
      <x:c r="M270" s="0">
        <x:v>2</x:v>
      </x:c>
      <x:c r="N270" s="0">
        <x:f>""</x:f>
      </x:c>
      <x:c r="O270" s="0">
        <x:f>""</x:f>
      </x:c>
      <x:c r="P270" s="0">
        <x:f>""</x:f>
      </x:c>
      <x:c r="Q270" s="0">
        <x:f>""</x:f>
      </x:c>
      <x:c r="R270" s="0">
        <x:f>""</x:f>
      </x:c>
      <x:c r="S270" s="0">
        <x:f>""</x:f>
      </x:c>
      <x:c r="T270" s="0">
        <x:f>""</x:f>
      </x:c>
      <x:c r="W270" s="0">
        <x:f>""</x:f>
      </x:c>
    </x:row>
    <x:row r="271" spans="1:23" ht="30" customHeight="1" x14ac:dyDescent="0.25">
      <x:c r="A271" s="1">
        <x:f>ROW(A271)-1</x:f>
      </x:c>
      <x:c r="B271" s="10">
        <x:v>3016</x:v>
      </x:c>
      <x:c r="C271" s="10" t="s">
        <x:v>43</x:v>
      </x:c>
      <x:c r="D271" s="10" t="s">
        <x:v>336</x:v>
      </x:c>
      <x:c r="F271" s="1" t="s">
        <x:v>941</x:v>
      </x:c>
      <x:c r="G271" s="1" t="s">
        <x:v>942</x:v>
      </x:c>
      <x:c r="H271" s="10" t="s">
        <x:v>1084</x:v>
      </x:c>
      <x:c r="I271" s="23" t="s">
        <x:v>944</x:v>
      </x:c>
      <x:c r="J271" s="10">
        <x:v>3580</x:v>
      </x:c>
      <x:c r="K271" s="1" t="s">
        <x:v>329</x:v>
      </x:c>
      <x:c r="L271" s="0" t="s">
        <x:v>731</x:v>
      </x:c>
      <x:c r="M271" s="0">
        <x:v>40</x:v>
      </x:c>
      <x:c r="N271" s="0">
        <x:f>""</x:f>
      </x:c>
      <x:c r="O271" s="0">
        <x:f>""</x:f>
      </x:c>
      <x:c r="P271" s="0">
        <x:f>""</x:f>
      </x:c>
      <x:c r="Q271" s="0">
        <x:f>""</x:f>
      </x:c>
      <x:c r="R271" s="0">
        <x:f>""</x:f>
      </x:c>
      <x:c r="S271" s="0">
        <x:f>""</x:f>
      </x:c>
      <x:c r="T271" s="0">
        <x:f>""</x:f>
      </x:c>
      <x:c r="W271" s="0">
        <x:f>""</x:f>
      </x:c>
    </x:row>
    <x:row r="272" spans="1:23" ht="75" customHeight="1" x14ac:dyDescent="0.25">
      <x:c r="A272" s="1">
        <x:f>ROW(A272)-1</x:f>
      </x:c>
      <x:c r="B272" s="10">
        <x:v>3017</x:v>
      </x:c>
      <x:c r="C272" s="10" t="s">
        <x:v>43</x:v>
      </x:c>
      <x:c r="D272" s="10" t="s">
        <x:v>1085</x:v>
      </x:c>
      <x:c r="F272" s="1" t="s">
        <x:v>1086</x:v>
      </x:c>
      <x:c r="G272" s="1" t="s">
        <x:v>1087</x:v>
      </x:c>
      <x:c r="H272" s="10">
        <x:v>0</x:v>
      </x:c>
      <x:c r="I272" s="23"/>
      <x:c r="J272" s="10">
        <x:v>3743</x:v>
      </x:c>
      <x:c r="K272" s="1" t="s">
        <x:v>266</x:v>
      </x:c>
      <x:c r="L272" s="0" t="s">
        <x:v>267</x:v>
      </x:c>
      <x:c r="M272" s="0">
        <x:v>46</x:v>
      </x:c>
      <x:c r="N272" s="0">
        <x:f>""</x:f>
      </x:c>
      <x:c r="O272" s="0">
        <x:f>""</x:f>
      </x:c>
      <x:c r="P272" s="0">
        <x:f>""</x:f>
      </x:c>
      <x:c r="Q272" s="0">
        <x:f>""</x:f>
      </x:c>
      <x:c r="R272" s="0">
        <x:f>""</x:f>
      </x:c>
      <x:c r="S272" s="0">
        <x:f>""</x:f>
      </x:c>
      <x:c r="T272" s="0">
        <x:f>""</x:f>
      </x:c>
      <x:c r="W272" s="0">
        <x:f>""</x:f>
      </x:c>
    </x:row>
    <x:row r="273" spans="1:23" ht="30" customHeight="1" x14ac:dyDescent="0.25">
      <x:c r="A273" s="1">
        <x:f>ROW(A273)-1</x:f>
      </x:c>
      <x:c r="B273" s="10">
        <x:v>3023</x:v>
      </x:c>
      <x:c r="C273" s="10" t="s">
        <x:v>43</x:v>
      </x:c>
      <x:c r="D273" s="10" t="s">
        <x:v>1088</x:v>
      </x:c>
      <x:c r="F273" s="1" t="s">
        <x:v>1089</x:v>
      </x:c>
      <x:c r="G273" s="1" t="s">
        <x:v>1090</x:v>
      </x:c>
      <x:c r="H273" s="10">
        <x:v>0</x:v>
      </x:c>
      <x:c r="I273" s="23"/>
      <x:c r="J273" s="10">
        <x:v>3580</x:v>
      </x:c>
      <x:c r="K273" s="1" t="s">
        <x:v>329</x:v>
      </x:c>
      <x:c r="L273" s="0" t="s">
        <x:v>298</x:v>
      </x:c>
      <x:c r="M273" s="0">
        <x:v>2</x:v>
      </x:c>
      <x:c r="N273" s="0">
        <x:f>""</x:f>
      </x:c>
      <x:c r="O273" s="0">
        <x:f>""</x:f>
      </x:c>
      <x:c r="P273" s="0">
        <x:f>""</x:f>
      </x:c>
      <x:c r="Q273" s="0">
        <x:f>""</x:f>
      </x:c>
      <x:c r="R273" s="0">
        <x:f>""</x:f>
      </x:c>
      <x:c r="S273" s="0">
        <x:f>""</x:f>
      </x:c>
      <x:c r="T273" s="0">
        <x:f>""</x:f>
      </x:c>
      <x:c r="W273" s="0">
        <x:f>""</x:f>
      </x:c>
    </x:row>
    <x:row r="274" spans="1:23" ht="45" customHeight="1" x14ac:dyDescent="0.25">
      <x:c r="A274" s="1">
        <x:f>ROW(A274)-1</x:f>
      </x:c>
      <x:c r="B274" s="10">
        <x:v>3027</x:v>
      </x:c>
      <x:c r="C274" s="10" t="s">
        <x:v>43</x:v>
      </x:c>
      <x:c r="D274" s="10" t="s">
        <x:v>477</x:v>
      </x:c>
      <x:c r="F274" s="1" t="s">
        <x:v>1091</x:v>
      </x:c>
      <x:c r="G274" s="1" t="s">
        <x:v>1092</x:v>
      </x:c>
      <x:c r="H274" s="10">
        <x:v>0</x:v>
      </x:c>
      <x:c r="I274" s="23"/>
      <x:c r="J274" s="10">
        <x:v>3580</x:v>
      </x:c>
      <x:c r="K274" s="1" t="s">
        <x:v>329</x:v>
      </x:c>
      <x:c r="L274" s="0" t="s">
        <x:v>486</x:v>
      </x:c>
      <x:c r="M274" s="0">
        <x:v>14</x:v>
      </x:c>
      <x:c r="N274" s="0">
        <x:f>""</x:f>
      </x:c>
      <x:c r="O274" s="0">
        <x:f>""</x:f>
      </x:c>
      <x:c r="P274" s="0">
        <x:f>""</x:f>
      </x:c>
      <x:c r="Q274" s="0">
        <x:f>""</x:f>
      </x:c>
      <x:c r="R274" s="0">
        <x:f>""</x:f>
      </x:c>
      <x:c r="S274" s="0">
        <x:f>""</x:f>
      </x:c>
      <x:c r="T274" s="0">
        <x:f>""</x:f>
      </x:c>
      <x:c r="W274" s="0">
        <x:f>""</x:f>
      </x:c>
    </x:row>
    <x:row r="275" spans="1:23" ht="45" customHeight="1" x14ac:dyDescent="0.25">
      <x:c r="A275" s="1">
        <x:f>ROW(A275)-1</x:f>
      </x:c>
      <x:c r="B275" s="10">
        <x:v>3028</x:v>
      </x:c>
      <x:c r="C275" s="10" t="s">
        <x:v>43</x:v>
      </x:c>
      <x:c r="D275" s="10" t="s">
        <x:v>477</x:v>
      </x:c>
      <x:c r="H275" s="10">
        <x:v>0</x:v>
      </x:c>
      <x:c r="I275" s="23"/>
      <x:c r="J275" s="10">
        <x:v>3580</x:v>
      </x:c>
      <x:c r="K275" s="1" t="s">
        <x:v>329</x:v>
      </x:c>
      <x:c r="L275" s="0" t="s">
        <x:v>486</x:v>
      </x:c>
      <x:c r="M275" s="0">
        <x:v>2</x:v>
      </x:c>
      <x:c r="N275" s="0">
        <x:f>""</x:f>
      </x:c>
      <x:c r="O275" s="0">
        <x:f>""</x:f>
      </x:c>
      <x:c r="P275" s="0">
        <x:f>""</x:f>
      </x:c>
      <x:c r="Q275" s="0">
        <x:f>""</x:f>
      </x:c>
      <x:c r="R275" s="0">
        <x:f>""</x:f>
      </x:c>
      <x:c r="S275" s="0">
        <x:f>""</x:f>
      </x:c>
      <x:c r="T275" s="0">
        <x:f>""</x:f>
      </x:c>
      <x:c r="W275" s="0">
        <x:f>""</x:f>
      </x:c>
    </x:row>
    <x:row r="276" spans="1:23" ht="45" customHeight="1" x14ac:dyDescent="0.25">
      <x:c r="A276" s="1">
        <x:f>ROW(A276)-1</x:f>
      </x:c>
      <x:c r="B276" s="10">
        <x:v>3031</x:v>
      </x:c>
      <x:c r="C276" s="10" t="s">
        <x:v>43</x:v>
      </x:c>
      <x:c r="D276" s="10" t="s">
        <x:v>477</x:v>
      </x:c>
      <x:c r="F276" s="1" t="s">
        <x:v>1093</x:v>
      </x:c>
      <x:c r="G276" s="1" t="s">
        <x:v>1094</x:v>
      </x:c>
      <x:c r="H276" s="10">
        <x:v>0</x:v>
      </x:c>
      <x:c r="I276" s="23"/>
      <x:c r="J276" s="10">
        <x:v>3730</x:v>
      </x:c>
      <x:c r="K276" s="1" t="s">
        <x:v>208</x:v>
      </x:c>
      <x:c r="L276" s="0" t="s">
        <x:v>338</x:v>
      </x:c>
      <x:c r="M276" s="0">
        <x:v>6</x:v>
      </x:c>
      <x:c r="N276" s="0">
        <x:f>""</x:f>
      </x:c>
      <x:c r="O276" s="0">
        <x:f>""</x:f>
      </x:c>
      <x:c r="P276" s="0">
        <x:f>""</x:f>
      </x:c>
      <x:c r="Q276" s="0">
        <x:f>""</x:f>
      </x:c>
      <x:c r="R276" s="0">
        <x:f>""</x:f>
      </x:c>
      <x:c r="S276" s="0">
        <x:f>""</x:f>
      </x:c>
      <x:c r="T276" s="0">
        <x:f>""</x:f>
      </x:c>
      <x:c r="W276" s="0">
        <x:f>""</x:f>
      </x:c>
    </x:row>
    <x:row r="277" spans="1:23" ht="45" customHeight="1" x14ac:dyDescent="0.25">
      <x:c r="A277" s="1">
        <x:f>ROW(A277)-1</x:f>
      </x:c>
      <x:c r="B277" s="10">
        <x:v>3034</x:v>
      </x:c>
      <x:c r="C277" s="10" t="s">
        <x:v>43</x:v>
      </x:c>
      <x:c r="D277" s="10" t="s">
        <x:v>477</x:v>
      </x:c>
      <x:c r="F277" s="1" t="s">
        <x:v>1095</x:v>
      </x:c>
      <x:c r="G277" s="1" t="s">
        <x:v>1096</x:v>
      </x:c>
      <x:c r="H277" s="10">
        <x:v>0</x:v>
      </x:c>
      <x:c r="I277" s="23"/>
      <x:c r="J277" s="10">
        <x:v>3580</x:v>
      </x:c>
      <x:c r="K277" s="1" t="s">
        <x:v>329</x:v>
      </x:c>
      <x:c r="L277" s="0" t="s">
        <x:v>1097</x:v>
      </x:c>
      <x:c r="M277" s="0">
        <x:v>6</x:v>
      </x:c>
      <x:c r="N277" s="0">
        <x:f>""</x:f>
      </x:c>
      <x:c r="O277" s="0">
        <x:f>""</x:f>
      </x:c>
      <x:c r="P277" s="0">
        <x:f>""</x:f>
      </x:c>
      <x:c r="Q277" s="0">
        <x:f>""</x:f>
      </x:c>
      <x:c r="R277" s="0">
        <x:f>""</x:f>
      </x:c>
      <x:c r="S277" s="0">
        <x:f>""</x:f>
      </x:c>
      <x:c r="T277" s="0">
        <x:f>""</x:f>
      </x:c>
      <x:c r="W277" s="0">
        <x:f>""</x:f>
      </x:c>
    </x:row>
    <x:row r="278" spans="1:23" ht="45" customHeight="1" x14ac:dyDescent="0.25">
      <x:c r="A278" s="1">
        <x:f>ROW(A278)-1</x:f>
      </x:c>
      <x:c r="B278" s="10">
        <x:v>3035</x:v>
      </x:c>
      <x:c r="C278" s="10" t="s">
        <x:v>43</x:v>
      </x:c>
      <x:c r="D278" s="10" t="s">
        <x:v>477</x:v>
      </x:c>
      <x:c r="F278" s="1" t="s">
        <x:v>546</x:v>
      </x:c>
      <x:c r="G278" s="1" t="s">
        <x:v>1098</x:v>
      </x:c>
      <x:c r="H278" s="10">
        <x:v>0</x:v>
      </x:c>
      <x:c r="I278" s="23"/>
      <x:c r="J278" s="10">
        <x:v>3580</x:v>
      </x:c>
      <x:c r="K278" s="1" t="s">
        <x:v>329</x:v>
      </x:c>
      <x:c r="L278" s="0" t="s">
        <x:v>491</x:v>
      </x:c>
      <x:c r="M278" s="0">
        <x:v>11</x:v>
      </x:c>
      <x:c r="N278" s="0">
        <x:f>""</x:f>
      </x:c>
      <x:c r="O278" s="0">
        <x:f>""</x:f>
      </x:c>
      <x:c r="P278" s="0">
        <x:f>""</x:f>
      </x:c>
      <x:c r="Q278" s="0">
        <x:f>""</x:f>
      </x:c>
      <x:c r="R278" s="0">
        <x:f>""</x:f>
      </x:c>
      <x:c r="S278" s="0">
        <x:f>""</x:f>
      </x:c>
      <x:c r="T278" s="0">
        <x:f>""</x:f>
      </x:c>
      <x:c r="W278" s="0" t="s">
        <x:v>945</x:v>
      </x:c>
    </x:row>
    <x:row r="279" spans="1:23" ht="45" customHeight="1" x14ac:dyDescent="0.25">
      <x:c r="A279" s="1">
        <x:f>ROW(A279)-1</x:f>
      </x:c>
      <x:c r="B279" s="10">
        <x:v>3036</x:v>
      </x:c>
      <x:c r="C279" s="10" t="s">
        <x:v>43</x:v>
      </x:c>
      <x:c r="D279" s="10" t="s">
        <x:v>477</x:v>
      </x:c>
      <x:c r="H279" s="10">
        <x:v>0</x:v>
      </x:c>
      <x:c r="I279" s="23"/>
      <x:c r="J279" s="10">
        <x:v>3730</x:v>
      </x:c>
      <x:c r="K279" s="1" t="s">
        <x:v>208</x:v>
      </x:c>
      <x:c r="L279" s="0" t="s">
        <x:v>556</x:v>
      </x:c>
      <x:c r="M279" s="0">
        <x:v>28</x:v>
      </x:c>
      <x:c r="N279" s="0">
        <x:f>""</x:f>
      </x:c>
      <x:c r="O279" s="0">
        <x:f>""</x:f>
      </x:c>
      <x:c r="P279" s="0">
        <x:f>""</x:f>
      </x:c>
      <x:c r="Q279" s="0">
        <x:f>""</x:f>
      </x:c>
      <x:c r="R279" s="0">
        <x:f>""</x:f>
      </x:c>
      <x:c r="S279" s="0">
        <x:f>""</x:f>
      </x:c>
      <x:c r="T279" s="0">
        <x:f>""</x:f>
      </x:c>
      <x:c r="W279" s="0">
        <x:f>""</x:f>
      </x:c>
    </x:row>
    <x:row r="280" spans="1:23" ht="45" customHeight="1" x14ac:dyDescent="0.25">
      <x:c r="A280" s="1">
        <x:f>ROW(A280)-1</x:f>
      </x:c>
      <x:c r="B280" s="10">
        <x:v>3040</x:v>
      </x:c>
      <x:c r="C280" s="10" t="s">
        <x:v>43</x:v>
      </x:c>
      <x:c r="D280" s="10" t="s">
        <x:v>477</x:v>
      </x:c>
      <x:c r="F280" s="1" t="s">
        <x:v>546</x:v>
      </x:c>
      <x:c r="G280" s="1" t="s">
        <x:v>635</x:v>
      </x:c>
      <x:c r="H280" s="10">
        <x:v>0</x:v>
      </x:c>
      <x:c r="I280" s="23"/>
      <x:c r="J280" s="10">
        <x:v>3812</x:v>
      </x:c>
      <x:c r="K280" s="1" t="s">
        <x:v>511</x:v>
      </x:c>
      <x:c r="L280" s="0" t="s">
        <x:v>979</x:v>
      </x:c>
      <x:c r="M280" s="0">
        <x:v>3</x:v>
      </x:c>
      <x:c r="N280" s="0">
        <x:f>""</x:f>
      </x:c>
      <x:c r="O280" s="0">
        <x:f>""</x:f>
      </x:c>
      <x:c r="P280" s="0">
        <x:f>""</x:f>
      </x:c>
      <x:c r="Q280" s="0">
        <x:f>""</x:f>
      </x:c>
      <x:c r="R280" s="0">
        <x:f>""</x:f>
      </x:c>
      <x:c r="S280" s="0">
        <x:f>""</x:f>
      </x:c>
      <x:c r="T280" s="0">
        <x:f>""</x:f>
      </x:c>
      <x:c r="W280" s="0">
        <x:f>""</x:f>
      </x:c>
    </x:row>
    <x:row r="281" spans="1:23" ht="75" customHeight="1" x14ac:dyDescent="0.25">
      <x:c r="A281" s="1">
        <x:f>ROW(A281)-1</x:f>
      </x:c>
      <x:c r="B281" s="10">
        <x:v>3048</x:v>
      </x:c>
      <x:c r="C281" s="10" t="s">
        <x:v>43</x:v>
      </x:c>
      <x:c r="D281" s="10" t="s">
        <x:v>1099</x:v>
      </x:c>
      <x:c r="G281" s="1" t="s">
        <x:v>1100</x:v>
      </x:c>
      <x:c r="H281" s="10">
        <x:v>0</x:v>
      </x:c>
      <x:c r="I281" s="23"/>
      <x:c r="J281" s="10">
        <x:v>3542</x:v>
      </x:c>
      <x:c r="K281" s="1" t="s">
        <x:v>444</x:v>
      </x:c>
      <x:c r="L281" s="0" t="s">
        <x:v>1101</x:v>
      </x:c>
      <x:c r="M281" s="0">
        <x:v>4</x:v>
      </x:c>
      <x:c r="N281" s="0">
        <x:f>""</x:f>
      </x:c>
      <x:c r="O281" s="0">
        <x:f>""</x:f>
      </x:c>
      <x:c r="P281" s="0">
        <x:f>""</x:f>
      </x:c>
      <x:c r="Q281" s="0">
        <x:f>""</x:f>
      </x:c>
      <x:c r="R281" s="0">
        <x:f>""</x:f>
      </x:c>
      <x:c r="S281" s="0">
        <x:f>""</x:f>
      </x:c>
      <x:c r="T281" s="0">
        <x:f>""</x:f>
      </x:c>
      <x:c r="W281" s="0">
        <x:f>""</x:f>
      </x:c>
    </x:row>
    <x:row r="282" spans="1:23" ht="30" customHeight="1" x14ac:dyDescent="0.25">
      <x:c r="A282" s="1">
        <x:f>ROW(A282)-1</x:f>
      </x:c>
      <x:c r="B282" s="10">
        <x:v>3049</x:v>
      </x:c>
      <x:c r="C282" s="10" t="s">
        <x:v>43</x:v>
      </x:c>
      <x:c r="D282" s="10" t="s">
        <x:v>1102</x:v>
      </x:c>
      <x:c r="F282" s="1" t="s">
        <x:v>279</x:v>
      </x:c>
      <x:c r="G282" s="1" t="s">
        <x:v>1103</x:v>
      </x:c>
      <x:c r="H282" s="10">
        <x:v>0</x:v>
      </x:c>
      <x:c r="I282" s="23"/>
      <x:c r="J282" s="10">
        <x:v>3532</x:v>
      </x:c>
      <x:c r="K282" s="1" t="s">
        <x:v>1104</x:v>
      </x:c>
      <x:c r="L282" s="0" t="s">
        <x:v>1104</x:v>
      </x:c>
      <x:c r="M282" s="0">
        <x:v>60</x:v>
      </x:c>
      <x:c r="N282" s="0">
        <x:f>""</x:f>
      </x:c>
      <x:c r="O282" s="0">
        <x:f>""</x:f>
      </x:c>
      <x:c r="P282" s="0">
        <x:f>""</x:f>
      </x:c>
      <x:c r="Q282" s="0">
        <x:f>""</x:f>
      </x:c>
      <x:c r="R282" s="0">
        <x:f>""</x:f>
      </x:c>
      <x:c r="S282" s="0">
        <x:f>""</x:f>
      </x:c>
      <x:c r="T282" s="0">
        <x:f>""</x:f>
      </x:c>
      <x:c r="W282" s="0">
        <x:f>""</x:f>
      </x:c>
    </x:row>
    <x:row r="283" spans="1:23" ht="45" customHeight="1" x14ac:dyDescent="0.25">
      <x:c r="A283" s="1">
        <x:f>ROW(A283)-1</x:f>
      </x:c>
      <x:c r="B283" s="10">
        <x:v>3050</x:v>
      </x:c>
      <x:c r="C283" s="10" t="s">
        <x:v>43</x:v>
      </x:c>
      <x:c r="D283" s="10" t="s">
        <x:v>117</x:v>
      </x:c>
      <x:c r="F283" s="1" t="s">
        <x:v>597</x:v>
      </x:c>
      <x:c r="G283" s="1" t="s">
        <x:v>598</x:v>
      </x:c>
      <x:c r="H283" s="10">
        <x:v>0</x:v>
      </x:c>
      <x:c r="I283" s="23"/>
      <x:c r="J283" s="10">
        <x:v>3532</x:v>
      </x:c>
      <x:c r="K283" s="1" t="s">
        <x:v>276</x:v>
      </x:c>
      <x:c r="L283" s="0" t="s">
        <x:v>599</x:v>
      </x:c>
      <x:c r="M283" s="0">
        <x:v>69</x:v>
      </x:c>
      <x:c r="N283" s="0">
        <x:f>""</x:f>
      </x:c>
      <x:c r="O283" s="0">
        <x:f>""</x:f>
      </x:c>
      <x:c r="P283" s="0">
        <x:f>""</x:f>
      </x:c>
      <x:c r="Q283" s="0">
        <x:f>""</x:f>
      </x:c>
      <x:c r="R283" s="0">
        <x:f>""</x:f>
      </x:c>
      <x:c r="S283" s="0">
        <x:f>""</x:f>
      </x:c>
      <x:c r="T283" s="0">
        <x:f>""</x:f>
      </x:c>
      <x:c r="W283" s="0">
        <x:f>""</x:f>
      </x:c>
    </x:row>
    <x:row r="284" spans="1:23" ht="75" customHeight="1" x14ac:dyDescent="0.25">
      <x:c r="A284" s="1">
        <x:f>ROW(A284)-1</x:f>
      </x:c>
      <x:c r="B284" s="10">
        <x:v>3050</x:v>
      </x:c>
      <x:c r="C284" s="10" t="s">
        <x:v>43</x:v>
      </x:c>
      <x:c r="D284" s="10" t="s">
        <x:v>1105</x:v>
      </x:c>
      <x:c r="F284" s="1" t="s">
        <x:v>597</x:v>
      </x:c>
      <x:c r="G284" s="1" t="s">
        <x:v>598</x:v>
      </x:c>
      <x:c r="H284" s="10">
        <x:v>0</x:v>
      </x:c>
      <x:c r="I284" s="23"/>
      <x:c r="J284" s="10">
        <x:v>3594</x:v>
      </x:c>
      <x:c r="K284" s="1" t="s">
        <x:v>1106</x:v>
      </x:c>
      <x:c r="L284" s="0" t="s">
        <x:v>519</x:v>
      </x:c>
      <x:c r="M284" s="0">
        <x:v>1</x:v>
      </x:c>
      <x:c r="N284" s="0">
        <x:f>""</x:f>
      </x:c>
      <x:c r="O284" s="0">
        <x:f>""</x:f>
      </x:c>
      <x:c r="P284" s="0">
        <x:f>""</x:f>
      </x:c>
      <x:c r="Q284" s="0">
        <x:f>""</x:f>
      </x:c>
      <x:c r="R284" s="0">
        <x:f>""</x:f>
      </x:c>
      <x:c r="S284" s="0">
        <x:f>""</x:f>
      </x:c>
      <x:c r="T284" s="0">
        <x:f>""</x:f>
      </x:c>
      <x:c r="W284" s="0">
        <x:f>""</x:f>
      </x:c>
    </x:row>
    <x:row r="285" spans="1:23" ht="75" customHeight="1" x14ac:dyDescent="0.25">
      <x:c r="A285" s="1">
        <x:f>ROW(A285)-1</x:f>
      </x:c>
      <x:c r="B285" s="10">
        <x:v>3050</x:v>
      </x:c>
      <x:c r="C285" s="10" t="s">
        <x:v>43</x:v>
      </x:c>
      <x:c r="D285" s="10" t="s">
        <x:v>1107</x:v>
      </x:c>
      <x:c r="F285" s="1" t="s">
        <x:v>597</x:v>
      </x:c>
      <x:c r="G285" s="1" t="s">
        <x:v>598</x:v>
      </x:c>
      <x:c r="H285" s="10">
        <x:v>0</x:v>
      </x:c>
      <x:c r="I285" s="23"/>
      <x:c r="J285" s="10">
        <x:v>3532</x:v>
      </x:c>
      <x:c r="K285" s="1" t="s">
        <x:v>276</x:v>
      </x:c>
      <x:c r="L285" s="0" t="s">
        <x:v>1108</x:v>
      </x:c>
      <x:c r="M285" s="0">
        <x:v>5</x:v>
      </x:c>
      <x:c r="N285" s="0">
        <x:f>""</x:f>
      </x:c>
      <x:c r="O285" s="0">
        <x:f>""</x:f>
      </x:c>
      <x:c r="P285" s="0">
        <x:f>""</x:f>
      </x:c>
      <x:c r="Q285" s="0">
        <x:f>""</x:f>
      </x:c>
      <x:c r="R285" s="0">
        <x:f>""</x:f>
      </x:c>
      <x:c r="S285" s="0">
        <x:f>""</x:f>
      </x:c>
      <x:c r="T285" s="0">
        <x:f>""</x:f>
      </x:c>
      <x:c r="W285" s="0">
        <x:f>""</x:f>
      </x:c>
    </x:row>
    <x:row r="286" spans="1:23" x14ac:dyDescent="0.25">
      <x:c r="A286" s="1">
        <x:f>ROW(A286)-1</x:f>
      </x:c>
      <x:c r="B286" s="10">
        <x:v>3052</x:v>
      </x:c>
      <x:c r="C286" s="10" t="s">
        <x:v>43</x:v>
      </x:c>
      <x:c r="D286" s="10" t="s">
        <x:v>224</x:v>
      </x:c>
      <x:c r="F286" s="1" t="s">
        <x:v>488</x:v>
      </x:c>
      <x:c r="G286" s="1" t="s">
        <x:v>1109</x:v>
      </x:c>
      <x:c r="H286" s="10">
        <x:v>0</x:v>
      </x:c>
      <x:c r="I286" s="23"/>
      <x:c r="J286" s="10">
        <x:v>3443</x:v>
      </x:c>
      <x:c r="K286" s="1" t="s">
        <x:v>1110</x:v>
      </x:c>
      <x:c r="L286" s="0" t="s">
        <x:v>1111</x:v>
      </x:c>
      <x:c r="M286" s="0">
        <x:v>11</x:v>
      </x:c>
      <x:c r="N286" s="0">
        <x:f>""</x:f>
      </x:c>
      <x:c r="O286" s="0">
        <x:f>""</x:f>
      </x:c>
      <x:c r="P286" s="0">
        <x:f>""</x:f>
      </x:c>
      <x:c r="Q286" s="0">
        <x:f>""</x:f>
      </x:c>
      <x:c r="R286" s="0">
        <x:f>""</x:f>
      </x:c>
      <x:c r="S286" s="0">
        <x:f>""</x:f>
      </x:c>
      <x:c r="T286" s="0">
        <x:f>""</x:f>
      </x:c>
      <x:c r="W286" s="0">
        <x:f>""</x:f>
      </x:c>
    </x:row>
    <x:row r="287" spans="1:23" ht="30" customHeight="1" x14ac:dyDescent="0.25">
      <x:c r="A287" s="1">
        <x:f>ROW(A287)-1</x:f>
      </x:c>
      <x:c r="B287" s="10">
        <x:v>3053</x:v>
      </x:c>
      <x:c r="C287" s="10" t="s">
        <x:v>43</x:v>
      </x:c>
      <x:c r="D287" s="10" t="s">
        <x:v>224</x:v>
      </x:c>
      <x:c r="F287" s="1" t="s">
        <x:v>1112</x:v>
      </x:c>
      <x:c r="G287" s="1" t="s">
        <x:v>1113</x:v>
      </x:c>
      <x:c r="H287" s="10">
        <x:v>0</x:v>
      </x:c>
      <x:c r="I287" s="23"/>
      <x:c r="J287" s="10">
        <x:v>3100</x:v>
      </x:c>
      <x:c r="K287" s="1" t="s">
        <x:v>861</x:v>
      </x:c>
      <x:c r="L287" s="0" t="s">
        <x:v>1114</x:v>
      </x:c>
      <x:c r="M287" s="0">
        <x:v>15</x:v>
      </x:c>
      <x:c r="N287" s="0">
        <x:f>""</x:f>
      </x:c>
      <x:c r="O287" s="0">
        <x:f>""</x:f>
      </x:c>
      <x:c r="P287" s="0">
        <x:f>""</x:f>
      </x:c>
      <x:c r="Q287" s="0">
        <x:f>""</x:f>
      </x:c>
      <x:c r="R287" s="0">
        <x:f>""</x:f>
      </x:c>
      <x:c r="S287" s="0">
        <x:f>""</x:f>
      </x:c>
      <x:c r="T287" s="0">
        <x:f>""</x:f>
      </x:c>
      <x:c r="W287" s="0" t="s">
        <x:v>945</x:v>
      </x:c>
    </x:row>
    <x:row r="288" spans="1:23" ht="45" customHeight="1" x14ac:dyDescent="0.25">
      <x:c r="A288" s="1">
        <x:f>ROW(A288)-1</x:f>
      </x:c>
      <x:c r="B288" s="10">
        <x:v>3054</x:v>
      </x:c>
      <x:c r="C288" s="10" t="s">
        <x:v>43</x:v>
      </x:c>
      <x:c r="D288" s="10" t="s">
        <x:v>1115</x:v>
      </x:c>
      <x:c r="F288" s="1" t="s">
        <x:v>232</x:v>
      </x:c>
      <x:c r="G288" s="1" t="s">
        <x:v>555</x:v>
      </x:c>
      <x:c r="H288" s="10">
        <x:v>0</x:v>
      </x:c>
      <x:c r="I288" s="23"/>
      <x:c r="J288" s="10">
        <x:v>3730</x:v>
      </x:c>
      <x:c r="K288" s="1" t="s">
        <x:v>208</x:v>
      </x:c>
      <x:c r="L288" s="0" t="s">
        <x:v>1116</x:v>
      </x:c>
      <x:c r="M288" s="0">
        <x:v>31</x:v>
      </x:c>
      <x:c r="N288" s="0">
        <x:f>""</x:f>
      </x:c>
      <x:c r="O288" s="0">
        <x:f>""</x:f>
      </x:c>
      <x:c r="P288" s="0">
        <x:f>""</x:f>
      </x:c>
      <x:c r="Q288" s="0">
        <x:f>""</x:f>
      </x:c>
      <x:c r="R288" s="0">
        <x:f>""</x:f>
      </x:c>
      <x:c r="S288" s="0">
        <x:f>""</x:f>
      </x:c>
      <x:c r="T288" s="0">
        <x:f>""</x:f>
      </x:c>
      <x:c r="W288" s="0">
        <x:f>""</x:f>
      </x:c>
    </x:row>
    <x:row r="289" spans="1:23" ht="90" customHeight="1" x14ac:dyDescent="0.25">
      <x:c r="A289" s="1">
        <x:f>ROW(A289)-1</x:f>
      </x:c>
      <x:c r="B289" s="10">
        <x:v>3060</x:v>
      </x:c>
      <x:c r="C289" s="10" t="s">
        <x:v>43</x:v>
      </x:c>
      <x:c r="D289" s="10" t="s">
        <x:v>1117</x:v>
      </x:c>
      <x:c r="F289" s="1" t="s">
        <x:v>119</x:v>
      </x:c>
      <x:c r="G289" s="1" t="s">
        <x:v>120</x:v>
      </x:c>
      <x:c r="H289" s="10">
        <x:v>0</x:v>
      </x:c>
      <x:c r="I289" s="23"/>
      <x:c r="J289" s="10">
        <x:v>3812</x:v>
      </x:c>
      <x:c r="K289" s="1" t="s">
        <x:v>511</x:v>
      </x:c>
      <x:c r="L289" s="0" t="s">
        <x:v>124</x:v>
      </x:c>
      <x:c r="M289" s="0">
        <x:v>2</x:v>
      </x:c>
      <x:c r="N289" s="0">
        <x:f>""</x:f>
      </x:c>
      <x:c r="O289" s="0">
        <x:f>""</x:f>
      </x:c>
      <x:c r="P289" s="0">
        <x:f>""</x:f>
      </x:c>
      <x:c r="Q289" s="0">
        <x:f>""</x:f>
      </x:c>
      <x:c r="R289" s="0">
        <x:f>""</x:f>
      </x:c>
      <x:c r="S289" s="0">
        <x:f>""</x:f>
      </x:c>
      <x:c r="T289" s="0">
        <x:f>""</x:f>
      </x:c>
      <x:c r="W289" s="0">
        <x:f>""</x:f>
      </x:c>
    </x:row>
    <x:row r="290" spans="1:23" ht="60" customHeight="1" x14ac:dyDescent="0.25">
      <x:c r="A290" s="1">
        <x:f>ROW(A290)-1</x:f>
      </x:c>
      <x:c r="B290" s="10">
        <x:v>3063</x:v>
      </x:c>
      <x:c r="C290" s="10" t="s">
        <x:v>43</x:v>
      </x:c>
      <x:c r="D290" s="10" t="s">
        <x:v>1118</x:v>
      </x:c>
      <x:c r="H290" s="10">
        <x:v>0</x:v>
      </x:c>
      <x:c r="I290" s="23"/>
      <x:c r="J290" s="10">
        <x:v>3874</x:v>
      </x:c>
      <x:c r="K290" s="1" t="s">
        <x:v>632</x:v>
      </x:c>
      <x:c r="M290" s="0">
        <x:v>0</x:v>
      </x:c>
      <x:c r="N290" s="0">
        <x:f>""</x:f>
      </x:c>
      <x:c r="O290" s="0">
        <x:f>""</x:f>
      </x:c>
      <x:c r="P290" s="0">
        <x:f>""</x:f>
      </x:c>
      <x:c r="Q290" s="0">
        <x:f>""</x:f>
      </x:c>
      <x:c r="R290" s="0">
        <x:f>""</x:f>
      </x:c>
      <x:c r="S290" s="0">
        <x:f>""</x:f>
      </x:c>
      <x:c r="T290" s="0">
        <x:f>""</x:f>
      </x:c>
      <x:c r="W290" s="0">
        <x:f>""</x:f>
      </x:c>
    </x:row>
    <x:row r="291" spans="1:23" ht="90" customHeight="1" x14ac:dyDescent="0.25">
      <x:c r="A291" s="1">
        <x:f>ROW(A291)-1</x:f>
      </x:c>
      <x:c r="B291" s="10">
        <x:v>3064</x:v>
      </x:c>
      <x:c r="C291" s="10" t="s">
        <x:v>43</x:v>
      </x:c>
      <x:c r="D291" s="10" t="s">
        <x:v>634</x:v>
      </x:c>
      <x:c r="F291" s="1" t="s">
        <x:v>1119</x:v>
      </x:c>
      <x:c r="G291" s="1" t="s">
        <x:v>1120</x:v>
      </x:c>
      <x:c r="H291" s="10">
        <x:v>0</x:v>
      </x:c>
      <x:c r="I291" s="23"/>
      <x:c r="J291" s="10">
        <x:v>3532</x:v>
      </x:c>
      <x:c r="K291" s="1" t="s">
        <x:v>1108</x:v>
      </x:c>
      <x:c r="L291" s="0" t="s">
        <x:v>1108</x:v>
      </x:c>
      <x:c r="M291" s="0">
        <x:v>5</x:v>
      </x:c>
      <x:c r="N291" s="0">
        <x:f>""</x:f>
      </x:c>
      <x:c r="O291" s="0">
        <x:f>""</x:f>
      </x:c>
      <x:c r="P291" s="0">
        <x:f>""</x:f>
      </x:c>
      <x:c r="Q291" s="0">
        <x:f>""</x:f>
      </x:c>
      <x:c r="R291" s="0">
        <x:f>""</x:f>
      </x:c>
      <x:c r="S291" s="0">
        <x:f>""</x:f>
      </x:c>
      <x:c r="T291" s="0">
        <x:f>""</x:f>
      </x:c>
      <x:c r="W291" s="0">
        <x:f>""</x:f>
      </x:c>
    </x:row>
    <x:row r="292" spans="1:23" ht="45" customHeight="1" x14ac:dyDescent="0.25">
      <x:c r="A292" s="1">
        <x:f>ROW(A292)-1</x:f>
      </x:c>
      <x:c r="B292" s="10">
        <x:v>3065</x:v>
      </x:c>
      <x:c r="C292" s="10" t="s">
        <x:v>43</x:v>
      </x:c>
      <x:c r="D292" s="10" t="s">
        <x:v>117</x:v>
      </x:c>
      <x:c r="F292" s="1" t="s">
        <x:v>1121</x:v>
      </x:c>
      <x:c r="G292" s="1" t="s">
        <x:v>1122</x:v>
      </x:c>
      <x:c r="H292" s="10">
        <x:v>0</x:v>
      </x:c>
      <x:c r="I292" s="23"/>
      <x:c r="J292" s="10">
        <x:v>2201</x:v>
      </x:c>
      <x:c r="K292" s="1" t="s">
        <x:v>1123</x:v>
      </x:c>
      <x:c r="L292" s="0" t="s">
        <x:v>1124</x:v>
      </x:c>
      <x:c r="M292" s="0">
        <x:v>6</x:v>
      </x:c>
      <x:c r="N292" s="0">
        <x:f>""</x:f>
      </x:c>
      <x:c r="O292" s="0">
        <x:f>""</x:f>
      </x:c>
      <x:c r="P292" s="0">
        <x:f>""</x:f>
      </x:c>
      <x:c r="Q292" s="0">
        <x:f>""</x:f>
      </x:c>
      <x:c r="R292" s="0">
        <x:f>""</x:f>
      </x:c>
      <x:c r="S292" s="0">
        <x:f>""</x:f>
      </x:c>
      <x:c r="T292" s="0">
        <x:f>""</x:f>
      </x:c>
      <x:c r="W292" s="0" t="s">
        <x:v>1125</x:v>
      </x:c>
    </x:row>
    <x:row r="293" spans="1:23" ht="60" customHeight="1" x14ac:dyDescent="0.25">
      <x:c r="A293" s="1">
        <x:f>ROW(A293)-1</x:f>
      </x:c>
      <x:c r="B293" s="10">
        <x:v>3066</x:v>
      </x:c>
      <x:c r="C293" s="10" t="s">
        <x:v>43</x:v>
      </x:c>
      <x:c r="D293" s="10" t="s">
        <x:v>477</x:v>
      </x:c>
      <x:c r="F293" s="1" t="s">
        <x:v>1126</x:v>
      </x:c>
      <x:c r="G293" s="1" t="s">
        <x:v>1127</x:v>
      </x:c>
      <x:c r="H293" s="10">
        <x:v>0</x:v>
      </x:c>
      <x:c r="I293" s="23"/>
      <x:c r="J293" s="10">
        <x:v>3830</x:v>
      </x:c>
      <x:c r="K293" s="1" t="s">
        <x:v>297</x:v>
      </x:c>
      <x:c r="L293" s="0" t="s">
        <x:v>1128</x:v>
      </x:c>
      <x:c r="M293" s="0">
        <x:v>4</x:v>
      </x:c>
      <x:c r="N293" s="0">
        <x:f>""</x:f>
      </x:c>
      <x:c r="O293" s="0">
        <x:f>""</x:f>
      </x:c>
      <x:c r="P293" s="0">
        <x:f>""</x:f>
      </x:c>
      <x:c r="Q293" s="0">
        <x:f>""</x:f>
      </x:c>
      <x:c r="R293" s="0">
        <x:f>""</x:f>
      </x:c>
      <x:c r="S293" s="0">
        <x:f>""</x:f>
      </x:c>
      <x:c r="T293" s="0">
        <x:f>""</x:f>
      </x:c>
      <x:c r="W293" s="0">
        <x:f>""</x:f>
      </x:c>
    </x:row>
    <x:row r="294" spans="1:23" ht="45" customHeight="1" x14ac:dyDescent="0.25">
      <x:c r="A294" s="1">
        <x:f>ROW(A294)-1</x:f>
      </x:c>
      <x:c r="B294" s="10">
        <x:v>3072</x:v>
      </x:c>
      <x:c r="C294" s="10" t="s">
        <x:v>43</x:v>
      </x:c>
      <x:c r="D294" s="10" t="s">
        <x:v>1129</x:v>
      </x:c>
      <x:c r="F294" s="1" t="s">
        <x:v>1130</x:v>
      </x:c>
      <x:c r="G294" s="1" t="s">
        <x:v>1131</x:v>
      </x:c>
      <x:c r="H294" s="10">
        <x:v>0</x:v>
      </x:c>
      <x:c r="I294" s="23"/>
      <x:c r="J294" s="10">
        <x:v>3601</x:v>
      </x:c>
      <x:c r="K294" s="1" t="s">
        <x:v>1132</x:v>
      </x:c>
      <x:c r="L294" s="0" t="s">
        <x:v>1132</x:v>
      </x:c>
      <x:c r="M294" s="0">
        <x:v>132</x:v>
      </x:c>
      <x:c r="N294" s="0">
        <x:f>""</x:f>
      </x:c>
      <x:c r="O294" s="0">
        <x:f>""</x:f>
      </x:c>
      <x:c r="P294" s="0">
        <x:f>""</x:f>
      </x:c>
      <x:c r="Q294" s="0">
        <x:f>""</x:f>
      </x:c>
      <x:c r="R294" s="0">
        <x:f>""</x:f>
      </x:c>
      <x:c r="S294" s="0">
        <x:f>""</x:f>
      </x:c>
      <x:c r="T294" s="0">
        <x:f>""</x:f>
      </x:c>
      <x:c r="W294" s="0">
        <x:f>""</x:f>
      </x:c>
    </x:row>
    <x:row r="295" spans="1:23" x14ac:dyDescent="0.25">
      <x:c r="A295" s="1">
        <x:f>ROW(A295)-1</x:f>
      </x:c>
      <x:c r="B295" s="10">
        <x:v>3074</x:v>
      </x:c>
      <x:c r="C295" s="10" t="s">
        <x:v>43</x:v>
      </x:c>
      <x:c r="D295" s="10" t="s">
        <x:v>224</x:v>
      </x:c>
      <x:c r="F295" s="1" t="s">
        <x:v>172</x:v>
      </x:c>
      <x:c r="G295" s="1" t="s">
        <x:v>1133</x:v>
      </x:c>
      <x:c r="H295" s="10">
        <x:v>0</x:v>
      </x:c>
      <x:c r="I295" s="23"/>
      <x:c r="J295" s="10">
        <x:v>3763</x:v>
      </x:c>
      <x:c r="K295" s="1" t="s">
        <x:v>1134</x:v>
      </x:c>
      <x:c r="L295" s="0" t="s">
        <x:v>1134</x:v>
      </x:c>
      <x:c r="M295" s="0">
        <x:v>67</x:v>
      </x:c>
      <x:c r="N295" s="0">
        <x:f>""</x:f>
      </x:c>
      <x:c r="O295" s="0">
        <x:f>""</x:f>
      </x:c>
      <x:c r="P295" s="0">
        <x:f>""</x:f>
      </x:c>
      <x:c r="Q295" s="0">
        <x:f>""</x:f>
      </x:c>
      <x:c r="R295" s="0">
        <x:f>""</x:f>
      </x:c>
      <x:c r="S295" s="0">
        <x:f>""</x:f>
      </x:c>
      <x:c r="T295" s="0">
        <x:f>""</x:f>
      </x:c>
      <x:c r="W295" s="0">
        <x:f>""</x:f>
      </x:c>
    </x:row>
    <x:row r="296" spans="1:23" ht="45" customHeight="1" x14ac:dyDescent="0.25">
      <x:c r="A296" s="1">
        <x:f>ROW(A296)-1</x:f>
      </x:c>
      <x:c r="B296" s="10">
        <x:v>3075</x:v>
      </x:c>
      <x:c r="C296" s="10" t="s">
        <x:v>43</x:v>
      </x:c>
      <x:c r="D296" s="10" t="s">
        <x:v>1135</x:v>
      </x:c>
      <x:c r="F296" s="1" t="s">
        <x:v>1112</x:v>
      </x:c>
      <x:c r="G296" s="1" t="s">
        <x:v>1136</x:v>
      </x:c>
      <x:c r="H296" s="10">
        <x:v>0</x:v>
      </x:c>
      <x:c r="I296" s="23"/>
      <x:c r="J296" s="10">
        <x:v>3500</x:v>
      </x:c>
      <x:c r="K296" s="1" t="s">
        <x:v>201</x:v>
      </x:c>
      <x:c r="L296" s="0" t="s">
        <x:v>1137</x:v>
      </x:c>
      <x:c r="M296" s="0">
        <x:v>57</x:v>
      </x:c>
      <x:c r="N296" s="0">
        <x:f>""</x:f>
      </x:c>
      <x:c r="O296" s="0">
        <x:f>""</x:f>
      </x:c>
      <x:c r="P296" s="0">
        <x:f>""</x:f>
      </x:c>
      <x:c r="Q296" s="0">
        <x:f>""</x:f>
      </x:c>
      <x:c r="R296" s="0">
        <x:f>""</x:f>
      </x:c>
      <x:c r="S296" s="0">
        <x:f>""</x:f>
      </x:c>
      <x:c r="T296" s="0">
        <x:f>""</x:f>
      </x:c>
      <x:c r="W296" s="0">
        <x:f>""</x:f>
      </x:c>
    </x:row>
    <x:row r="297" spans="1:23" ht="60" customHeight="1" x14ac:dyDescent="0.25">
      <x:c r="A297" s="1">
        <x:f>ROW(A297)-1</x:f>
      </x:c>
      <x:c r="B297" s="10">
        <x:v>3076</x:v>
      </x:c>
      <x:c r="C297" s="10" t="s">
        <x:v>43</x:v>
      </x:c>
      <x:c r="D297" s="10" t="s">
        <x:v>1138</x:v>
      </x:c>
      <x:c r="F297" s="1" t="s">
        <x:v>1139</x:v>
      </x:c>
      <x:c r="G297" s="1" t="s">
        <x:v>1140</x:v>
      </x:c>
      <x:c r="H297" s="10">
        <x:v>0</x:v>
      </x:c>
      <x:c r="I297" s="23"/>
      <x:c r="J297" s="10">
        <x:v>3910</x:v>
      </x:c>
      <x:c r="K297" s="1" t="s">
        <x:v>50</x:v>
      </x:c>
      <x:c r="L297" s="0" t="s">
        <x:v>338</x:v>
      </x:c>
      <x:c r="M297" s="0">
        <x:v>16</x:v>
      </x:c>
      <x:c r="N297" s="0">
        <x:f>""</x:f>
      </x:c>
      <x:c r="O297" s="0">
        <x:f>""</x:f>
      </x:c>
      <x:c r="P297" s="0">
        <x:f>""</x:f>
      </x:c>
      <x:c r="Q297" s="0">
        <x:f>""</x:f>
      </x:c>
      <x:c r="R297" s="0">
        <x:f>""</x:f>
      </x:c>
      <x:c r="S297" s="0">
        <x:f>""</x:f>
      </x:c>
      <x:c r="T297" s="0">
        <x:f>""</x:f>
      </x:c>
      <x:c r="W297" s="0">
        <x:f>""</x:f>
      </x:c>
    </x:row>
    <x:row r="298" spans="1:23" ht="60" customHeight="1" x14ac:dyDescent="0.25">
      <x:c r="A298" s="1">
        <x:f>ROW(A298)-1</x:f>
      </x:c>
      <x:c r="B298" s="10">
        <x:v>3077</x:v>
      </x:c>
      <x:c r="C298" s="10" t="s">
        <x:v>43</x:v>
      </x:c>
      <x:c r="D298" s="10" t="s">
        <x:v>1141</x:v>
      </x:c>
      <x:c r="F298" s="1" t="s">
        <x:v>1074</x:v>
      </x:c>
      <x:c r="G298" s="1" t="s">
        <x:v>1142</x:v>
      </x:c>
      <x:c r="H298" s="10">
        <x:v>0</x:v>
      </x:c>
      <x:c r="I298" s="23"/>
      <x:c r="J298" s="10">
        <x:v>3910</x:v>
      </x:c>
      <x:c r="K298" s="1" t="s">
        <x:v>50</x:v>
      </x:c>
      <x:c r="L298" s="0" t="s">
        <x:v>338</x:v>
      </x:c>
      <x:c r="M298" s="0">
        <x:v>16</x:v>
      </x:c>
      <x:c r="N298" s="0">
        <x:f>""</x:f>
      </x:c>
      <x:c r="O298" s="0">
        <x:f>""</x:f>
      </x:c>
      <x:c r="P298" s="0">
        <x:f>""</x:f>
      </x:c>
      <x:c r="Q298" s="0">
        <x:f>""</x:f>
      </x:c>
      <x:c r="R298" s="0">
        <x:f>""</x:f>
      </x:c>
      <x:c r="S298" s="0">
        <x:f>""</x:f>
      </x:c>
      <x:c r="T298" s="0">
        <x:f>""</x:f>
      </x:c>
      <x:c r="W298" s="0">
        <x:f>""</x:f>
      </x:c>
    </x:row>
    <x:row r="299" spans="1:23" ht="45" customHeight="1" x14ac:dyDescent="0.25">
      <x:c r="A299" s="1">
        <x:f>ROW(A299)-1</x:f>
      </x:c>
      <x:c r="B299" s="10">
        <x:v>3079</x:v>
      </x:c>
      <x:c r="C299" s="10" t="s">
        <x:v>43</x:v>
      </x:c>
      <x:c r="D299" s="10" t="s">
        <x:v>1143</x:v>
      </x:c>
      <x:c r="F299" s="1" t="s">
        <x:v>1144</x:v>
      </x:c>
      <x:c r="G299" s="1" t="s">
        <x:v>670</x:v>
      </x:c>
      <x:c r="H299" s="10">
        <x:v>0</x:v>
      </x:c>
      <x:c r="I299" s="23"/>
      <x:c r="J299" s="10">
        <x:v>2853</x:v>
      </x:c>
      <x:c r="K299" s="1" t="s">
        <x:v>1145</x:v>
      </x:c>
      <x:c r="L299" s="0" t="s">
        <x:v>1146</x:v>
      </x:c>
      <x:c r="M299" s="0">
        <x:v>1</x:v>
      </x:c>
      <x:c r="N299" s="0">
        <x:f>""</x:f>
      </x:c>
      <x:c r="O299" s="0">
        <x:f>""</x:f>
      </x:c>
      <x:c r="P299" s="0">
        <x:f>""</x:f>
      </x:c>
      <x:c r="Q299" s="0">
        <x:f>""</x:f>
      </x:c>
      <x:c r="R299" s="0">
        <x:f>""</x:f>
      </x:c>
      <x:c r="S299" s="0">
        <x:f>""</x:f>
      </x:c>
      <x:c r="T299" s="0">
        <x:f>""</x:f>
      </x:c>
      <x:c r="W299" s="0">
        <x:f>""</x:f>
      </x:c>
    </x:row>
    <x:row r="300" spans="1:23" ht="45" customHeight="1" x14ac:dyDescent="0.25">
      <x:c r="A300" s="1">
        <x:f>ROW(A300)-1</x:f>
      </x:c>
      <x:c r="B300" s="10">
        <x:v>3080</x:v>
      </x:c>
      <x:c r="C300" s="10" t="s">
        <x:v>43</x:v>
      </x:c>
      <x:c r="D300" s="10" t="s">
        <x:v>224</x:v>
      </x:c>
      <x:c r="F300" s="1" t="s">
        <x:v>1147</x:v>
      </x:c>
      <x:c r="G300" s="1" t="s">
        <x:v>1148</x:v>
      </x:c>
      <x:c r="H300" s="10">
        <x:v>0</x:v>
      </x:c>
      <x:c r="I300" s="23" t="s">
        <x:v>1149</x:v>
      </x:c>
      <x:c r="J300" s="10">
        <x:v>3820</x:v>
      </x:c>
      <x:c r="K300" s="1" t="s">
        <x:v>394</x:v>
      </x:c>
      <x:c r="L300" s="0" t="s">
        <x:v>1150</x:v>
      </x:c>
      <x:c r="M300" s="0">
        <x:v>8</x:v>
      </x:c>
      <x:c r="N300" s="0">
        <x:f>""</x:f>
      </x:c>
      <x:c r="O300" s="0">
        <x:f>""</x:f>
      </x:c>
      <x:c r="P300" s="0">
        <x:f>""</x:f>
      </x:c>
      <x:c r="Q300" s="0">
        <x:f>""</x:f>
      </x:c>
      <x:c r="R300" s="0">
        <x:f>""</x:f>
      </x:c>
      <x:c r="S300" s="0">
        <x:f>""</x:f>
      </x:c>
      <x:c r="T300" s="0">
        <x:f>""</x:f>
      </x:c>
      <x:c r="W300" s="0">
        <x:f>""</x:f>
      </x:c>
    </x:row>
    <x:row r="301" spans="1:23" ht="45" customHeight="1" x14ac:dyDescent="0.25">
      <x:c r="A301" s="1">
        <x:f>ROW(A301)-1</x:f>
      </x:c>
      <x:c r="B301" s="10">
        <x:v>3073</x:v>
      </x:c>
      <x:c r="C301" s="10" t="s">
        <x:v>43</x:v>
      </x:c>
      <x:c r="D301" s="10" t="s">
        <x:v>117</x:v>
      </x:c>
      <x:c r="H301" s="10">
        <x:v>0</x:v>
      </x:c>
      <x:c r="I301" s="23"/>
      <x:c r="J301" s="10">
        <x:v>3911</x:v>
      </x:c>
      <x:c r="K301" s="1" t="s">
        <x:v>50</x:v>
      </x:c>
      <x:c r="L301" s="0" t="s">
        <x:v>1151</x:v>
      </x:c>
      <x:c r="M301" s="0">
        <x:v>24</x:v>
      </x:c>
      <x:c r="N301" s="0">
        <x:f>""</x:f>
      </x:c>
      <x:c r="O301" s="0">
        <x:f>""</x:f>
      </x:c>
      <x:c r="P301" s="0">
        <x:f>""</x:f>
      </x:c>
      <x:c r="Q301" s="0">
        <x:f>""</x:f>
      </x:c>
      <x:c r="R301" s="0">
        <x:f>""</x:f>
      </x:c>
      <x:c r="S301" s="0">
        <x:f>""</x:f>
      </x:c>
      <x:c r="T301" s="0">
        <x:f>""</x:f>
      </x:c>
      <x:c r="W301" s="0">
        <x:f>""</x:f>
      </x:c>
    </x:row>
    <x:row r="302" spans="1:23" ht="45" customHeight="1" x14ac:dyDescent="0.25">
      <x:c r="A302" s="1">
        <x:f>ROW(A302)-1</x:f>
      </x:c>
      <x:c r="B302" s="10">
        <x:v>3088</x:v>
      </x:c>
      <x:c r="C302" s="10" t="s">
        <x:v>43</x:v>
      </x:c>
      <x:c r="D302" s="10" t="s">
        <x:v>692</x:v>
      </x:c>
      <x:c r="F302" s="1" t="s">
        <x:v>673</x:v>
      </x:c>
      <x:c r="G302" s="1" t="s">
        <x:v>1152</x:v>
      </x:c>
      <x:c r="H302" s="10">
        <x:v>0</x:v>
      </x:c>
      <x:c r="I302" s="23"/>
      <x:c r="J302" s="10">
        <x:v>3580</x:v>
      </x:c>
      <x:c r="K302" s="1" t="s">
        <x:v>735</x:v>
      </x:c>
      <x:c r="L302" s="0" t="s">
        <x:v>983</x:v>
      </x:c>
      <x:c r="M302" s="0">
        <x:v>72</x:v>
      </x:c>
      <x:c r="N302" s="0">
        <x:f>""</x:f>
      </x:c>
      <x:c r="O302" s="0">
        <x:f>""</x:f>
      </x:c>
      <x:c r="P302" s="0">
        <x:f>""</x:f>
      </x:c>
      <x:c r="Q302" s="0">
        <x:f>""</x:f>
      </x:c>
      <x:c r="R302" s="0">
        <x:f>""</x:f>
      </x:c>
      <x:c r="S302" s="0">
        <x:f>""</x:f>
      </x:c>
      <x:c r="T302" s="0">
        <x:f>""</x:f>
      </x:c>
      <x:c r="W302" s="0">
        <x:f>""</x:f>
      </x:c>
    </x:row>
    <x:row r="303" spans="1:23" ht="75" customHeight="1" x14ac:dyDescent="0.25">
      <x:c r="A303" s="1">
        <x:f>ROW(A303)-1</x:f>
      </x:c>
      <x:c r="B303" s="10">
        <x:v>3090</x:v>
      </x:c>
      <x:c r="C303" s="10" t="s">
        <x:v>43</x:v>
      </x:c>
      <x:c r="D303" s="10" t="s">
        <x:v>676</x:v>
      </x:c>
      <x:c r="F303" s="1" t="s">
        <x:v>1153</x:v>
      </x:c>
      <x:c r="G303" s="1" t="s">
        <x:v>1087</x:v>
      </x:c>
      <x:c r="H303" s="10">
        <x:v>0</x:v>
      </x:c>
      <x:c r="I303" s="23"/>
      <x:c r="J303" s="10">
        <x:v>3580</x:v>
      </x:c>
      <x:c r="K303" s="1" t="s">
        <x:v>329</x:v>
      </x:c>
      <x:c r="L303" s="0" t="s">
        <x:v>1154</x:v>
      </x:c>
      <x:c r="M303" s="0">
        <x:v>8</x:v>
      </x:c>
      <x:c r="N303" s="0">
        <x:f>""</x:f>
      </x:c>
      <x:c r="O303" s="0">
        <x:f>""</x:f>
      </x:c>
      <x:c r="P303" s="0">
        <x:f>""</x:f>
      </x:c>
      <x:c r="Q303" s="0">
        <x:f>""</x:f>
      </x:c>
      <x:c r="R303" s="0">
        <x:f>""</x:f>
      </x:c>
      <x:c r="S303" s="0">
        <x:f>""</x:f>
      </x:c>
      <x:c r="T303" s="0">
        <x:f>""</x:f>
      </x:c>
      <x:c r="W303" s="0">
        <x:f>""</x:f>
      </x:c>
    </x:row>
    <x:row r="304" spans="1:23" ht="90" customHeight="1" x14ac:dyDescent="0.25">
      <x:c r="A304" s="1">
        <x:f>ROW(A304)-1</x:f>
      </x:c>
      <x:c r="B304" s="10">
        <x:v>3091</x:v>
      </x:c>
      <x:c r="C304" s="10" t="s">
        <x:v>43</x:v>
      </x:c>
      <x:c r="D304" s="10" t="s">
        <x:v>1155</x:v>
      </x:c>
      <x:c r="F304" s="1" t="s">
        <x:v>488</x:v>
      </x:c>
      <x:c r="G304" s="1" t="s">
        <x:v>1156</x:v>
      </x:c>
      <x:c r="H304" s="10">
        <x:v>0</x:v>
      </x:c>
      <x:c r="I304" s="23"/>
      <x:c r="J304" s="10">
        <x:v>3580</x:v>
      </x:c>
      <x:c r="K304" s="1" t="s">
        <x:v>329</x:v>
      </x:c>
      <x:c r="L304" s="0" t="s">
        <x:v>486</x:v>
      </x:c>
      <x:c r="M304" s="0">
        <x:v>29</x:v>
      </x:c>
      <x:c r="N304" s="0">
        <x:f>""</x:f>
      </x:c>
      <x:c r="O304" s="0">
        <x:f>""</x:f>
      </x:c>
      <x:c r="P304" s="0">
        <x:f>""</x:f>
      </x:c>
      <x:c r="Q304" s="0">
        <x:f>""</x:f>
      </x:c>
      <x:c r="R304" s="0">
        <x:f>""</x:f>
      </x:c>
      <x:c r="S304" s="0">
        <x:f>""</x:f>
      </x:c>
      <x:c r="T304" s="0">
        <x:f>""</x:f>
      </x:c>
      <x:c r="W304" s="0">
        <x:f>""</x:f>
      </x:c>
    </x:row>
    <x:row r="305" spans="1:23" ht="75" customHeight="1" x14ac:dyDescent="0.25">
      <x:c r="A305" s="1">
        <x:f>ROW(A305)-1</x:f>
      </x:c>
      <x:c r="B305" s="10">
        <x:v>3093</x:v>
      </x:c>
      <x:c r="C305" s="10" t="s">
        <x:v>43</x:v>
      </x:c>
      <x:c r="D305" s="10" t="s">
        <x:v>1157</x:v>
      </x:c>
      <x:c r="H305" s="10">
        <x:v>0</x:v>
      </x:c>
      <x:c r="I305" s="23"/>
      <x:c r="J305" s="10">
        <x:v>3524</x:v>
      </x:c>
      <x:c r="K305" s="1" t="s">
        <x:v>1158</x:v>
      </x:c>
      <x:c r="L305" s="0" t="s">
        <x:v>1159</x:v>
      </x:c>
      <x:c r="M305" s="0">
        <x:v>53</x:v>
      </x:c>
      <x:c r="N305" s="0">
        <x:f>""</x:f>
      </x:c>
      <x:c r="O305" s="0">
        <x:f>""</x:f>
      </x:c>
      <x:c r="P305" s="0">
        <x:f>""</x:f>
      </x:c>
      <x:c r="Q305" s="0">
        <x:f>""</x:f>
      </x:c>
      <x:c r="R305" s="0">
        <x:f>""</x:f>
      </x:c>
      <x:c r="S305" s="0">
        <x:f>""</x:f>
      </x:c>
      <x:c r="T305" s="0">
        <x:f>""</x:f>
      </x:c>
      <x:c r="W305" s="0">
        <x:f>""</x:f>
      </x:c>
    </x:row>
    <x:row r="306" spans="1:23" ht="90" customHeight="1" x14ac:dyDescent="0.25">
      <x:c r="A306" s="1">
        <x:f>ROW(A306)-1</x:f>
      </x:c>
      <x:c r="B306" s="10">
        <x:v>3097</x:v>
      </x:c>
      <x:c r="C306" s="10" t="s">
        <x:v>43</x:v>
      </x:c>
      <x:c r="D306" s="10" t="s">
        <x:v>1160</x:v>
      </x:c>
      <x:c r="F306" s="1" t="s">
        <x:v>1161</x:v>
      </x:c>
      <x:c r="G306" s="1" t="s">
        <x:v>1162</x:v>
      </x:c>
      <x:c r="H306" s="10" t="s">
        <x:v>1163</x:v>
      </x:c>
      <x:c r="I306" s="23"/>
      <x:c r="J306" s="10">
        <x:v>3830</x:v>
      </x:c>
      <x:c r="K306" s="1" t="s">
        <x:v>297</x:v>
      </x:c>
      <x:c r="L306" s="0" t="s">
        <x:v>338</x:v>
      </x:c>
      <x:c r="M306" s="0">
        <x:v>12</x:v>
      </x:c>
      <x:c r="N306" s="0">
        <x:f>""</x:f>
      </x:c>
      <x:c r="O306" s="0">
        <x:f>""</x:f>
      </x:c>
      <x:c r="P306" s="0">
        <x:f>""</x:f>
      </x:c>
      <x:c r="Q306" s="0">
        <x:f>""</x:f>
      </x:c>
      <x:c r="R306" s="0">
        <x:f>""</x:f>
      </x:c>
      <x:c r="S306" s="0">
        <x:f>""</x:f>
      </x:c>
      <x:c r="T306" s="0">
        <x:f>""</x:f>
      </x:c>
      <x:c r="W306" s="0">
        <x:f>""</x:f>
      </x:c>
    </x:row>
    <x:row r="307" spans="1:23" ht="45" customHeight="1" x14ac:dyDescent="0.25">
      <x:c r="A307" s="1">
        <x:f>ROW(A307)-1</x:f>
      </x:c>
      <x:c r="B307" s="10">
        <x:v>3099</x:v>
      </x:c>
      <x:c r="C307" s="10" t="s">
        <x:v>43</x:v>
      </x:c>
      <x:c r="D307" s="10" t="s">
        <x:v>1164</x:v>
      </x:c>
      <x:c r="F307" s="1" t="s">
        <x:v>1165</x:v>
      </x:c>
      <x:c r="G307" s="1" t="s">
        <x:v>1166</x:v>
      </x:c>
      <x:c r="H307" s="10" t="s">
        <x:v>1167</x:v>
      </x:c>
      <x:c r="I307" s="23"/>
      <x:c r="J307" s="10">
        <x:v>3580</x:v>
      </x:c>
      <x:c r="K307" s="1" t="s">
        <x:v>329</x:v>
      </x:c>
      <x:c r="L307" s="0" t="s">
        <x:v>1168</x:v>
      </x:c>
      <x:c r="M307" s="0">
        <x:v>5</x:v>
      </x:c>
      <x:c r="N307" s="0">
        <x:f>""</x:f>
      </x:c>
      <x:c r="O307" s="0">
        <x:f>""</x:f>
      </x:c>
      <x:c r="P307" s="0">
        <x:f>""</x:f>
      </x:c>
      <x:c r="Q307" s="0">
        <x:f>""</x:f>
      </x:c>
      <x:c r="R307" s="0">
        <x:f>""</x:f>
      </x:c>
      <x:c r="S307" s="0">
        <x:f>""</x:f>
      </x:c>
      <x:c r="T307" s="0">
        <x:f>""</x:f>
      </x:c>
      <x:c r="W307" s="0">
        <x:f>""</x:f>
      </x:c>
    </x:row>
    <x:row r="308" spans="1:23" ht="90" customHeight="1" x14ac:dyDescent="0.25">
      <x:c r="A308" s="1">
        <x:f>ROW(A308)-1</x:f>
      </x:c>
      <x:c r="B308" s="10">
        <x:v>3100</x:v>
      </x:c>
      <x:c r="C308" s="10" t="s">
        <x:v>43</x:v>
      </x:c>
      <x:c r="D308" s="10" t="s">
        <x:v>1169</x:v>
      </x:c>
      <x:c r="F308" s="1" t="s">
        <x:v>1170</x:v>
      </x:c>
      <x:c r="G308" s="1" t="s">
        <x:v>1171</x:v>
      </x:c>
      <x:c r="H308" s="10">
        <x:v>0</x:v>
      </x:c>
      <x:c r="I308" s="23"/>
      <x:c r="J308" s="10">
        <x:v>3580</x:v>
      </x:c>
      <x:c r="K308" s="1" t="s">
        <x:v>329</x:v>
      </x:c>
      <x:c r="L308" s="0" t="s">
        <x:v>1172</x:v>
      </x:c>
      <x:c r="M308" s="0">
        <x:v>52</x:v>
      </x:c>
      <x:c r="N308" s="0">
        <x:f>""</x:f>
      </x:c>
      <x:c r="O308" s="0">
        <x:f>""</x:f>
      </x:c>
      <x:c r="P308" s="0">
        <x:f>""</x:f>
      </x:c>
      <x:c r="Q308" s="0">
        <x:f>""</x:f>
      </x:c>
      <x:c r="R308" s="0">
        <x:f>""</x:f>
      </x:c>
      <x:c r="S308" s="0">
        <x:f>""</x:f>
      </x:c>
      <x:c r="T308" s="0">
        <x:f>""</x:f>
      </x:c>
      <x:c r="W308" s="0">
        <x:f>""</x:f>
      </x:c>
    </x:row>
    <x:row r="309" spans="1:23" ht="30" customHeight="1" x14ac:dyDescent="0.25">
      <x:c r="A309" s="1">
        <x:f>ROW(A309)-1</x:f>
      </x:c>
      <x:c r="B309" s="10">
        <x:v>3101</x:v>
      </x:c>
      <x:c r="C309" s="10" t="s">
        <x:v>43</x:v>
      </x:c>
      <x:c r="D309" s="10" t="s">
        <x:v>224</x:v>
      </x:c>
      <x:c r="F309" s="1" t="s">
        <x:v>388</x:v>
      </x:c>
      <x:c r="G309" s="1" t="s">
        <x:v>1173</x:v>
      </x:c>
      <x:c r="H309" s="10">
        <x:v>0</x:v>
      </x:c>
      <x:c r="I309" s="23"/>
      <x:c r="J309" s="10">
        <x:v>2042</x:v>
      </x:c>
      <x:c r="K309" s="1" t="s">
        <x:v>656</x:v>
      </x:c>
      <x:c r="L309" s="0" t="s">
        <x:v>1174</x:v>
      </x:c>
      <x:c r="M309" s="0">
        <x:v>219</x:v>
      </x:c>
      <x:c r="N309" s="0">
        <x:f>""</x:f>
      </x:c>
      <x:c r="O309" s="0">
        <x:f>""</x:f>
      </x:c>
      <x:c r="P309" s="0">
        <x:f>""</x:f>
      </x:c>
      <x:c r="Q309" s="0">
        <x:f>""</x:f>
      </x:c>
      <x:c r="R309" s="0">
        <x:f>""</x:f>
      </x:c>
      <x:c r="S309" s="0">
        <x:f>""</x:f>
      </x:c>
      <x:c r="T309" s="0">
        <x:f>""</x:f>
      </x:c>
      <x:c r="W309" s="0">
        <x:f>""</x:f>
      </x:c>
    </x:row>
    <x:row r="310" spans="1:23" ht="90" customHeight="1" x14ac:dyDescent="0.25">
      <x:c r="A310" s="1">
        <x:f>ROW(A310)-1</x:f>
      </x:c>
      <x:c r="B310" s="10">
        <x:v>3103</x:v>
      </x:c>
      <x:c r="C310" s="10" t="s">
        <x:v>43</x:v>
      </x:c>
      <x:c r="D310" s="10" t="s">
        <x:v>1175</x:v>
      </x:c>
      <x:c r="F310" s="1" t="s">
        <x:v>795</x:v>
      </x:c>
      <x:c r="G310" s="1" t="s">
        <x:v>1176</x:v>
      </x:c>
      <x:c r="H310" s="10">
        <x:v>0</x:v>
      </x:c>
      <x:c r="I310" s="23"/>
      <x:c r="J310" s="10">
        <x:v>3830</x:v>
      </x:c>
      <x:c r="K310" s="1" t="s">
        <x:v>297</x:v>
      </x:c>
      <x:c r="L310" s="0" t="s">
        <x:v>438</x:v>
      </x:c>
      <x:c r="M310" s="0">
        <x:v>20</x:v>
      </x:c>
      <x:c r="N310" s="0">
        <x:f>""</x:f>
      </x:c>
      <x:c r="O310" s="0">
        <x:f>""</x:f>
      </x:c>
      <x:c r="P310" s="0">
        <x:f>""</x:f>
      </x:c>
      <x:c r="Q310" s="0">
        <x:f>""</x:f>
      </x:c>
      <x:c r="R310" s="0">
        <x:f>""</x:f>
      </x:c>
      <x:c r="S310" s="0">
        <x:f>""</x:f>
      </x:c>
      <x:c r="T310" s="0">
        <x:f>""</x:f>
      </x:c>
      <x:c r="W310" s="0">
        <x:f>""</x:f>
      </x:c>
    </x:row>
    <x:row r="311" spans="1:23" ht="45" customHeight="1" x14ac:dyDescent="0.25">
      <x:c r="A311" s="1">
        <x:f>ROW(A311)-1</x:f>
      </x:c>
      <x:c r="B311" s="10">
        <x:v>3104</x:v>
      </x:c>
      <x:c r="C311" s="10" t="s">
        <x:v>43</x:v>
      </x:c>
      <x:c r="D311" s="10" t="s">
        <x:v>787</x:v>
      </x:c>
      <x:c r="F311" s="1" t="s">
        <x:v>1177</x:v>
      </x:c>
      <x:c r="G311" s="1" t="s">
        <x:v>1046</x:v>
      </x:c>
      <x:c r="H311" s="10">
        <x:v>0</x:v>
      </x:c>
      <x:c r="I311" s="23"/>
      <x:c r="J311" s="10">
        <x:v>3842</x:v>
      </x:c>
      <x:c r="K311" s="1" t="s">
        <x:v>490</x:v>
      </x:c>
      <x:c r="L311" s="0" t="s">
        <x:v>1178</x:v>
      </x:c>
      <x:c r="M311" s="0">
        <x:v>59</x:v>
      </x:c>
      <x:c r="N311" s="0">
        <x:f>""</x:f>
      </x:c>
      <x:c r="O311" s="0">
        <x:f>""</x:f>
      </x:c>
      <x:c r="P311" s="0">
        <x:f>""</x:f>
      </x:c>
      <x:c r="Q311" s="0">
        <x:f>""</x:f>
      </x:c>
      <x:c r="R311" s="0">
        <x:f>""</x:f>
      </x:c>
      <x:c r="S311" s="0">
        <x:f>""</x:f>
      </x:c>
      <x:c r="T311" s="0">
        <x:f>""</x:f>
      </x:c>
      <x:c r="W311" s="0">
        <x:f>""</x:f>
      </x:c>
    </x:row>
    <x:row r="312" spans="1:23" ht="45" customHeight="1" x14ac:dyDescent="0.25">
      <x:c r="A312" s="1">
        <x:f>ROW(A312)-1</x:f>
      </x:c>
      <x:c r="B312" s="10">
        <x:v>3106</x:v>
      </x:c>
      <x:c r="C312" s="10" t="s">
        <x:v>43</x:v>
      </x:c>
      <x:c r="D312" s="10" t="s">
        <x:v>224</x:v>
      </x:c>
      <x:c r="F312" s="1" t="s">
        <x:v>488</x:v>
      </x:c>
      <x:c r="G312" s="1" t="s">
        <x:v>1179</x:v>
      </x:c>
      <x:c r="H312" s="10" t="s">
        <x:v>1180</x:v>
      </x:c>
      <x:c r="I312" s="23"/>
      <x:c r="J312" s="10">
        <x:v>2326</x:v>
      </x:c>
      <x:c r="K312" s="1" t="s">
        <x:v>1181</x:v>
      </x:c>
      <x:c r="L312" s="0" t="s">
        <x:v>298</x:v>
      </x:c>
      <x:c r="M312" s="0">
        <x:v>9</x:v>
      </x:c>
      <x:c r="N312" s="0">
        <x:f>""</x:f>
      </x:c>
      <x:c r="O312" s="0">
        <x:f>""</x:f>
      </x:c>
      <x:c r="P312" s="0">
        <x:f>""</x:f>
      </x:c>
      <x:c r="Q312" s="0">
        <x:f>""</x:f>
      </x:c>
      <x:c r="R312" s="0">
        <x:f>""</x:f>
      </x:c>
      <x:c r="S312" s="0">
        <x:f>""</x:f>
      </x:c>
      <x:c r="T312" s="0">
        <x:f>""</x:f>
      </x:c>
      <x:c r="W312" s="0">
        <x:f>""</x:f>
      </x:c>
    </x:row>
    <x:row r="313" spans="1:23" ht="30" customHeight="1" x14ac:dyDescent="0.25">
      <x:c r="A313" s="1">
        <x:f>ROW(A313)-1</x:f>
      </x:c>
      <x:c r="B313" s="10">
        <x:v>3108</x:v>
      </x:c>
      <x:c r="C313" s="10" t="s">
        <x:v>43</x:v>
      </x:c>
      <x:c r="D313" s="10" t="s">
        <x:v>203</x:v>
      </x:c>
      <x:c r="F313" s="1" t="s">
        <x:v>1182</x:v>
      </x:c>
      <x:c r="G313" s="1" t="s">
        <x:v>1176</x:v>
      </x:c>
      <x:c r="H313" s="10">
        <x:v>0</x:v>
      </x:c>
      <x:c r="I313" s="23"/>
      <x:c r="J313" s="10">
        <x:v>3532</x:v>
      </x:c>
      <x:c r="K313" s="1" t="s">
        <x:v>276</x:v>
      </x:c>
      <x:c r="L313" s="0" t="s">
        <x:v>276</x:v>
      </x:c>
      <x:c r="M313" s="0">
        <x:v>174</x:v>
      </x:c>
      <x:c r="N313" s="0">
        <x:f>""</x:f>
      </x:c>
      <x:c r="O313" s="0">
        <x:f>""</x:f>
      </x:c>
      <x:c r="P313" s="0">
        <x:f>""</x:f>
      </x:c>
      <x:c r="Q313" s="0">
        <x:f>""</x:f>
      </x:c>
      <x:c r="R313" s="0">
        <x:f>""</x:f>
      </x:c>
      <x:c r="S313" s="0">
        <x:f>""</x:f>
      </x:c>
      <x:c r="T313" s="0">
        <x:f>""</x:f>
      </x:c>
      <x:c r="W313" s="0">
        <x:f>""</x:f>
      </x:c>
    </x:row>
    <x:row r="314" spans="1:23" ht="45" customHeight="1" x14ac:dyDescent="0.25">
      <x:c r="A314" s="1">
        <x:f>ROW(A314)-1</x:f>
      </x:c>
      <x:c r="B314" s="10">
        <x:v>3109</x:v>
      </x:c>
      <x:c r="C314" s="10" t="s">
        <x:v>43</x:v>
      </x:c>
      <x:c r="D314" s="10" t="s">
        <x:v>719</x:v>
      </x:c>
      <x:c r="F314" s="1" t="s">
        <x:v>749</x:v>
      </x:c>
      <x:c r="G314" s="1" t="s">
        <x:v>1183</x:v>
      </x:c>
      <x:c r="H314" s="10">
        <x:v>0</x:v>
      </x:c>
      <x:c r="I314" s="23"/>
      <x:c r="J314" s="10">
        <x:v>3842</x:v>
      </x:c>
      <x:c r="K314" s="1" t="s">
        <x:v>490</x:v>
      </x:c>
      <x:c r="L314" s="0" t="s">
        <x:v>75</x:v>
      </x:c>
      <x:c r="M314" s="0">
        <x:v>42</x:v>
      </x:c>
      <x:c r="N314" s="0">
        <x:f>""</x:f>
      </x:c>
      <x:c r="O314" s="0">
        <x:f>""</x:f>
      </x:c>
      <x:c r="P314" s="0">
        <x:f>""</x:f>
      </x:c>
      <x:c r="Q314" s="0">
        <x:f>""</x:f>
      </x:c>
      <x:c r="R314" s="0">
        <x:f>""</x:f>
      </x:c>
      <x:c r="S314" s="0">
        <x:f>""</x:f>
      </x:c>
      <x:c r="T314" s="0">
        <x:f>""</x:f>
      </x:c>
      <x:c r="W314" s="0">
        <x:f>""</x:f>
      </x:c>
    </x:row>
    <x:row r="315" spans="1:23" ht="30" customHeight="1" x14ac:dyDescent="0.25">
      <x:c r="A315" s="1">
        <x:f>ROW(A315)-1</x:f>
      </x:c>
      <x:c r="B315" s="10">
        <x:v>3110</x:v>
      </x:c>
      <x:c r="C315" s="10" t="s">
        <x:v>43</x:v>
      </x:c>
      <x:c r="D315" s="10" t="s">
        <x:v>224</x:v>
      </x:c>
      <x:c r="F315" s="1" t="s">
        <x:v>248</x:v>
      </x:c>
      <x:c r="G315" s="1" t="s">
        <x:v>1184</x:v>
      </x:c>
      <x:c r="H315" s="10" t="s">
        <x:v>1185</x:v>
      </x:c>
      <x:c r="I315" s="23" t="s">
        <x:v>1186</x:v>
      </x:c>
      <x:c r="J315" s="10">
        <x:v>3550</x:v>
      </x:c>
      <x:c r="K315" s="1" t="s">
        <x:v>1187</x:v>
      </x:c>
      <x:c r="L315" s="0" t="s">
        <x:v>1188</x:v>
      </x:c>
      <x:c r="M315" s="0">
        <x:v>9</x:v>
      </x:c>
      <x:c r="N315" s="0">
        <x:f>""</x:f>
      </x:c>
      <x:c r="O315" s="0">
        <x:f>""</x:f>
      </x:c>
      <x:c r="P315" s="0">
        <x:f>""</x:f>
      </x:c>
      <x:c r="Q315" s="0">
        <x:f>""</x:f>
      </x:c>
      <x:c r="R315" s="0">
        <x:f>""</x:f>
      </x:c>
      <x:c r="S315" s="0">
        <x:f>""</x:f>
      </x:c>
      <x:c r="T315" s="0">
        <x:f>""</x:f>
      </x:c>
      <x:c r="W315" s="0" t="s">
        <x:v>1125</x:v>
      </x:c>
    </x:row>
    <x:row r="316" spans="1:23" ht="30" customHeight="1" x14ac:dyDescent="0.25">
      <x:c r="A316" s="1">
        <x:f>ROW(A316)-1</x:f>
      </x:c>
      <x:c r="B316" s="10">
        <x:v>3111</x:v>
      </x:c>
      <x:c r="C316" s="10" t="s">
        <x:v>43</x:v>
      </x:c>
      <x:c r="D316" s="10" t="s">
        <x:v>224</x:v>
      </x:c>
      <x:c r="F316" s="1" t="s">
        <x:v>749</x:v>
      </x:c>
      <x:c r="G316" s="1" t="s">
        <x:v>1189</x:v>
      </x:c>
      <x:c r="H316" s="10">
        <x:v>0</x:v>
      </x:c>
      <x:c r="I316" s="23"/>
      <x:c r="J316" s="10">
        <x:v>2042</x:v>
      </x:c>
      <x:c r="K316" s="1" t="s">
        <x:v>656</x:v>
      </x:c>
      <x:c r="L316" s="0" t="s">
        <x:v>656</x:v>
      </x:c>
      <x:c r="M316" s="0">
        <x:v>365</x:v>
      </x:c>
      <x:c r="N316" s="0">
        <x:f>""</x:f>
      </x:c>
      <x:c r="O316" s="0">
        <x:f>""</x:f>
      </x:c>
      <x:c r="P316" s="0">
        <x:f>""</x:f>
      </x:c>
      <x:c r="Q316" s="0">
        <x:f>""</x:f>
      </x:c>
      <x:c r="R316" s="0">
        <x:f>""</x:f>
      </x:c>
      <x:c r="S316" s="0">
        <x:f>""</x:f>
      </x:c>
      <x:c r="T316" s="0">
        <x:f>""</x:f>
      </x:c>
      <x:c r="W316" s="0">
        <x:f>""</x:f>
      </x:c>
    </x:row>
    <x:row r="317" spans="1:23" x14ac:dyDescent="0.25">
      <x:c r="A317" s="1">
        <x:f>ROW(A317)-1</x:f>
      </x:c>
      <x:c r="B317" s="10">
        <x:v>3112</x:v>
      </x:c>
      <x:c r="C317" s="10" t="s">
        <x:v>43</x:v>
      </x:c>
      <x:c r="D317" s="10" t="s">
        <x:v>224</x:v>
      </x:c>
      <x:c r="F317" s="1" t="s">
        <x:v>729</x:v>
      </x:c>
      <x:c r="G317" s="1" t="s">
        <x:v>1190</x:v>
      </x:c>
      <x:c r="H317" s="10">
        <x:v>0</x:v>
      </x:c>
      <x:c r="I317" s="23" t="s">
        <x:v>1191</x:v>
      </x:c>
      <x:c r="J317" s="10">
        <x:v>3580</x:v>
      </x:c>
      <x:c r="K317" s="1" t="s">
        <x:v>329</x:v>
      </x:c>
      <x:c r="L317" s="0" t="s">
        <x:v>662</x:v>
      </x:c>
      <x:c r="M317" s="0">
        <x:v>15</x:v>
      </x:c>
      <x:c r="N317" s="0">
        <x:f>""</x:f>
      </x:c>
      <x:c r="O317" s="0">
        <x:f>""</x:f>
      </x:c>
      <x:c r="P317" s="0">
        <x:f>""</x:f>
      </x:c>
      <x:c r="Q317" s="0">
        <x:f>""</x:f>
      </x:c>
      <x:c r="R317" s="0">
        <x:f>""</x:f>
      </x:c>
      <x:c r="S317" s="0">
        <x:f>""</x:f>
      </x:c>
      <x:c r="T317" s="0">
        <x:f>""</x:f>
      </x:c>
      <x:c r="W317" s="0">
        <x:f>""</x:f>
      </x:c>
    </x:row>
    <x:row r="318" spans="1:23" ht="90" customHeight="1" x14ac:dyDescent="0.25">
      <x:c r="A318" s="1">
        <x:f>ROW(A318)-1</x:f>
      </x:c>
      <x:c r="B318" s="10">
        <x:v>3114</x:v>
      </x:c>
      <x:c r="C318" s="10" t="s">
        <x:v>43</x:v>
      </x:c>
      <x:c r="D318" s="10" t="s">
        <x:v>1192</x:v>
      </x:c>
      <x:c r="F318" s="1" t="s">
        <x:v>1193</x:v>
      </x:c>
      <x:c r="G318" s="1" t="s">
        <x:v>1194</x:v>
      </x:c>
      <x:c r="H318" s="10">
        <x:v>0</x:v>
      </x:c>
      <x:c r="I318" s="23"/>
      <x:c r="J318" s="10">
        <x:v>3493</x:v>
      </x:c>
      <x:c r="K318" s="1" t="s">
        <x:v>1195</x:v>
      </x:c>
      <x:c r="L318" s="0" t="s">
        <x:v>338</x:v>
      </x:c>
      <x:c r="M318" s="0">
        <x:v>14</x:v>
      </x:c>
      <x:c r="N318" s="0">
        <x:f>""</x:f>
      </x:c>
      <x:c r="O318" s="0">
        <x:f>""</x:f>
      </x:c>
      <x:c r="P318" s="0">
        <x:f>""</x:f>
      </x:c>
      <x:c r="Q318" s="0">
        <x:f>""</x:f>
      </x:c>
      <x:c r="R318" s="0">
        <x:f>""</x:f>
      </x:c>
      <x:c r="S318" s="0">
        <x:f>""</x:f>
      </x:c>
      <x:c r="T318" s="0">
        <x:f>""</x:f>
      </x:c>
      <x:c r="W318" s="0">
        <x:f>""</x:f>
      </x:c>
    </x:row>
    <x:row r="319" spans="1:23" ht="45" customHeight="1" x14ac:dyDescent="0.25">
      <x:c r="A319" s="1">
        <x:f>ROW(A319)-1</x:f>
      </x:c>
      <x:c r="B319" s="10">
        <x:v>3115</x:v>
      </x:c>
      <x:c r="C319" s="10" t="s">
        <x:v>43</x:v>
      </x:c>
      <x:c r="D319" s="10" t="s">
        <x:v>692</x:v>
      </x:c>
      <x:c r="F319" s="1" t="s">
        <x:v>1196</x:v>
      </x:c>
      <x:c r="G319" s="1" t="s">
        <x:v>1197</x:v>
      </x:c>
      <x:c r="H319" s="10">
        <x:v>0</x:v>
      </x:c>
      <x:c r="I319" s="23"/>
      <x:c r="K319" s="1" t="s">
        <x:v>1198</x:v>
      </x:c>
      <x:c r="L319" s="0" t="s">
        <x:v>1199</x:v>
      </x:c>
      <x:c r="M319" s="0">
        <x:v>20</x:v>
      </x:c>
      <x:c r="N319" s="0">
        <x:f>""</x:f>
      </x:c>
      <x:c r="O319" s="0">
        <x:f>""</x:f>
      </x:c>
      <x:c r="P319" s="0">
        <x:f>""</x:f>
      </x:c>
      <x:c r="Q319" s="0">
        <x:f>""</x:f>
      </x:c>
      <x:c r="R319" s="0">
        <x:f>""</x:f>
      </x:c>
      <x:c r="S319" s="0">
        <x:f>""</x:f>
      </x:c>
      <x:c r="T319" s="0">
        <x:f>""</x:f>
      </x:c>
      <x:c r="W319" s="0">
        <x:f>""</x:f>
      </x:c>
    </x:row>
    <x:row r="320" spans="1:23" ht="90" customHeight="1" x14ac:dyDescent="0.25">
      <x:c r="A320" s="1">
        <x:f>ROW(A320)-1</x:f>
      </x:c>
      <x:c r="B320" s="10">
        <x:v>3122</x:v>
      </x:c>
      <x:c r="C320" s="10" t="s">
        <x:v>43</x:v>
      </x:c>
      <x:c r="D320" s="10" t="s">
        <x:v>1200</x:v>
      </x:c>
      <x:c r="F320" s="1" t="s">
        <x:v>1201</x:v>
      </x:c>
      <x:c r="G320" s="1" t="s">
        <x:v>653</x:v>
      </x:c>
      <x:c r="H320" s="10">
        <x:v>0</x:v>
      </x:c>
      <x:c r="I320" s="23"/>
      <x:c r="J320" s="10">
        <x:v>3580</x:v>
      </x:c>
      <x:c r="K320" s="1" t="s">
        <x:v>329</x:v>
      </x:c>
      <x:c r="L320" s="0" t="s">
        <x:v>491</x:v>
      </x:c>
      <x:c r="M320" s="0">
        <x:v>3</x:v>
      </x:c>
      <x:c r="N320" s="0">
        <x:f>""</x:f>
      </x:c>
      <x:c r="O320" s="0">
        <x:f>""</x:f>
      </x:c>
      <x:c r="P320" s="0">
        <x:f>""</x:f>
      </x:c>
      <x:c r="Q320" s="0">
        <x:f>""</x:f>
      </x:c>
      <x:c r="R320" s="0">
        <x:f>""</x:f>
      </x:c>
      <x:c r="S320" s="0">
        <x:f>""</x:f>
      </x:c>
      <x:c r="T320" s="0">
        <x:f>""</x:f>
      </x:c>
      <x:c r="W320" s="0">
        <x:f>""</x:f>
      </x:c>
    </x:row>
    <x:row r="321" spans="1:23" x14ac:dyDescent="0.25">
      <x:c r="A321" s="1">
        <x:f>ROW(A321)-1</x:f>
      </x:c>
      <x:c r="B321" s="10">
        <x:v>3131</x:v>
      </x:c>
      <x:c r="C321" s="10" t="s">
        <x:v>43</x:v>
      </x:c>
      <x:c r="D321" s="10" t="s">
        <x:v>224</x:v>
      </x:c>
      <x:c r="F321" s="1" t="s">
        <x:v>1202</x:v>
      </x:c>
      <x:c r="G321" s="1" t="s">
        <x:v>1203</x:v>
      </x:c>
      <x:c r="H321" s="10">
        <x:v>0</x:v>
      </x:c>
      <x:c r="I321" s="23"/>
      <x:c r="J321" s="10">
        <x:v>3580</x:v>
      </x:c>
      <x:c r="K321" s="1" t="s">
        <x:v>329</x:v>
      </x:c>
      <x:c r="L321" s="0" t="s">
        <x:v>731</x:v>
      </x:c>
      <x:c r="M321" s="0">
        <x:v>11</x:v>
      </x:c>
      <x:c r="N321" s="0">
        <x:f>""</x:f>
      </x:c>
      <x:c r="O321" s="0">
        <x:f>""</x:f>
      </x:c>
      <x:c r="P321" s="0">
        <x:f>""</x:f>
      </x:c>
      <x:c r="Q321" s="0">
        <x:f>""</x:f>
      </x:c>
      <x:c r="R321" s="0">
        <x:f>""</x:f>
      </x:c>
      <x:c r="S321" s="0">
        <x:f>""</x:f>
      </x:c>
      <x:c r="T321" s="0">
        <x:f>""</x:f>
      </x:c>
      <x:c r="W321" s="0" t="s">
        <x:v>1044</x:v>
      </x:c>
    </x:row>
    <x:row r="322" spans="1:23" ht="45" customHeight="1" x14ac:dyDescent="0.25">
      <x:c r="A322" s="1">
        <x:f>ROW(A322)-1</x:f>
      </x:c>
      <x:c r="B322" s="10">
        <x:v>3136</x:v>
      </x:c>
      <x:c r="C322" s="10" t="s">
        <x:v>43</x:v>
      </x:c>
      <x:c r="D322" s="10" t="s">
        <x:v>714</x:v>
      </x:c>
      <x:c r="F322" s="1" t="s">
        <x:v>78</x:v>
      </x:c>
      <x:c r="G322" s="1" t="s">
        <x:v>161</x:v>
      </x:c>
      <x:c r="H322" s="10">
        <x:v>0</x:v>
      </x:c>
      <x:c r="I322" s="23"/>
      <x:c r="J322" s="10">
        <x:v>2224</x:v>
      </x:c>
      <x:c r="K322" s="1" t="s">
        <x:v>961</x:v>
      </x:c>
      <x:c r="L322" s="0" t="s">
        <x:v>961</x:v>
      </x:c>
      <x:c r="M322" s="0">
        <x:v>250</x:v>
      </x:c>
      <x:c r="N322" s="0">
        <x:f>""</x:f>
      </x:c>
      <x:c r="O322" s="0">
        <x:f>""</x:f>
      </x:c>
      <x:c r="P322" s="0">
        <x:f>""</x:f>
      </x:c>
      <x:c r="Q322" s="0">
        <x:f>""</x:f>
      </x:c>
      <x:c r="R322" s="0">
        <x:f>""</x:f>
      </x:c>
      <x:c r="S322" s="0">
        <x:f>""</x:f>
      </x:c>
      <x:c r="T322" s="0">
        <x:f>""</x:f>
      </x:c>
      <x:c r="W322" s="0">
        <x:f>""</x:f>
      </x:c>
    </x:row>
    <x:row r="323" spans="1:23" ht="60" customHeight="1" x14ac:dyDescent="0.25">
      <x:c r="A323" s="1">
        <x:f>ROW(A323)-1</x:f>
      </x:c>
      <x:c r="B323" s="10">
        <x:v>855</x:v>
      </x:c>
      <x:c r="C323" s="10" t="s">
        <x:v>43</x:v>
      </x:c>
      <x:c r="D323" s="10" t="s">
        <x:v>1204</x:v>
      </x:c>
      <x:c r="H323" s="10">
        <x:v>0</x:v>
      </x:c>
      <x:c r="I323" s="23"/>
      <x:c r="M323" s="0">
        <x:v>0</x:v>
      </x:c>
      <x:c r="N323" s="0">
        <x:f>""</x:f>
      </x:c>
      <x:c r="O323" s="0">
        <x:f>""</x:f>
      </x:c>
      <x:c r="P323" s="0">
        <x:f>""</x:f>
      </x:c>
      <x:c r="Q323" s="0">
        <x:f>""</x:f>
      </x:c>
      <x:c r="R323" s="0">
        <x:f>""</x:f>
      </x:c>
      <x:c r="S323" s="0">
        <x:f>""</x:f>
      </x:c>
      <x:c r="T323" s="0">
        <x:f>""</x:f>
      </x:c>
      <x:c r="W323" s="0">
        <x:f>""</x:f>
      </x:c>
    </x:row>
    <x:row r="324" spans="1:23" ht="60" customHeight="1" x14ac:dyDescent="0.25">
      <x:c r="A324" s="1">
        <x:f>ROW(A324)-1</x:f>
      </x:c>
      <x:c r="B324" s="10">
        <x:v>853</x:v>
      </x:c>
      <x:c r="C324" s="10" t="s">
        <x:v>43</x:v>
      </x:c>
      <x:c r="D324" s="10" t="s">
        <x:v>1205</x:v>
      </x:c>
      <x:c r="H324" s="10">
        <x:v>0</x:v>
      </x:c>
      <x:c r="I324" s="23"/>
      <x:c r="J324" s="10">
        <x:v>2651</x:v>
      </x:c>
      <x:c r="K324" s="1" t="s">
        <x:v>1206</x:v>
      </x:c>
      <x:c r="L324" s="0" t="s">
        <x:v>75</x:v>
      </x:c>
      <x:c r="M324" s="0">
        <x:v>28</x:v>
      </x:c>
      <x:c r="N324" s="0">
        <x:f>""</x:f>
      </x:c>
      <x:c r="O324" s="0">
        <x:f>""</x:f>
      </x:c>
      <x:c r="P324" s="0">
        <x:f>""</x:f>
      </x:c>
      <x:c r="Q324" s="0">
        <x:f>""</x:f>
      </x:c>
      <x:c r="R324" s="0">
        <x:f>""</x:f>
      </x:c>
      <x:c r="S324" s="0">
        <x:f>""</x:f>
      </x:c>
      <x:c r="T324" s="0">
        <x:f>""</x:f>
      </x:c>
      <x:c r="W324" s="0">
        <x:f>""</x:f>
      </x:c>
    </x:row>
    <x:row r="325" spans="1:23" ht="30" customHeight="1" x14ac:dyDescent="0.25">
      <x:c r="A325" s="1">
        <x:f>ROW(A325)-1</x:f>
      </x:c>
      <x:c r="B325" s="10">
        <x:v>852</x:v>
      </x:c>
      <x:c r="C325" s="10" t="s">
        <x:v>43</x:v>
      </x:c>
      <x:c r="D325" s="10" t="s">
        <x:v>1207</x:v>
      </x:c>
      <x:c r="H325" s="10">
        <x:v>0</x:v>
      </x:c>
      <x:c r="I325" s="23"/>
      <x:c r="J325" s="10">
        <x:v>3704</x:v>
      </x:c>
      <x:c r="K325" s="1" t="s">
        <x:v>1208</x:v>
      </x:c>
      <x:c r="L325" s="0" t="s">
        <x:v>1209</x:v>
      </x:c>
      <x:c r="M325" s="0">
        <x:v>5</x:v>
      </x:c>
      <x:c r="N325" s="0">
        <x:f>""</x:f>
      </x:c>
      <x:c r="O325" s="0">
        <x:f>""</x:f>
      </x:c>
      <x:c r="P325" s="0">
        <x:f>""</x:f>
      </x:c>
      <x:c r="Q325" s="0">
        <x:f>""</x:f>
      </x:c>
      <x:c r="R325" s="0">
        <x:f>""</x:f>
      </x:c>
      <x:c r="S325" s="0">
        <x:f>""</x:f>
      </x:c>
      <x:c r="T325" s="0">
        <x:f>""</x:f>
      </x:c>
      <x:c r="W325" s="0">
        <x:f>""</x:f>
      </x:c>
    </x:row>
    <x:row r="326" spans="1:23" ht="60" customHeight="1" x14ac:dyDescent="0.25">
      <x:c r="A326" s="1">
        <x:f>ROW(A326)-1</x:f>
      </x:c>
      <x:c r="B326" s="10">
        <x:v>849</x:v>
      </x:c>
      <x:c r="C326" s="10" t="s">
        <x:v>43</x:v>
      </x:c>
      <x:c r="D326" s="10" t="s">
        <x:v>1210</x:v>
      </x:c>
      <x:c r="H326" s="10">
        <x:v>0</x:v>
      </x:c>
      <x:c r="I326" s="23"/>
      <x:c r="J326" s="10">
        <x:v>3580</x:v>
      </x:c>
      <x:c r="K326" s="1" t="s">
        <x:v>329</x:v>
      </x:c>
      <x:c r="L326" s="0" t="s">
        <x:v>1019</x:v>
      </x:c>
      <x:c r="M326" s="0">
        <x:v>7</x:v>
      </x:c>
      <x:c r="N326" s="0">
        <x:f>""</x:f>
      </x:c>
      <x:c r="O326" s="0">
        <x:f>""</x:f>
      </x:c>
      <x:c r="P326" s="0">
        <x:f>""</x:f>
      </x:c>
      <x:c r="Q326" s="0">
        <x:f>""</x:f>
      </x:c>
      <x:c r="R326" s="0">
        <x:f>""</x:f>
      </x:c>
      <x:c r="S326" s="0">
        <x:f>""</x:f>
      </x:c>
      <x:c r="T326" s="0">
        <x:f>""</x:f>
      </x:c>
      <x:c r="W326" s="0">
        <x:f>""</x:f>
      </x:c>
    </x:row>
    <x:row r="327" spans="1:23" ht="75" customHeight="1" x14ac:dyDescent="0.25">
      <x:c r="A327" s="1">
        <x:f>ROW(A327)-1</x:f>
      </x:c>
      <x:c r="B327" s="10">
        <x:v>847</x:v>
      </x:c>
      <x:c r="C327" s="10" t="s">
        <x:v>43</x:v>
      </x:c>
      <x:c r="D327" s="10" t="s">
        <x:v>1211</x:v>
      </x:c>
      <x:c r="F327" s="1" t="s">
        <x:v>345</x:v>
      </x:c>
      <x:c r="G327" s="1" t="s">
        <x:v>1212</x:v>
      </x:c>
      <x:c r="H327" s="10">
        <x:v>0</x:v>
      </x:c>
      <x:c r="I327" s="23"/>
      <x:c r="J327" s="10">
        <x:v>3741</x:v>
      </x:c>
      <x:c r="K327" s="1" t="s">
        <x:v>1213</x:v>
      </x:c>
      <x:c r="L327" s="0" t="s">
        <x:v>1214</x:v>
      </x:c>
      <x:c r="M327" s="0">
        <x:v>6</x:v>
      </x:c>
      <x:c r="N327" s="0">
        <x:f>""</x:f>
      </x:c>
      <x:c r="O327" s="0">
        <x:f>""</x:f>
      </x:c>
      <x:c r="P327" s="0">
        <x:f>""</x:f>
      </x:c>
      <x:c r="Q327" s="0">
        <x:f>""</x:f>
      </x:c>
      <x:c r="R327" s="0">
        <x:f>""</x:f>
      </x:c>
      <x:c r="S327" s="0">
        <x:f>""</x:f>
      </x:c>
      <x:c r="T327" s="0">
        <x:f>""</x:f>
      </x:c>
      <x:c r="W327" s="0">
        <x:f>""</x:f>
      </x:c>
    </x:row>
    <x:row r="328" spans="1:23" ht="105" customHeight="1" x14ac:dyDescent="0.25">
      <x:c r="A328" s="1">
        <x:f>ROW(A328)-1</x:f>
      </x:c>
      <x:c r="B328" s="10">
        <x:v>842</x:v>
      </x:c>
      <x:c r="C328" s="10" t="s">
        <x:v>43</x:v>
      </x:c>
      <x:c r="D328" s="10" t="s">
        <x:v>1215</x:v>
      </x:c>
      <x:c r="H328" s="10">
        <x:v>0</x:v>
      </x:c>
      <x:c r="I328" s="23"/>
      <x:c r="M328" s="0">
        <x:v>0</x:v>
      </x:c>
      <x:c r="N328" s="0">
        <x:f>""</x:f>
      </x:c>
      <x:c r="O328" s="0">
        <x:f>""</x:f>
      </x:c>
      <x:c r="P328" s="0">
        <x:f>""</x:f>
      </x:c>
      <x:c r="Q328" s="0">
        <x:f>""</x:f>
      </x:c>
      <x:c r="R328" s="0">
        <x:f>""</x:f>
      </x:c>
      <x:c r="S328" s="0">
        <x:f>""</x:f>
      </x:c>
      <x:c r="T328" s="0">
        <x:f>""</x:f>
      </x:c>
      <x:c r="W328" s="0">
        <x:f>""</x:f>
      </x:c>
    </x:row>
    <x:row r="329" spans="1:23" ht="30" customHeight="1" x14ac:dyDescent="0.25">
      <x:c r="A329" s="1">
        <x:f>ROW(A329)-1</x:f>
      </x:c>
      <x:c r="B329" s="10">
        <x:v>827</x:v>
      </x:c>
      <x:c r="C329" s="10" t="s">
        <x:v>43</x:v>
      </x:c>
      <x:c r="H329" s="10">
        <x:v>0</x:v>
      </x:c>
      <x:c r="I329" s="23"/>
      <x:c r="J329" s="10">
        <x:v>3109</x:v>
      </x:c>
      <x:c r="K329" s="1" t="s">
        <x:v>861</x:v>
      </x:c>
      <x:c r="L329" s="0" t="s">
        <x:v>1216</x:v>
      </x:c>
      <x:c r="N329" s="0">
        <x:f>""</x:f>
      </x:c>
      <x:c r="O329" s="0">
        <x:f>""</x:f>
      </x:c>
      <x:c r="P329" s="0">
        <x:f>""</x:f>
      </x:c>
      <x:c r="Q329" s="0">
        <x:f>""</x:f>
      </x:c>
      <x:c r="R329" s="0">
        <x:f>""</x:f>
      </x:c>
      <x:c r="S329" s="0">
        <x:f>""</x:f>
      </x:c>
      <x:c r="T329" s="0">
        <x:f>""</x:f>
      </x:c>
      <x:c r="W329" s="0">
        <x:f>""</x:f>
      </x:c>
    </x:row>
    <x:row r="330" spans="1:23" ht="30" customHeight="1" x14ac:dyDescent="0.25">
      <x:c r="A330" s="1">
        <x:f>ROW(A330)-1</x:f>
      </x:c>
      <x:c r="B330" s="10">
        <x:v>826</x:v>
      </x:c>
      <x:c r="C330" s="10" t="s">
        <x:v>43</x:v>
      </x:c>
      <x:c r="D330" s="10" t="s">
        <x:v>1217</x:v>
      </x:c>
      <x:c r="H330" s="10">
        <x:v>0</x:v>
      </x:c>
      <x:c r="I330" s="23"/>
      <x:c r="M330" s="0">
        <x:v>0</x:v>
      </x:c>
      <x:c r="N330" s="0">
        <x:f>""</x:f>
      </x:c>
      <x:c r="O330" s="0">
        <x:f>""</x:f>
      </x:c>
      <x:c r="P330" s="0">
        <x:f>""</x:f>
      </x:c>
      <x:c r="Q330" s="0">
        <x:f>""</x:f>
      </x:c>
      <x:c r="R330" s="0">
        <x:f>""</x:f>
      </x:c>
      <x:c r="S330" s="0">
        <x:f>""</x:f>
      </x:c>
      <x:c r="T330" s="0">
        <x:f>""</x:f>
      </x:c>
      <x:c r="W330" s="0">
        <x:f>""</x:f>
      </x:c>
    </x:row>
    <x:row r="331" spans="1:23" x14ac:dyDescent="0.25">
      <x:c r="A331" s="1">
        <x:f>ROW(A331)-1</x:f>
      </x:c>
      <x:c r="B331" s="10">
        <x:v>825</x:v>
      </x:c>
      <x:c r="C331" s="10" t="s">
        <x:v>43</x:v>
      </x:c>
      <x:c r="H331" s="10" t="s">
        <x:v>1218</x:v>
      </x:c>
      <x:c r="I331" s="23"/>
      <x:c r="J331" s="10">
        <x:v>3943</x:v>
      </x:c>
      <x:c r="K331" s="1" t="s">
        <x:v>183</x:v>
      </x:c>
      <x:c r="L331" s="0" t="s">
        <x:v>1219</x:v>
      </x:c>
      <x:c r="M331" s="0">
        <x:v>4</x:v>
      </x:c>
      <x:c r="N331" s="0">
        <x:f>""</x:f>
      </x:c>
      <x:c r="O331" s="0">
        <x:f>""</x:f>
      </x:c>
      <x:c r="P331" s="0">
        <x:f>""</x:f>
      </x:c>
      <x:c r="Q331" s="0">
        <x:f>""</x:f>
      </x:c>
      <x:c r="R331" s="0">
        <x:f>""</x:f>
      </x:c>
      <x:c r="S331" s="0">
        <x:f>""</x:f>
      </x:c>
      <x:c r="T331" s="0">
        <x:f>""</x:f>
      </x:c>
      <x:c r="W331" s="0">
        <x:f>""</x:f>
      </x:c>
    </x:row>
    <x:row r="332" spans="1:23" ht="60" customHeight="1" x14ac:dyDescent="0.25">
      <x:c r="A332" s="1">
        <x:f>ROW(A332)-1</x:f>
      </x:c>
      <x:c r="B332" s="10">
        <x:v>801</x:v>
      </x:c>
      <x:c r="C332" s="10" t="s">
        <x:v>43</x:v>
      </x:c>
      <x:c r="D332" s="10" t="s">
        <x:v>1220</x:v>
      </x:c>
      <x:c r="H332" s="10">
        <x:v>0</x:v>
      </x:c>
      <x:c r="I332" s="23"/>
      <x:c r="J332" s="10">
        <x:v>3830</x:v>
      </x:c>
      <x:c r="K332" s="1" t="s">
        <x:v>297</x:v>
      </x:c>
      <x:c r="L332" s="0" t="s">
        <x:v>1221</x:v>
      </x:c>
      <x:c r="M332" s="0">
        <x:v>4</x:v>
      </x:c>
      <x:c r="N332" s="0">
        <x:f>""</x:f>
      </x:c>
      <x:c r="O332" s="0">
        <x:f>""</x:f>
      </x:c>
      <x:c r="P332" s="0">
        <x:f>""</x:f>
      </x:c>
      <x:c r="Q332" s="0">
        <x:f>""</x:f>
      </x:c>
      <x:c r="R332" s="0">
        <x:f>""</x:f>
      </x:c>
      <x:c r="S332" s="0">
        <x:f>""</x:f>
      </x:c>
      <x:c r="T332" s="0">
        <x:f>""</x:f>
      </x:c>
      <x:c r="W332" s="0">
        <x:f>""</x:f>
      </x:c>
    </x:row>
    <x:row r="333" spans="1:23" ht="45" customHeight="1" x14ac:dyDescent="0.25">
      <x:c r="A333" s="1">
        <x:f>ROW(A333)-1</x:f>
      </x:c>
      <x:c r="B333" s="10">
        <x:v>798</x:v>
      </x:c>
      <x:c r="D333" s="10" t="s">
        <x:v>1222</x:v>
      </x:c>
      <x:c r="H333" s="10" t="s">
        <x:v>1223</x:v>
      </x:c>
      <x:c r="I333" s="23"/>
      <x:c r="J333" s="10">
        <x:v>3663</x:v>
      </x:c>
      <x:c r="K333" s="1" t="s">
        <x:v>1224</x:v>
      </x:c>
      <x:c r="L333" s="0" t="s">
        <x:v>1224</x:v>
      </x:c>
      <x:c r="M333" s="0">
        <x:v>63</x:v>
      </x:c>
      <x:c r="N333" s="0">
        <x:f>""</x:f>
      </x:c>
      <x:c r="O333" s="0">
        <x:f>""</x:f>
      </x:c>
      <x:c r="P333" s="0">
        <x:f>""</x:f>
      </x:c>
      <x:c r="Q333" s="0">
        <x:f>""</x:f>
      </x:c>
      <x:c r="R333" s="0">
        <x:f>""</x:f>
      </x:c>
      <x:c r="S333" s="0">
        <x:f>""</x:f>
      </x:c>
      <x:c r="T333" s="0">
        <x:f>""</x:f>
      </x:c>
      <x:c r="W333" s="0">
        <x:f>""</x:f>
      </x:c>
    </x:row>
    <x:row r="334" spans="1:23" ht="45" customHeight="1" x14ac:dyDescent="0.25">
      <x:c r="A334" s="1">
        <x:f>ROW(A334)-1</x:f>
      </x:c>
      <x:c r="B334" s="10">
        <x:v>797</x:v>
      </x:c>
      <x:c r="D334" s="10" t="s">
        <x:v>1225</x:v>
      </x:c>
      <x:c r="H334" s="10" t="s">
        <x:v>1226</x:v>
      </x:c>
      <x:c r="I334" s="23"/>
      <x:c r="J334" s="10">
        <x:v>3580</x:v>
      </x:c>
      <x:c r="K334" s="1" t="s">
        <x:v>329</x:v>
      </x:c>
      <x:c r="L334" s="0" t="s">
        <x:v>1227</x:v>
      </x:c>
      <x:c r="M334" s="0">
        <x:v>77</x:v>
      </x:c>
      <x:c r="N334" s="0">
        <x:f>""</x:f>
      </x:c>
      <x:c r="O334" s="0">
        <x:f>""</x:f>
      </x:c>
      <x:c r="P334" s="0">
        <x:f>""</x:f>
      </x:c>
      <x:c r="Q334" s="0">
        <x:f>""</x:f>
      </x:c>
      <x:c r="R334" s="0">
        <x:f>""</x:f>
      </x:c>
      <x:c r="S334" s="0">
        <x:f>""</x:f>
      </x:c>
      <x:c r="T334" s="0">
        <x:f>""</x:f>
      </x:c>
      <x:c r="W334" s="0">
        <x:f>""</x:f>
      </x:c>
    </x:row>
    <x:row r="335" spans="1:23" ht="45" customHeight="1" x14ac:dyDescent="0.25">
      <x:c r="A335" s="1">
        <x:f>ROW(A335)-1</x:f>
      </x:c>
      <x:c r="B335" s="10">
        <x:v>796</x:v>
      </x:c>
      <x:c r="H335" s="10" t="s">
        <x:v>1228</x:v>
      </x:c>
      <x:c r="I335" s="23"/>
      <x:c r="J335" s="10">
        <x:v>3812</x:v>
      </x:c>
      <x:c r="K335" s="1" t="s">
        <x:v>511</x:v>
      </x:c>
      <x:c r="L335" s="0" t="s">
        <x:v>1229</x:v>
      </x:c>
      <x:c r="M335" s="0">
        <x:v>5</x:v>
      </x:c>
      <x:c r="N335" s="0">
        <x:f>""</x:f>
      </x:c>
      <x:c r="O335" s="0">
        <x:f>""</x:f>
      </x:c>
      <x:c r="P335" s="0">
        <x:f>""</x:f>
      </x:c>
      <x:c r="Q335" s="0">
        <x:f>""</x:f>
      </x:c>
      <x:c r="R335" s="0">
        <x:f>""</x:f>
      </x:c>
      <x:c r="S335" s="0">
        <x:f>""</x:f>
      </x:c>
      <x:c r="T335" s="0">
        <x:f>""</x:f>
      </x:c>
      <x:c r="W335" s="0">
        <x:f>""</x:f>
      </x:c>
    </x:row>
    <x:row r="336" spans="1:23" ht="60" customHeight="1" x14ac:dyDescent="0.25">
      <x:c r="A336" s="1">
        <x:f>ROW(A336)-1</x:f>
      </x:c>
      <x:c r="B336" s="10">
        <x:v>795</x:v>
      </x:c>
      <x:c r="D336" s="10" t="s">
        <x:v>1230</x:v>
      </x:c>
      <x:c r="F336" s="1" t="s">
        <x:v>758</x:v>
      </x:c>
      <x:c r="G336" s="1" t="s">
        <x:v>274</x:v>
      </x:c>
      <x:c r="H336" s="10" t="s">
        <x:v>1231</x:v>
      </x:c>
      <x:c r="I336" s="23"/>
      <x:c r="J336" s="10">
        <x:v>3844</x:v>
      </x:c>
      <x:c r="K336" s="1" t="s">
        <x:v>1232</x:v>
      </x:c>
      <x:c r="L336" s="0" t="s">
        <x:v>1233</x:v>
      </x:c>
      <x:c r="M336" s="0">
        <x:v>19</x:v>
      </x:c>
      <x:c r="N336" s="0">
        <x:f>""</x:f>
      </x:c>
      <x:c r="O336" s="0">
        <x:f>""</x:f>
      </x:c>
      <x:c r="P336" s="0">
        <x:f>""</x:f>
      </x:c>
      <x:c r="Q336" s="0">
        <x:f>""</x:f>
      </x:c>
      <x:c r="R336" s="0">
        <x:f>""</x:f>
      </x:c>
      <x:c r="S336" s="0">
        <x:f>""</x:f>
      </x:c>
      <x:c r="T336" s="0">
        <x:f>""</x:f>
      </x:c>
      <x:c r="W336" s="0">
        <x:f>""</x:f>
      </x:c>
    </x:row>
    <x:row r="337" spans="1:23" ht="75" customHeight="1" x14ac:dyDescent="0.25">
      <x:c r="A337" s="1">
        <x:f>ROW(A337)-1</x:f>
      </x:c>
      <x:c r="B337" s="10">
        <x:v>793</x:v>
      </x:c>
      <x:c r="D337" s="10" t="s">
        <x:v>1234</x:v>
      </x:c>
      <x:c r="F337" s="1" t="s">
        <x:v>678</x:v>
      </x:c>
      <x:c r="G337" s="1" t="s">
        <x:v>543</x:v>
      </x:c>
      <x:c r="H337" s="10" t="s">
        <x:v>1235</x:v>
      </x:c>
      <x:c r="I337" s="23"/>
      <x:c r="J337" s="10">
        <x:v>3851</x:v>
      </x:c>
      <x:c r="K337" s="1" t="s">
        <x:v>552</x:v>
      </x:c>
      <x:c r="L337" s="0" t="s">
        <x:v>1236</x:v>
      </x:c>
      <x:c r="M337" s="0">
        <x:v>1</x:v>
      </x:c>
      <x:c r="N337" s="0">
        <x:f>""</x:f>
      </x:c>
      <x:c r="O337" s="0">
        <x:f>""</x:f>
      </x:c>
      <x:c r="P337" s="0">
        <x:f>""</x:f>
      </x:c>
      <x:c r="Q337" s="0">
        <x:f>""</x:f>
      </x:c>
      <x:c r="R337" s="0">
        <x:f>""</x:f>
      </x:c>
      <x:c r="S337" s="0">
        <x:f>""</x:f>
      </x:c>
      <x:c r="T337" s="0">
        <x:f>""</x:f>
      </x:c>
      <x:c r="W337" s="0">
        <x:f>""</x:f>
      </x:c>
    </x:row>
    <x:row r="338" spans="1:23" ht="75" customHeight="1" x14ac:dyDescent="0.25">
      <x:c r="A338" s="1">
        <x:f>ROW(A338)-1</x:f>
      </x:c>
      <x:c r="B338" s="10">
        <x:v>790</x:v>
      </x:c>
      <x:c r="D338" s="10" t="s">
        <x:v>1237</x:v>
      </x:c>
      <x:c r="H338" s="10" t="s">
        <x:v>1238</x:v>
      </x:c>
      <x:c r="I338" s="23"/>
      <x:c r="J338" s="10">
        <x:v>3852</x:v>
      </x:c>
      <x:c r="K338" s="1" t="s">
        <x:v>305</x:v>
      </x:c>
      <x:c r="L338" s="0" t="s">
        <x:v>1239</x:v>
      </x:c>
      <x:c r="M338" s="0">
        <x:v>12</x:v>
      </x:c>
      <x:c r="N338" s="0">
        <x:f>""</x:f>
      </x:c>
      <x:c r="O338" s="0">
        <x:f>""</x:f>
      </x:c>
      <x:c r="P338" s="0">
        <x:f>""</x:f>
      </x:c>
      <x:c r="Q338" s="0">
        <x:f>""</x:f>
      </x:c>
      <x:c r="R338" s="0">
        <x:f>""</x:f>
      </x:c>
      <x:c r="S338" s="0">
        <x:f>""</x:f>
      </x:c>
      <x:c r="T338" s="0">
        <x:f>""</x:f>
      </x:c>
      <x:c r="W338" s="0">
        <x:f>""</x:f>
      </x:c>
    </x:row>
    <x:row r="339" spans="1:23" ht="60" customHeight="1" x14ac:dyDescent="0.25">
      <x:c r="A339" s="1">
        <x:f>ROW(A339)-1</x:f>
      </x:c>
      <x:c r="B339" s="10">
        <x:v>788</x:v>
      </x:c>
      <x:c r="H339" s="10" t="s">
        <x:v>1240</x:v>
      </x:c>
      <x:c r="I339" s="23"/>
      <x:c r="J339" s="10">
        <x:v>3830</x:v>
      </x:c>
      <x:c r="K339" s="1" t="s">
        <x:v>297</x:v>
      </x:c>
      <x:c r="L339" s="0" t="s">
        <x:v>982</x:v>
      </x:c>
      <x:c r="M339" s="0">
        <x:v>30</x:v>
      </x:c>
      <x:c r="N339" s="0">
        <x:f>""</x:f>
      </x:c>
      <x:c r="O339" s="0">
        <x:f>""</x:f>
      </x:c>
      <x:c r="P339" s="0">
        <x:f>""</x:f>
      </x:c>
      <x:c r="Q339" s="0">
        <x:f>""</x:f>
      </x:c>
      <x:c r="R339" s="0">
        <x:f>""</x:f>
      </x:c>
      <x:c r="S339" s="0">
        <x:f>""</x:f>
      </x:c>
      <x:c r="T339" s="0">
        <x:f>""</x:f>
      </x:c>
      <x:c r="W339" s="0">
        <x:f>""</x:f>
      </x:c>
    </x:row>
    <x:row r="340" spans="1:23" ht="60" customHeight="1" x14ac:dyDescent="0.25">
      <x:c r="A340" s="1">
        <x:f>ROW(A340)-1</x:f>
      </x:c>
      <x:c r="B340" s="10">
        <x:v>787</x:v>
      </x:c>
      <x:c r="D340" s="10" t="s">
        <x:v>1241</x:v>
      </x:c>
      <x:c r="H340" s="10" t="s">
        <x:v>1242</x:v>
      </x:c>
      <x:c r="I340" s="23"/>
      <x:c r="J340" s="10">
        <x:v>3830</x:v>
      </x:c>
      <x:c r="K340" s="1" t="s">
        <x:v>297</x:v>
      </x:c>
      <x:c r="L340" s="0" t="s">
        <x:v>1243</x:v>
      </x:c>
      <x:c r="M340" s="0">
        <x:v>5</x:v>
      </x:c>
      <x:c r="N340" s="0">
        <x:f>""</x:f>
      </x:c>
      <x:c r="O340" s="0">
        <x:f>""</x:f>
      </x:c>
      <x:c r="P340" s="0">
        <x:f>""</x:f>
      </x:c>
      <x:c r="Q340" s="0">
        <x:f>""</x:f>
      </x:c>
      <x:c r="R340" s="0">
        <x:f>""</x:f>
      </x:c>
      <x:c r="S340" s="0">
        <x:f>""</x:f>
      </x:c>
      <x:c r="T340" s="0">
        <x:f>""</x:f>
      </x:c>
      <x:c r="W340" s="0">
        <x:f>""</x:f>
      </x:c>
    </x:row>
    <x:row r="341" spans="1:23" ht="75" customHeight="1" x14ac:dyDescent="0.25">
      <x:c r="A341" s="1">
        <x:f>ROW(A341)-1</x:f>
      </x:c>
      <x:c r="B341" s="10">
        <x:v>786</x:v>
      </x:c>
      <x:c r="D341" s="10" t="s">
        <x:v>1244</x:v>
      </x:c>
      <x:c r="H341" s="10" t="s">
        <x:v>1245</x:v>
      </x:c>
      <x:c r="I341" s="23"/>
      <x:c r="J341" s="10">
        <x:v>3100</x:v>
      </x:c>
      <x:c r="K341" s="1" t="s">
        <x:v>861</x:v>
      </x:c>
      <x:c r="L341" s="0" t="s">
        <x:v>298</x:v>
      </x:c>
      <x:c r="M341" s="0">
        <x:v>38</x:v>
      </x:c>
      <x:c r="N341" s="0">
        <x:f>""</x:f>
      </x:c>
      <x:c r="O341" s="0">
        <x:f>""</x:f>
      </x:c>
      <x:c r="P341" s="0">
        <x:f>""</x:f>
      </x:c>
      <x:c r="Q341" s="0">
        <x:f>""</x:f>
      </x:c>
      <x:c r="R341" s="0">
        <x:f>""</x:f>
      </x:c>
      <x:c r="S341" s="0">
        <x:f>""</x:f>
      </x:c>
      <x:c r="T341" s="0">
        <x:f>""</x:f>
      </x:c>
      <x:c r="W341" s="0">
        <x:f>""</x:f>
      </x:c>
    </x:row>
    <x:row r="342" spans="1:23" ht="75" customHeight="1" x14ac:dyDescent="0.25">
      <x:c r="A342" s="1">
        <x:f>ROW(A342)-1</x:f>
      </x:c>
      <x:c r="B342" s="10">
        <x:v>785</x:v>
      </x:c>
      <x:c r="D342" s="10" t="s">
        <x:v>1246</x:v>
      </x:c>
      <x:c r="H342" s="10" t="s">
        <x:v>1247</x:v>
      </x:c>
      <x:c r="I342" s="23"/>
      <x:c r="J342" s="10">
        <x:v>3820</x:v>
      </x:c>
      <x:c r="K342" s="1" t="s">
        <x:v>394</x:v>
      </x:c>
      <x:c r="L342" s="0" t="s">
        <x:v>1248</x:v>
      </x:c>
      <x:c r="M342" s="0">
        <x:v>2</x:v>
      </x:c>
      <x:c r="N342" s="0">
        <x:f>""</x:f>
      </x:c>
      <x:c r="O342" s="0">
        <x:f>""</x:f>
      </x:c>
      <x:c r="P342" s="0">
        <x:f>""</x:f>
      </x:c>
      <x:c r="Q342" s="0">
        <x:f>""</x:f>
      </x:c>
      <x:c r="R342" s="0">
        <x:f>""</x:f>
      </x:c>
      <x:c r="S342" s="0">
        <x:f>""</x:f>
      </x:c>
      <x:c r="T342" s="0">
        <x:f>""</x:f>
      </x:c>
      <x:c r="W342" s="0">
        <x:f>""</x:f>
      </x:c>
    </x:row>
    <x:row r="343" spans="1:23" ht="75" customHeight="1" x14ac:dyDescent="0.25">
      <x:c r="A343" s="1">
        <x:f>ROW(A343)-1</x:f>
      </x:c>
      <x:c r="B343" s="10">
        <x:v>784</x:v>
      </x:c>
      <x:c r="D343" s="10" t="s">
        <x:v>863</x:v>
      </x:c>
      <x:c r="H343" s="10" t="s">
        <x:v>1249</x:v>
      </x:c>
      <x:c r="I343" s="23"/>
      <x:c r="J343" s="10">
        <x:v>3830</x:v>
      </x:c>
      <x:c r="K343" s="1" t="s">
        <x:v>297</x:v>
      </x:c>
      <x:c r="L343" s="0" t="s">
        <x:v>338</x:v>
      </x:c>
      <x:c r="M343" s="0">
        <x:v>9</x:v>
      </x:c>
      <x:c r="N343" s="0">
        <x:f>""</x:f>
      </x:c>
      <x:c r="O343" s="0">
        <x:f>""</x:f>
      </x:c>
      <x:c r="P343" s="0">
        <x:f>""</x:f>
      </x:c>
      <x:c r="Q343" s="0">
        <x:f>""</x:f>
      </x:c>
      <x:c r="R343" s="0">
        <x:f>""</x:f>
      </x:c>
      <x:c r="S343" s="0">
        <x:f>""</x:f>
      </x:c>
      <x:c r="T343" s="0">
        <x:f>""</x:f>
      </x:c>
      <x:c r="W343" s="0">
        <x:f>""</x:f>
      </x:c>
    </x:row>
    <x:row r="344" spans="1:23" ht="75" customHeight="1" x14ac:dyDescent="0.25">
      <x:c r="A344" s="1">
        <x:f>ROW(A344)-1</x:f>
      </x:c>
      <x:c r="B344" s="10">
        <x:v>783</x:v>
      </x:c>
      <x:c r="D344" s="10" t="s">
        <x:v>863</x:v>
      </x:c>
      <x:c r="H344" s="10" t="s">
        <x:v>1250</x:v>
      </x:c>
      <x:c r="I344" s="23"/>
      <x:c r="J344" s="10">
        <x:v>3830</x:v>
      </x:c>
      <x:c r="K344" s="1" t="s">
        <x:v>1251</x:v>
      </x:c>
      <x:c r="L344" s="0" t="s">
        <x:v>338</x:v>
      </x:c>
      <x:c r="M344" s="0">
        <x:v>9</x:v>
      </x:c>
      <x:c r="N344" s="0">
        <x:f>""</x:f>
      </x:c>
      <x:c r="O344" s="0">
        <x:f>""</x:f>
      </x:c>
      <x:c r="P344" s="0">
        <x:f>""</x:f>
      </x:c>
      <x:c r="Q344" s="0">
        <x:f>""</x:f>
      </x:c>
      <x:c r="R344" s="0">
        <x:f>""</x:f>
      </x:c>
      <x:c r="S344" s="0">
        <x:f>""</x:f>
      </x:c>
      <x:c r="T344" s="0">
        <x:f>""</x:f>
      </x:c>
      <x:c r="W344" s="0">
        <x:f>""</x:f>
      </x:c>
    </x:row>
    <x:row r="345" spans="1:23" ht="60" customHeight="1" x14ac:dyDescent="0.25">
      <x:c r="A345" s="1">
        <x:f>ROW(A345)-1</x:f>
      </x:c>
      <x:c r="B345" s="10">
        <x:v>781</x:v>
      </x:c>
      <x:c r="D345" s="10" t="s">
        <x:v>1252</x:v>
      </x:c>
      <x:c r="H345" s="10" t="s">
        <x:v>1253</x:v>
      </x:c>
      <x:c r="I345" s="23"/>
      <x:c r="J345" s="10">
        <x:v>3910</x:v>
      </x:c>
      <x:c r="K345" s="1" t="s">
        <x:v>50</x:v>
      </x:c>
      <x:c r="L345" s="0" t="s">
        <x:v>1174</x:v>
      </x:c>
      <x:c r="M345" s="0">
        <x:v>1</x:v>
      </x:c>
      <x:c r="N345" s="0">
        <x:f>""</x:f>
      </x:c>
      <x:c r="O345" s="0">
        <x:f>""</x:f>
      </x:c>
      <x:c r="P345" s="0">
        <x:f>""</x:f>
      </x:c>
      <x:c r="Q345" s="0">
        <x:f>""</x:f>
      </x:c>
      <x:c r="R345" s="0">
        <x:f>""</x:f>
      </x:c>
      <x:c r="S345" s="0">
        <x:f>""</x:f>
      </x:c>
      <x:c r="T345" s="0">
        <x:f>""</x:f>
      </x:c>
      <x:c r="W345" s="0">
        <x:f>""</x:f>
      </x:c>
    </x:row>
    <x:row r="346" spans="1:23" ht="45" customHeight="1" x14ac:dyDescent="0.25">
      <x:c r="A346" s="1">
        <x:f>ROW(A346)-1</x:f>
      </x:c>
      <x:c r="B346" s="10">
        <x:v>780</x:v>
      </x:c>
      <x:c r="D346" s="10" t="s">
        <x:v>1254</x:v>
      </x:c>
      <x:c r="H346" s="10" t="s">
        <x:v>1255</x:v>
      </x:c>
      <x:c r="I346" s="23"/>
      <x:c r="J346" s="10">
        <x:v>3100</x:v>
      </x:c>
      <x:c r="K346" s="1" t="s">
        <x:v>861</x:v>
      </x:c>
      <x:c r="L346" s="0" t="s">
        <x:v>1256</x:v>
      </x:c>
      <x:c r="M346" s="0">
        <x:v>5</x:v>
      </x:c>
      <x:c r="N346" s="0">
        <x:f>""</x:f>
      </x:c>
      <x:c r="O346" s="0">
        <x:f>""</x:f>
      </x:c>
      <x:c r="P346" s="0">
        <x:f>""</x:f>
      </x:c>
      <x:c r="Q346" s="0">
        <x:f>""</x:f>
      </x:c>
      <x:c r="R346" s="0">
        <x:f>""</x:f>
      </x:c>
      <x:c r="S346" s="0">
        <x:f>""</x:f>
      </x:c>
      <x:c r="T346" s="0">
        <x:f>""</x:f>
      </x:c>
      <x:c r="W346" s="0">
        <x:f>""</x:f>
      </x:c>
    </x:row>
    <x:row r="347" spans="1:23" ht="60" customHeight="1" x14ac:dyDescent="0.25">
      <x:c r="A347" s="1">
        <x:f>ROW(A347)-1</x:f>
      </x:c>
      <x:c r="B347" s="10">
        <x:v>778</x:v>
      </x:c>
      <x:c r="D347" s="10" t="s">
        <x:v>1257</x:v>
      </x:c>
      <x:c r="H347" s="10" t="s">
        <x:v>1258</x:v>
      </x:c>
      <x:c r="I347" s="23"/>
      <x:c r="J347" s="10">
        <x:v>3830</x:v>
      </x:c>
      <x:c r="K347" s="1" t="s">
        <x:v>297</x:v>
      </x:c>
      <x:c r="L347" s="0" t="s">
        <x:v>1259</x:v>
      </x:c>
      <x:c r="M347" s="0">
        <x:v>2</x:v>
      </x:c>
      <x:c r="N347" s="0">
        <x:f>""</x:f>
      </x:c>
      <x:c r="O347" s="0">
        <x:f>""</x:f>
      </x:c>
      <x:c r="P347" s="0">
        <x:f>""</x:f>
      </x:c>
      <x:c r="Q347" s="0">
        <x:f>""</x:f>
      </x:c>
      <x:c r="R347" s="0">
        <x:f>""</x:f>
      </x:c>
      <x:c r="S347" s="0">
        <x:f>""</x:f>
      </x:c>
      <x:c r="T347" s="0">
        <x:f>""</x:f>
      </x:c>
      <x:c r="W347" s="0">
        <x:f>""</x:f>
      </x:c>
    </x:row>
    <x:row r="348" spans="1:23" ht="30" customHeight="1" x14ac:dyDescent="0.25">
      <x:c r="A348" s="1">
        <x:f>ROW(A348)-1</x:f>
      </x:c>
      <x:c r="B348" s="10">
        <x:v>775</x:v>
      </x:c>
      <x:c r="H348" s="10" t="s">
        <x:v>1260</x:v>
      </x:c>
      <x:c r="I348" s="23"/>
      <x:c r="J348" s="10">
        <x:v>3843</x:v>
      </x:c>
      <x:c r="K348" s="1" t="s">
        <x:v>364</x:v>
      </x:c>
      <x:c r="L348" s="0" t="s">
        <x:v>979</x:v>
      </x:c>
      <x:c r="M348" s="0">
        <x:v>5</x:v>
      </x:c>
      <x:c r="N348" s="0">
        <x:f>""</x:f>
      </x:c>
      <x:c r="O348" s="0">
        <x:f>""</x:f>
      </x:c>
      <x:c r="P348" s="0">
        <x:f>""</x:f>
      </x:c>
      <x:c r="Q348" s="0">
        <x:f>""</x:f>
      </x:c>
      <x:c r="R348" s="0">
        <x:f>""</x:f>
      </x:c>
      <x:c r="S348" s="0">
        <x:f>""</x:f>
      </x:c>
      <x:c r="T348" s="0">
        <x:f>""</x:f>
      </x:c>
      <x:c r="W348" s="0">
        <x:f>""</x:f>
      </x:c>
    </x:row>
    <x:row r="349" spans="1:23" ht="60" customHeight="1" x14ac:dyDescent="0.25">
      <x:c r="A349" s="1">
        <x:f>ROW(A349)-1</x:f>
      </x:c>
      <x:c r="B349" s="10">
        <x:v>773</x:v>
      </x:c>
      <x:c r="D349" s="10" t="s">
        <x:v>1261</x:v>
      </x:c>
      <x:c r="F349" s="1" t="s">
        <x:v>1262</x:v>
      </x:c>
      <x:c r="G349" s="1" t="s">
        <x:v>1263</x:v>
      </x:c>
      <x:c r="H349" s="10" t="s">
        <x:v>1264</x:v>
      </x:c>
      <x:c r="I349" s="23"/>
      <x:c r="J349" s="10">
        <x:v>3744</x:v>
      </x:c>
      <x:c r="K349" s="1" t="s">
        <x:v>1265</x:v>
      </x:c>
      <x:c r="L349" s="0" t="s">
        <x:v>1266</x:v>
      </x:c>
      <x:c r="M349" s="0">
        <x:v>115</x:v>
      </x:c>
      <x:c r="N349" s="0">
        <x:f>""</x:f>
      </x:c>
      <x:c r="O349" s="0">
        <x:f>""</x:f>
      </x:c>
      <x:c r="P349" s="0">
        <x:f>""</x:f>
      </x:c>
      <x:c r="Q349" s="0">
        <x:f>""</x:f>
      </x:c>
      <x:c r="R349" s="0">
        <x:f>""</x:f>
      </x:c>
      <x:c r="S349" s="0">
        <x:f>""</x:f>
      </x:c>
      <x:c r="T349" s="0">
        <x:f>""</x:f>
      </x:c>
      <x:c r="W349" s="0">
        <x:f>""</x:f>
      </x:c>
    </x:row>
    <x:row r="350" spans="1:23" ht="90" customHeight="1" x14ac:dyDescent="0.25">
      <x:c r="A350" s="1">
        <x:f>ROW(A350)-1</x:f>
      </x:c>
      <x:c r="B350" s="10">
        <x:v>772</x:v>
      </x:c>
      <x:c r="D350" s="10" t="s">
        <x:v>1267</x:v>
      </x:c>
      <x:c r="H350" s="10" t="s">
        <x:v>1268</x:v>
      </x:c>
      <x:c r="I350" s="23"/>
      <x:c r="J350" s="10">
        <x:v>3843</x:v>
      </x:c>
      <x:c r="K350" s="1" t="s">
        <x:v>364</x:v>
      </x:c>
      <x:c r="L350" s="0" t="s">
        <x:v>979</x:v>
      </x:c>
      <x:c r="M350" s="0">
        <x:v>5</x:v>
      </x:c>
      <x:c r="N350" s="0">
        <x:f>""</x:f>
      </x:c>
      <x:c r="O350" s="0">
        <x:f>""</x:f>
      </x:c>
      <x:c r="P350" s="0">
        <x:f>""</x:f>
      </x:c>
      <x:c r="Q350" s="0">
        <x:f>""</x:f>
      </x:c>
      <x:c r="R350" s="0">
        <x:f>""</x:f>
      </x:c>
      <x:c r="S350" s="0">
        <x:f>""</x:f>
      </x:c>
      <x:c r="T350" s="0">
        <x:f>""</x:f>
      </x:c>
      <x:c r="W350" s="0">
        <x:f>""</x:f>
      </x:c>
    </x:row>
    <x:row r="351" spans="1:23" ht="75" customHeight="1" x14ac:dyDescent="0.25">
      <x:c r="A351" s="1">
        <x:f>ROW(A351)-1</x:f>
      </x:c>
      <x:c r="B351" s="10">
        <x:v>769</x:v>
      </x:c>
      <x:c r="D351" s="10" t="s">
        <x:v>1269</x:v>
      </x:c>
      <x:c r="F351" s="1" t="s">
        <x:v>673</x:v>
      </x:c>
      <x:c r="G351" s="1" t="s">
        <x:v>1270</x:v>
      </x:c>
      <x:c r="H351" s="10">
        <x:v>0</x:v>
      </x:c>
      <x:c r="I351" s="23"/>
      <x:c r="J351" s="10">
        <x:v>3580</x:v>
      </x:c>
      <x:c r="K351" s="1" t="s">
        <x:v>329</x:v>
      </x:c>
      <x:c r="L351" s="0" t="s">
        <x:v>906</x:v>
      </x:c>
      <x:c r="M351" s="0">
        <x:v>4</x:v>
      </x:c>
      <x:c r="N351" s="0">
        <x:f>""</x:f>
      </x:c>
      <x:c r="O351" s="0">
        <x:f>""</x:f>
      </x:c>
      <x:c r="P351" s="0">
        <x:f>""</x:f>
      </x:c>
      <x:c r="Q351" s="0">
        <x:f>""</x:f>
      </x:c>
      <x:c r="R351" s="0">
        <x:f>""</x:f>
      </x:c>
      <x:c r="S351" s="0">
        <x:f>""</x:f>
      </x:c>
      <x:c r="T351" s="0">
        <x:f>""</x:f>
      </x:c>
      <x:c r="W351" s="0">
        <x:f>""</x:f>
      </x:c>
    </x:row>
    <x:row r="352" spans="1:23" ht="60" customHeight="1" x14ac:dyDescent="0.25">
      <x:c r="A352" s="1">
        <x:f>ROW(A352)-1</x:f>
      </x:c>
      <x:c r="B352" s="10">
        <x:v>731</x:v>
      </x:c>
      <x:c r="D352" s="10" t="s">
        <x:v>1271</x:v>
      </x:c>
      <x:c r="H352" s="10" t="s">
        <x:v>1272</x:v>
      </x:c>
      <x:c r="I352" s="23"/>
      <x:c r="J352" s="10">
        <x:v>3830</x:v>
      </x:c>
      <x:c r="K352" s="1" t="s">
        <x:v>297</x:v>
      </x:c>
      <x:c r="L352" s="0" t="s">
        <x:v>1273</x:v>
      </x:c>
      <x:c r="M352" s="0">
        <x:v>5</x:v>
      </x:c>
      <x:c r="N352" s="0">
        <x:f>""</x:f>
      </x:c>
      <x:c r="O352" s="0">
        <x:f>""</x:f>
      </x:c>
      <x:c r="P352" s="0">
        <x:f>""</x:f>
      </x:c>
      <x:c r="Q352" s="0">
        <x:f>""</x:f>
      </x:c>
      <x:c r="R352" s="0">
        <x:f>""</x:f>
      </x:c>
      <x:c r="S352" s="0">
        <x:f>""</x:f>
      </x:c>
      <x:c r="T352" s="0">
        <x:f>""</x:f>
      </x:c>
      <x:c r="W352" s="0">
        <x:f>""</x:f>
      </x:c>
    </x:row>
    <x:row r="353" spans="1:23" ht="60" customHeight="1" x14ac:dyDescent="0.25">
      <x:c r="A353" s="1">
        <x:f>ROW(A353)-1</x:f>
      </x:c>
      <x:c r="B353" s="10">
        <x:v>766</x:v>
      </x:c>
      <x:c r="D353" s="10" t="s">
        <x:v>1274</x:v>
      </x:c>
      <x:c r="H353" s="10" t="s">
        <x:v>1275</x:v>
      </x:c>
      <x:c r="I353" s="23"/>
      <x:c r="J353" s="10">
        <x:v>3842</x:v>
      </x:c>
      <x:c r="K353" s="1" t="s">
        <x:v>490</x:v>
      </x:c>
      <x:c r="L353" s="0" t="s">
        <x:v>75</x:v>
      </x:c>
      <x:c r="M353" s="0">
        <x:v>32</x:v>
      </x:c>
      <x:c r="N353" s="0">
        <x:f>""</x:f>
      </x:c>
      <x:c r="O353" s="0">
        <x:f>""</x:f>
      </x:c>
      <x:c r="P353" s="0">
        <x:f>""</x:f>
      </x:c>
      <x:c r="Q353" s="0">
        <x:f>""</x:f>
      </x:c>
      <x:c r="R353" s="0">
        <x:f>""</x:f>
      </x:c>
      <x:c r="S353" s="0">
        <x:f>""</x:f>
      </x:c>
      <x:c r="T353" s="0">
        <x:f>""</x:f>
      </x:c>
      <x:c r="W353" s="0">
        <x:f>""</x:f>
      </x:c>
    </x:row>
    <x:row r="354" spans="1:23" ht="45" customHeight="1" x14ac:dyDescent="0.25">
      <x:c r="A354" s="1">
        <x:f>ROW(A354)-1</x:f>
      </x:c>
      <x:c r="B354" s="10">
        <x:v>765</x:v>
      </x:c>
      <x:c r="D354" s="10" t="s">
        <x:v>1276</x:v>
      </x:c>
      <x:c r="H354" s="10" t="s">
        <x:v>1277</x:v>
      </x:c>
      <x:c r="I354" s="23"/>
      <x:c r="J354" s="10">
        <x:v>3902</x:v>
      </x:c>
      <x:c r="K354" s="1" t="s">
        <x:v>270</x:v>
      </x:c>
      <x:c r="L354" s="0" t="s">
        <x:v>338</x:v>
      </x:c>
      <x:c r="M354" s="0">
        <x:v>16</x:v>
      </x:c>
      <x:c r="N354" s="0">
        <x:f>""</x:f>
      </x:c>
      <x:c r="O354" s="0">
        <x:f>""</x:f>
      </x:c>
      <x:c r="P354" s="0">
        <x:f>""</x:f>
      </x:c>
      <x:c r="Q354" s="0">
        <x:f>""</x:f>
      </x:c>
      <x:c r="R354" s="0">
        <x:f>""</x:f>
      </x:c>
      <x:c r="S354" s="0">
        <x:f>""</x:f>
      </x:c>
      <x:c r="T354" s="0">
        <x:f>""</x:f>
      </x:c>
      <x:c r="W354" s="0">
        <x:f>""</x:f>
      </x:c>
    </x:row>
    <x:row r="355" spans="1:23" ht="45" customHeight="1" x14ac:dyDescent="0.25">
      <x:c r="A355" s="1">
        <x:f>ROW(A355)-1</x:f>
      </x:c>
      <x:c r="B355" s="10">
        <x:v>763</x:v>
      </x:c>
      <x:c r="D355" s="10" t="s">
        <x:v>1278</x:v>
      </x:c>
      <x:c r="H355" s="10" t="s">
        <x:v>1279</x:v>
      </x:c>
      <x:c r="I355" s="23"/>
      <x:c r="J355" s="10">
        <x:v>3822</x:v>
      </x:c>
      <x:c r="K355" s="1" t="s">
        <x:v>791</x:v>
      </x:c>
      <x:c r="L355" s="0" t="s">
        <x:v>75</x:v>
      </x:c>
      <x:c r="M355" s="0">
        <x:v>12</x:v>
      </x:c>
      <x:c r="N355" s="0">
        <x:f>""</x:f>
      </x:c>
      <x:c r="O355" s="0">
        <x:f>""</x:f>
      </x:c>
      <x:c r="P355" s="0">
        <x:f>""</x:f>
      </x:c>
      <x:c r="Q355" s="0">
        <x:f>""</x:f>
      </x:c>
      <x:c r="R355" s="0">
        <x:f>""</x:f>
      </x:c>
      <x:c r="S355" s="0">
        <x:f>""</x:f>
      </x:c>
      <x:c r="T355" s="0">
        <x:f>""</x:f>
      </x:c>
      <x:c r="W355" s="0">
        <x:f>""</x:f>
      </x:c>
    </x:row>
    <x:row r="356" spans="1:23" ht="30" customHeight="1" x14ac:dyDescent="0.25">
      <x:c r="A356" s="1">
        <x:f>ROW(A356)-1</x:f>
      </x:c>
      <x:c r="B356" s="10">
        <x:v>760</x:v>
      </x:c>
      <x:c r="D356" s="10" t="s">
        <x:v>1280</x:v>
      </x:c>
      <x:c r="H356" s="10" t="s">
        <x:v>1281</x:v>
      </x:c>
      <x:c r="I356" s="23"/>
      <x:c r="J356" s="10">
        <x:v>3841</x:v>
      </x:c>
      <x:c r="K356" s="1" t="s">
        <x:v>1282</x:v>
      </x:c>
      <x:c r="L356" s="0" t="s">
        <x:v>137</x:v>
      </x:c>
      <x:c r="M356" s="0">
        <x:v>4</x:v>
      </x:c>
      <x:c r="N356" s="0">
        <x:f>""</x:f>
      </x:c>
      <x:c r="O356" s="0">
        <x:f>""</x:f>
      </x:c>
      <x:c r="P356" s="0">
        <x:f>""</x:f>
      </x:c>
      <x:c r="Q356" s="0">
        <x:f>""</x:f>
      </x:c>
      <x:c r="R356" s="0">
        <x:f>""</x:f>
      </x:c>
      <x:c r="S356" s="0">
        <x:f>""</x:f>
      </x:c>
      <x:c r="T356" s="0">
        <x:f>""</x:f>
      </x:c>
      <x:c r="W356" s="0">
        <x:f>""</x:f>
      </x:c>
    </x:row>
    <x:row r="357" spans="1:23" ht="30" customHeight="1" x14ac:dyDescent="0.25">
      <x:c r="A357" s="1">
        <x:f>ROW(A357)-1</x:f>
      </x:c>
      <x:c r="B357" s="10">
        <x:v>758</x:v>
      </x:c>
      <x:c r="D357" s="10" t="s">
        <x:v>1283</x:v>
      </x:c>
      <x:c r="H357" s="10" t="s">
        <x:v>1284</x:v>
      </x:c>
      <x:c r="I357" s="23"/>
      <x:c r="J357" s="10">
        <x:v>3842</x:v>
      </x:c>
      <x:c r="K357" s="1" t="s">
        <x:v>490</x:v>
      </x:c>
      <x:c r="L357" s="0" t="s">
        <x:v>75</x:v>
      </x:c>
      <x:c r="M357" s="0">
        <x:v>10</x:v>
      </x:c>
      <x:c r="N357" s="0">
        <x:f>""</x:f>
      </x:c>
      <x:c r="O357" s="0">
        <x:f>""</x:f>
      </x:c>
      <x:c r="P357" s="0">
        <x:f>""</x:f>
      </x:c>
      <x:c r="Q357" s="0">
        <x:f>""</x:f>
      </x:c>
      <x:c r="R357" s="0">
        <x:f>""</x:f>
      </x:c>
      <x:c r="S357" s="0">
        <x:f>""</x:f>
      </x:c>
      <x:c r="T357" s="0">
        <x:f>""</x:f>
      </x:c>
      <x:c r="W357" s="0">
        <x:f>""</x:f>
      </x:c>
    </x:row>
    <x:row r="358" spans="1:23" ht="60" customHeight="1" x14ac:dyDescent="0.25">
      <x:c r="A358" s="1">
        <x:f>ROW(A358)-1</x:f>
      </x:c>
      <x:c r="B358" s="10">
        <x:v>735</x:v>
      </x:c>
      <x:c r="D358" s="10" t="s">
        <x:v>1285</x:v>
      </x:c>
      <x:c r="F358" s="1" t="s">
        <x:v>1112</x:v>
      </x:c>
      <x:c r="G358" s="1" t="s">
        <x:v>1286</x:v>
      </x:c>
      <x:c r="H358" s="10" t="s">
        <x:v>1287</x:v>
      </x:c>
      <x:c r="I358" s="23"/>
      <x:c r="J358" s="10">
        <x:v>3580</x:v>
      </x:c>
      <x:c r="K358" s="1" t="s">
        <x:v>329</x:v>
      </x:c>
      <x:c r="L358" s="0" t="s">
        <x:v>906</x:v>
      </x:c>
      <x:c r="M358" s="0">
        <x:v>4</x:v>
      </x:c>
      <x:c r="N358" s="0">
        <x:f>""</x:f>
      </x:c>
      <x:c r="O358" s="0">
        <x:f>""</x:f>
      </x:c>
      <x:c r="P358" s="0">
        <x:f>""</x:f>
      </x:c>
      <x:c r="Q358" s="0">
        <x:f>""</x:f>
      </x:c>
      <x:c r="R358" s="0">
        <x:f>""</x:f>
      </x:c>
      <x:c r="S358" s="0">
        <x:f>""</x:f>
      </x:c>
      <x:c r="T358" s="0">
        <x:f>""</x:f>
      </x:c>
      <x:c r="W358" s="0">
        <x:f>""</x:f>
      </x:c>
    </x:row>
    <x:row r="359" spans="1:23" ht="60" customHeight="1" x14ac:dyDescent="0.25">
      <x:c r="A359" s="1">
        <x:f>ROW(A359)-1</x:f>
      </x:c>
      <x:c r="B359" s="10">
        <x:v>737</x:v>
      </x:c>
      <x:c r="D359" s="10" t="s">
        <x:v>1288</x:v>
      </x:c>
      <x:c r="H359" s="10">
        <x:v>0</x:v>
      </x:c>
      <x:c r="I359" s="23"/>
      <x:c r="J359" s="10">
        <x:v>3812</x:v>
      </x:c>
      <x:c r="K359" s="1" t="s">
        <x:v>1289</x:v>
      </x:c>
      <x:c r="L359" s="0" t="s">
        <x:v>1289</x:v>
      </x:c>
      <x:c r="M359" s="0">
        <x:v>34</x:v>
      </x:c>
      <x:c r="N359" s="0">
        <x:f>""</x:f>
      </x:c>
      <x:c r="O359" s="0">
        <x:f>""</x:f>
      </x:c>
      <x:c r="P359" s="0">
        <x:f>""</x:f>
      </x:c>
      <x:c r="Q359" s="0">
        <x:f>""</x:f>
      </x:c>
      <x:c r="R359" s="0">
        <x:f>""</x:f>
      </x:c>
      <x:c r="S359" s="0">
        <x:f>""</x:f>
      </x:c>
      <x:c r="T359" s="0">
        <x:f>""</x:f>
      </x:c>
      <x:c r="W359" s="0">
        <x:f>""</x:f>
      </x:c>
    </x:row>
    <x:row r="360" spans="1:23" ht="75" customHeight="1" x14ac:dyDescent="0.25">
      <x:c r="A360" s="1">
        <x:f>ROW(A360)-1</x:f>
      </x:c>
      <x:c r="B360" s="10">
        <x:v>738</x:v>
      </x:c>
      <x:c r="D360" s="10" t="s">
        <x:v>1290</x:v>
      </x:c>
      <x:c r="H360" s="10">
        <x:v>0</x:v>
      </x:c>
      <x:c r="I360" s="23"/>
      <x:c r="J360" s="10">
        <x:v>3820</x:v>
      </x:c>
      <x:c r="K360" s="1" t="s">
        <x:v>394</x:v>
      </x:c>
      <x:c r="L360" s="0" t="s">
        <x:v>75</x:v>
      </x:c>
      <x:c r="M360" s="0">
        <x:v>25</x:v>
      </x:c>
      <x:c r="N360" s="0">
        <x:f>""</x:f>
      </x:c>
      <x:c r="O360" s="0">
        <x:f>""</x:f>
      </x:c>
      <x:c r="P360" s="0">
        <x:f>""</x:f>
      </x:c>
      <x:c r="Q360" s="0">
        <x:f>""</x:f>
      </x:c>
      <x:c r="R360" s="0">
        <x:f>""</x:f>
      </x:c>
      <x:c r="S360" s="0">
        <x:f>""</x:f>
      </x:c>
      <x:c r="T360" s="0">
        <x:f>""</x:f>
      </x:c>
      <x:c r="W360" s="0">
        <x:f>""</x:f>
      </x:c>
    </x:row>
    <x:row r="361" spans="1:23" ht="75" customHeight="1" x14ac:dyDescent="0.25">
      <x:c r="A361" s="1">
        <x:f>ROW(A361)-1</x:f>
      </x:c>
      <x:c r="B361" s="10">
        <x:v>746</x:v>
      </x:c>
      <x:c r="D361" s="10" t="s">
        <x:v>1291</x:v>
      </x:c>
      <x:c r="H361" s="10">
        <x:v>0</x:v>
      </x:c>
      <x:c r="I361" s="23"/>
      <x:c r="J361" s="10">
        <x:v>3852</x:v>
      </x:c>
      <x:c r="K361" s="1" t="s">
        <x:v>305</x:v>
      </x:c>
      <x:c r="L361" s="0" t="s">
        <x:v>75</x:v>
      </x:c>
      <x:c r="M361" s="0">
        <x:v>19</x:v>
      </x:c>
      <x:c r="N361" s="0">
        <x:f>""</x:f>
      </x:c>
      <x:c r="O361" s="0">
        <x:f>""</x:f>
      </x:c>
      <x:c r="P361" s="0">
        <x:f>""</x:f>
      </x:c>
      <x:c r="Q361" s="0">
        <x:f>""</x:f>
      </x:c>
      <x:c r="R361" s="0">
        <x:f>""</x:f>
      </x:c>
      <x:c r="S361" s="0">
        <x:f>""</x:f>
      </x:c>
      <x:c r="T361" s="0">
        <x:f>""</x:f>
      </x:c>
      <x:c r="W361" s="0">
        <x:f>""</x:f>
      </x:c>
    </x:row>
    <x:row r="362" spans="1:23" x14ac:dyDescent="0.25">
      <x:c r="B362" s="10" t="s">
        <x:v>1292</x:v>
      </x:c>
      <x:c r="D362" s="10" t="s">
        <x:v>1293</x:v>
      </x:c>
      <x:c r="E362" s="10" t="s">
        <x:v>1293</x:v>
      </x:c>
      <x:c r="F362" s="1" t="s">
        <x:v>1293</x:v>
      </x:c>
      <x:c r="G362" s="1" t="s">
        <x:v>1293</x:v>
      </x:c>
      <x:c r="I362" s="23"/>
      <x:c r="N362" s="0">
        <x:f>""</x:f>
      </x:c>
      <x:c r="O362" s="0">
        <x:f>""</x:f>
      </x:c>
      <x:c r="P362" s="0">
        <x:f>""</x:f>
      </x:c>
      <x:c r="Q362" s="0">
        <x:f>""</x:f>
      </x:c>
      <x:c r="R362" s="0">
        <x:f>""</x:f>
      </x:c>
      <x:c r="S362" s="0">
        <x:f>""</x:f>
      </x:c>
      <x:c r="T362" s="0">
        <x:f>""</x:f>
      </x:c>
      <x:c r="W362" s="0">
        <x:f>""</x:f>
      </x:c>
    </x:row>
    <x:row r="363" spans="1:23" x14ac:dyDescent="0.25"/>
    <x:row r="364" spans="1:23" x14ac:dyDescent="0.25"/>
    <x:row r="365" spans="1:23" x14ac:dyDescent="0.25"/>
    <x:row r="366" spans="1:23" x14ac:dyDescent="0.25"/>
    <x:row r="367" spans="1:23" x14ac:dyDescent="0.25"/>
    <x:row r="368" spans="1:23" x14ac:dyDescent="0.25"/>
  </x:sheetData>
  <x:phoneticPr fontId="7" type="noConversion"/>
  <x:conditionalFormatting sqref="E:E">
    <x:cfRule type="duplicateValues" dxfId="0" priority="1"/>
  </x:conditionalFormatting>
  <x:conditionalFormatting sqref="B2:B362">
    <x:cfRule type="duplicateValues" dxfId="0" priority="2"/>
  </x:conditionalFormatting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3FA75CE-CC7A-48BB-9D8C-FE45BEE89A3D}" mc:Ignorable="x14ac xr xr2 xr3">
  <x:sheetPr codeName="Tabelle3">
    <x:outlinePr summaryBelow="1" summaryRight="1"/>
  </x:sheetPr>
  <x:dimension ref="A1:AK868"/>
  <x:sheetViews>
    <x:sheetView tabSelected="1" topLeftCell="A837" workbookViewId="0">
      <x:selection activeCell="A868" sqref="A868"/>
    </x:sheetView>
  </x:sheetViews>
  <x:sheetFormatPr baseColWidth="10" defaultColWidth="11.090625" defaultRowHeight="15" x14ac:dyDescent="0.25"/>
  <x:cols>
    <x:col min="1" max="1" width="11.425781" style="0" customWidth="1"/>
    <x:col min="2" max="3" width="26.425781" style="0" customWidth="1"/>
    <x:col min="4" max="6" width="17.285156" style="0" customWidth="1"/>
    <x:col min="7" max="7" width="10.570312" style="0" bestFit="1" customWidth="1"/>
    <x:col min="8" max="8" width="17.425781" style="0" bestFit="1" customWidth="1"/>
    <x:col min="9" max="9" width="19.285156" style="0" bestFit="1" customWidth="1"/>
    <x:col min="10" max="10" width="15" style="0" bestFit="1" customWidth="1"/>
    <x:col min="11" max="11" width="8.710938" style="0" bestFit="1" customWidth="1"/>
    <x:col min="12" max="12" width="11.855469" style="0" bestFit="1" customWidth="1"/>
    <x:col min="13" max="16" width="19.710938" style="0" customWidth="1"/>
    <x:col min="17" max="17" width="18.285156" style="0" bestFit="1" customWidth="1"/>
    <x:col min="18" max="25" width="13.425781" style="0" customWidth="1"/>
    <x:col min="26" max="26" width="15.710938" style="0" bestFit="1" customWidth="1"/>
    <x:col min="27" max="27" width="10.855469" style="0" bestFit="1" customWidth="1"/>
    <x:col min="28" max="28" width="14.710938" style="0" bestFit="1" customWidth="1"/>
    <x:col min="29" max="29" width="20.140625" style="0" bestFit="1" customWidth="1"/>
    <x:col min="30" max="30" width="25.285156" style="0" bestFit="1" customWidth="1"/>
    <x:col min="31" max="31" width="20.710938" style="0" bestFit="1" customWidth="1"/>
    <x:col min="32" max="32" width="24.710938" style="0" bestFit="1" customWidth="1"/>
    <x:col min="33" max="33" width="23" style="0" bestFit="1" customWidth="1"/>
    <x:col min="34" max="34" width="25.855469" style="0" bestFit="1" customWidth="1"/>
    <x:col min="35" max="35" width="19.285156" style="0" bestFit="1" customWidth="1"/>
    <x:col min="36" max="36" width="30.710938" style="0" bestFit="1" customWidth="1"/>
    <x:col min="37" max="37" width="10.285156" style="0" bestFit="1" customWidth="1"/>
  </x:cols>
  <x:sheetData>
    <x:row r="1" spans="1:37" ht="44.45" customHeight="1" s="1" customFormat="1" x14ac:dyDescent="0.25">
      <x:c r="A1" s="38" t="s">
        <x:v>22</x:v>
      </x:c>
      <x:c r="B1" s="38" t="s">
        <x:v>18</x:v>
      </x:c>
      <x:c r="C1" s="38" t="s">
        <x:v>26</x:v>
      </x:c>
      <x:c r="D1" s="38" t="s">
        <x:v>28</x:v>
      </x:c>
      <x:c r="E1" s="38" t="s">
        <x:v>0</x:v>
      </x:c>
      <x:c r="F1" s="38" t="s">
        <x:v>23</x:v>
      </x:c>
      <x:c r="G1" s="38" t="s">
        <x:v>1294</x:v>
      </x:c>
      <x:c r="H1" s="38" t="s">
        <x:v>24</x:v>
      </x:c>
      <x:c r="I1" s="38" t="s">
        <x:v>31</x:v>
      </x:c>
      <x:c r="J1" s="38" t="s">
        <x:v>21</x:v>
      </x:c>
      <x:c r="K1" s="38" t="s">
        <x:v>32</x:v>
      </x:c>
      <x:c r="L1" s="38" t="s">
        <x:v>1295</x:v>
      </x:c>
      <x:c r="M1" s="38" t="s">
        <x:v>25</x:v>
      </x:c>
      <x:c r="N1" s="38" t="s">
        <x:v>1296</x:v>
      </x:c>
      <x:c r="O1" s="38" t="s">
        <x:v>1297</x:v>
      </x:c>
      <x:c r="P1" s="38" t="s">
        <x:v>1298</x:v>
      </x:c>
      <x:c r="Q1" s="38" t="s">
        <x:v>1299</x:v>
      </x:c>
      <x:c r="R1" s="38" t="s">
        <x:v>1300</x:v>
      </x:c>
      <x:c r="S1" s="38" t="s">
        <x:v>1301</x:v>
      </x:c>
      <x:c r="T1" s="38" t="s">
        <x:v>1302</x:v>
      </x:c>
      <x:c r="U1" s="38" t="s">
        <x:v>1303</x:v>
      </x:c>
      <x:c r="V1" s="38" t="s">
        <x:v>1304</x:v>
      </x:c>
      <x:c r="W1" s="38" t="s">
        <x:v>1305</x:v>
      </x:c>
      <x:c r="X1" s="38" t="s">
        <x:v>1306</x:v>
      </x:c>
      <x:c r="Y1" s="38" t="s">
        <x:v>1307</x:v>
      </x:c>
      <x:c r="Z1" s="38" t="s">
        <x:v>1308</x:v>
      </x:c>
      <x:c r="AA1" s="38" t="s">
        <x:v>1309</x:v>
      </x:c>
      <x:c r="AB1" s="38" t="s">
        <x:v>1310</x:v>
      </x:c>
      <x:c r="AC1" s="38" t="s">
        <x:v>1311</x:v>
      </x:c>
      <x:c r="AD1" s="38" t="s">
        <x:v>1312</x:v>
      </x:c>
      <x:c r="AE1" s="38" t="s">
        <x:v>1313</x:v>
      </x:c>
      <x:c r="AF1" s="38" t="s">
        <x:v>1314</x:v>
      </x:c>
      <x:c r="AG1" s="38" t="s">
        <x:v>1315</x:v>
      </x:c>
      <x:c r="AH1" s="38" t="s">
        <x:v>1316</x:v>
      </x:c>
      <x:c r="AI1" s="38" t="s">
        <x:v>1317</x:v>
      </x:c>
      <x:c r="AJ1" s="38" t="s">
        <x:v>1318</x:v>
      </x:c>
      <x:c r="AK1" s="38" t="s">
        <x:v>42</x:v>
      </x:c>
    </x:row>
    <x:row r="2" spans="1:37" x14ac:dyDescent="0.25">
      <x:c r="A2" s="0">
        <x:f>ROW(A2)-1</x:f>
      </x:c>
      <x:c r="B2" s="0">
        <x:v>4</x:v>
      </x:c>
      <x:c r="C2" s="0">
        <x:v>836</x:v>
      </x:c>
      <x:c r="D2" s="0" t="s">
        <x:v>44</x:v>
      </x:c>
      <x:c r="E2" s="0" t="s">
        <x:v>45</x:v>
      </x:c>
      <x:c r="F2" s="0" t="s">
        <x:v>1319</x:v>
      </x:c>
      <x:c r="G2" s="0" t="s">
        <x:v>1320</x:v>
      </x:c>
      <x:c r="M2" s="0">
        <x:v>2025</x:v>
      </x:c>
      <x:c r="N2" s="0">
        <x:v>2025</x:v>
      </x:c>
      <x:c r="O2" s="0" t="s">
        <x:v>1321</x:v>
      </x:c>
      <x:c r="S2" s="0">
        <x:v>787</x:v>
      </x:c>
      <x:c r="W2" s="21"/>
      <x:c r="X2" s="0">
        <x:v>16674</x:v>
      </x:c>
      <x:c r="Y2" s="21">
        <x:v>133340</x:v>
      </x:c>
    </x:row>
    <x:row r="3" spans="1:37" x14ac:dyDescent="0.25">
      <x:c r="A3" s="0">
        <x:f>ROW(A3)-1</x:f>
      </x:c>
      <x:c r="B3" s="0">
        <x:v>5</x:v>
      </x:c>
      <x:c r="C3" s="0">
        <x:v>609</x:v>
      </x:c>
      <x:c r="D3" s="0" t="s">
        <x:v>52</x:v>
      </x:c>
      <x:c r="E3" s="0" t="s">
        <x:v>53</x:v>
      </x:c>
      <x:c r="F3" s="0" t="s">
        <x:v>1322</x:v>
      </x:c>
      <x:c r="G3" s="0" t="s">
        <x:v>1320</x:v>
      </x:c>
      <x:c r="H3" s="0" t="s">
        <x:v>1323</x:v>
      </x:c>
      <x:c r="I3" s="0" t="s">
        <x:v>58</x:v>
      </x:c>
      <x:c r="J3" s="0" t="s">
        <x:v>1324</x:v>
      </x:c>
      <x:c r="K3" s="0" t="s">
        <x:v>1325</x:v>
      </x:c>
      <x:c r="M3" s="0">
        <x:v>2016</x:v>
      </x:c>
      <x:c r="N3" s="0">
        <x:v>2023</x:v>
      </x:c>
      <x:c r="O3" s="0" t="s">
        <x:v>1326</x:v>
      </x:c>
      <x:c r="S3" s="0">
        <x:v>5700</x:v>
      </x:c>
      <x:c r="W3" s="21"/>
      <x:c r="X3" s="0">
        <x:v>90000</x:v>
      </x:c>
      <x:c r="AK3" s="0" t="s">
        <x:v>1327</x:v>
      </x:c>
    </x:row>
    <x:row r="4" spans="1:37" x14ac:dyDescent="0.25">
      <x:c r="A4" s="0">
        <x:f>ROW(A4)-1</x:f>
      </x:c>
      <x:c r="B4" s="0">
        <x:v>6</x:v>
      </x:c>
      <x:c r="C4" s="0">
        <x:v>1106</x:v>
      </x:c>
      <x:c r="D4" s="0" t="s">
        <x:v>60</x:v>
      </x:c>
      <x:c r="E4" s="0" t="s">
        <x:v>61</x:v>
      </x:c>
      <x:c r="F4" s="0" t="s">
        <x:v>1328</x:v>
      </x:c>
      <x:c r="G4" s="0" t="s">
        <x:v>1320</x:v>
      </x:c>
      <x:c r="I4" s="0" t="s">
        <x:v>66</x:v>
      </x:c>
      <x:c r="N4" s="0">
        <x:v>2025</x:v>
      </x:c>
      <x:c r="O4" s="0" t="s">
        <x:v>1329</x:v>
      </x:c>
      <x:c r="S4" s="0">
        <x:v>530</x:v>
      </x:c>
      <x:c r="V4" s="0">
        <x:v>18907</x:v>
      </x:c>
      <x:c r="W4" s="21"/>
      <x:c r="X4" s="0">
        <x:v>12500</x:v>
      </x:c>
    </x:row>
    <x:row r="5" spans="1:37" x14ac:dyDescent="0.25">
      <x:c r="A5" s="0">
        <x:f>ROW(A5)-1</x:f>
      </x:c>
      <x:c r="B5" s="0">
        <x:v>7</x:v>
      </x:c>
      <x:c r="C5" s="0">
        <x:v>3148</x:v>
      </x:c>
      <x:c r="D5" s="0" t="s">
        <x:v>68</x:v>
      </x:c>
      <x:c r="E5" s="0" t="s">
        <x:v>69</x:v>
      </x:c>
      <x:c r="F5" s="0" t="s">
        <x:v>1330</x:v>
      </x:c>
      <x:c r="G5" s="0" t="s">
        <x:v>1320</x:v>
      </x:c>
      <x:c r="N5" s="0">
        <x:v>2024</x:v>
      </x:c>
      <x:c r="O5" s="0" t="s">
        <x:v>1331</x:v>
      </x:c>
      <x:c r="W5" s="21"/>
    </x:row>
    <x:row r="6" spans="1:37" x14ac:dyDescent="0.25">
      <x:c r="A6" s="0">
        <x:f>ROW(A6)-1</x:f>
      </x:c>
      <x:c r="B6" s="0">
        <x:v>8</x:v>
      </x:c>
      <x:c r="C6" s="0">
        <x:v>3151</x:v>
      </x:c>
      <x:c r="D6" s="0" t="s">
        <x:v>76</x:v>
      </x:c>
      <x:c r="E6" s="0" t="s">
        <x:v>77</x:v>
      </x:c>
      <x:c r="F6" s="0" t="s">
        <x:v>1332</x:v>
      </x:c>
      <x:c r="G6" s="0" t="s">
        <x:v>1320</x:v>
      </x:c>
      <x:c r="N6" s="0">
        <x:v>2025</x:v>
      </x:c>
      <x:c r="O6" s="0" t="s">
        <x:v>1321</x:v>
      </x:c>
      <x:c r="W6" s="21"/>
      <x:c r="X6" s="0">
        <x:v>232000</x:v>
      </x:c>
    </x:row>
    <x:row r="7" spans="1:37" x14ac:dyDescent="0.25">
      <x:c r="A7" s="0">
        <x:f>ROW(A7)-1</x:f>
      </x:c>
      <x:c r="B7" s="0">
        <x:v>9</x:v>
      </x:c>
      <x:c r="C7" s="0">
        <x:v>1115</x:v>
      </x:c>
      <x:c r="D7" s="0" t="s">
        <x:v>83</x:v>
      </x:c>
      <x:c r="E7" s="0" t="s">
        <x:v>84</x:v>
      </x:c>
      <x:c r="F7" s="0" t="s">
        <x:v>1333</x:v>
      </x:c>
      <x:c r="G7" s="0" t="s">
        <x:v>1320</x:v>
      </x:c>
      <x:c r="N7" s="0">
        <x:v>2024</x:v>
      </x:c>
      <x:c r="W7" s="21"/>
    </x:row>
    <x:row r="8" spans="1:37" x14ac:dyDescent="0.25">
      <x:c r="A8" s="0">
        <x:f>ROW(A8)-1</x:f>
      </x:c>
      <x:c r="B8" s="0">
        <x:v>10</x:v>
      </x:c>
      <x:c r="C8" s="0">
        <x:v>1118</x:v>
      </x:c>
      <x:c r="D8" s="0" t="s">
        <x:v>90</x:v>
      </x:c>
      <x:c r="E8" s="0" t="s">
        <x:v>91</x:v>
      </x:c>
      <x:c r="F8" s="0" t="s">
        <x:v>1334</x:v>
      </x:c>
      <x:c r="G8" s="0" t="s">
        <x:v>1320</x:v>
      </x:c>
      <x:c r="N8" s="0">
        <x:v>2024</x:v>
      </x:c>
      <x:c r="W8" s="21"/>
    </x:row>
    <x:row r="9" spans="1:37" x14ac:dyDescent="0.25">
      <x:c r="A9" s="0">
        <x:f>ROW(A9)-1</x:f>
      </x:c>
      <x:c r="B9" s="0">
        <x:v>11</x:v>
      </x:c>
      <x:c r="C9" s="0">
        <x:v>350</x:v>
      </x:c>
      <x:c r="D9" s="0" t="s">
        <x:v>98</x:v>
      </x:c>
      <x:c r="E9" s="0" t="s">
        <x:v>99</x:v>
      </x:c>
      <x:c r="F9" s="0" t="s">
        <x:v>1335</x:v>
      </x:c>
      <x:c r="G9" s="0" t="s">
        <x:v>1320</x:v>
      </x:c>
      <x:c r="I9" s="0" t="s">
        <x:v>104</x:v>
      </x:c>
      <x:c r="M9" s="0">
        <x:v>1957</x:v>
      </x:c>
      <x:c r="N9" s="0">
        <x:v>2014</x:v>
      </x:c>
      <x:c r="O9" s="0" t="s">
        <x:v>1321</x:v>
      </x:c>
      <x:c r="S9" s="0">
        <x:v>355</x:v>
      </x:c>
      <x:c r="V9" s="0">
        <x:v>48000</x:v>
      </x:c>
      <x:c r="W9" s="21"/>
      <x:c r="X9" s="0">
        <x:v>17800</x:v>
      </x:c>
    </x:row>
    <x:row r="10" spans="1:37" x14ac:dyDescent="0.25">
      <x:c r="A10" s="0">
        <x:f>ROW(A10)-1</x:f>
      </x:c>
      <x:c r="B10" s="0">
        <x:v>12</x:v>
      </x:c>
      <x:c r="C10" s="0">
        <x:v>3156</x:v>
      </x:c>
      <x:c r="D10" s="0" t="s">
        <x:v>106</x:v>
      </x:c>
      <x:c r="E10" s="0" t="s">
        <x:v>107</x:v>
      </x:c>
      <x:c r="F10" s="0" t="s">
        <x:v>1336</x:v>
      </x:c>
      <x:c r="G10" s="0" t="s">
        <x:v>1320</x:v>
      </x:c>
      <x:c r="N10" s="0">
        <x:v>2025</x:v>
      </x:c>
      <x:c r="S10" s="0">
        <x:v>9000</x:v>
      </x:c>
      <x:c r="W10" s="21"/>
    </x:row>
    <x:row r="11" spans="1:37" x14ac:dyDescent="0.25">
      <x:c r="A11" s="0">
        <x:f>ROW(A11)-1</x:f>
      </x:c>
      <x:c r="B11" s="0">
        <x:v>13</x:v>
      </x:c>
      <x:c r="C11" s="0">
        <x:v>1126</x:v>
      </x:c>
      <x:c r="D11" s="0" t="s">
        <x:v>114</x:v>
      </x:c>
      <x:c r="E11" s="0" t="s">
        <x:v>115</x:v>
      </x:c>
      <x:c r="F11" s="0" t="s">
        <x:v>1337</x:v>
      </x:c>
      <x:c r="G11" s="0" t="s">
        <x:v>1320</x:v>
      </x:c>
      <x:c r="N11" s="0">
        <x:v>2024</x:v>
      </x:c>
      <x:c r="W11" s="21"/>
    </x:row>
    <x:row r="12" spans="1:37" x14ac:dyDescent="0.25">
      <x:c r="A12" s="0">
        <x:f>ROW(A12)-1</x:f>
      </x:c>
      <x:c r="B12" s="0">
        <x:v>14</x:v>
      </x:c>
      <x:c r="C12" s="0">
        <x:v>630</x:v>
      </x:c>
      <x:c r="D12" s="0" t="s">
        <x:v>117</x:v>
      </x:c>
      <x:c r="E12" s="0" t="s">
        <x:v>118</x:v>
      </x:c>
      <x:c r="F12" s="0" t="s">
        <x:v>1335</x:v>
      </x:c>
      <x:c r="G12" s="0" t="s">
        <x:v>1320</x:v>
      </x:c>
      <x:c r="H12" s="0" t="s">
        <x:v>1338</x:v>
      </x:c>
      <x:c r="I12" s="0" t="s">
        <x:v>123</x:v>
      </x:c>
      <x:c r="J12" s="0" t="s">
        <x:v>124</x:v>
      </x:c>
      <x:c r="K12" s="0" t="s">
        <x:v>1339</x:v>
      </x:c>
      <x:c r="M12" s="0">
        <x:v>1900</x:v>
      </x:c>
      <x:c r="N12" s="0">
        <x:v>2025</x:v>
      </x:c>
      <x:c r="O12" s="0" t="s">
        <x:v>1321</x:v>
      </x:c>
      <x:c r="S12" s="0">
        <x:v>622</x:v>
      </x:c>
      <x:c r="W12" s="21"/>
      <x:c r="X12" s="0">
        <x:v>33200</x:v>
      </x:c>
    </x:row>
    <x:row r="13" spans="1:37" x14ac:dyDescent="0.25">
      <x:c r="A13" s="0">
        <x:f>ROW(A13)-1</x:f>
      </x:c>
      <x:c r="B13" s="0">
        <x:v>15</x:v>
      </x:c>
      <x:c r="C13" s="0">
        <x:v>1131</x:v>
      </x:c>
      <x:c r="D13" s="0" t="s">
        <x:v>114</x:v>
      </x:c>
      <x:c r="E13" s="0" t="s">
        <x:v>125</x:v>
      </x:c>
      <x:c r="F13" s="0" t="s">
        <x:v>1340</x:v>
      </x:c>
      <x:c r="G13" s="0" t="s">
        <x:v>1320</x:v>
      </x:c>
      <x:c r="N13" s="0">
        <x:v>2025</x:v>
      </x:c>
      <x:c r="W13" s="21"/>
    </x:row>
    <x:row r="14" spans="1:37" x14ac:dyDescent="0.25">
      <x:c r="A14" s="0">
        <x:f>ROW(A14)-1</x:f>
      </x:c>
      <x:c r="B14" s="0">
        <x:v>16</x:v>
      </x:c>
      <x:c r="C14" s="0">
        <x:v>3117</x:v>
      </x:c>
      <x:c r="D14" s="0" t="s">
        <x:v>132</x:v>
      </x:c>
      <x:c r="E14" s="0" t="s">
        <x:v>133</x:v>
      </x:c>
      <x:c r="F14" s="0" t="s">
        <x:v>1341</x:v>
      </x:c>
      <x:c r="G14" s="0" t="s">
        <x:v>1320</x:v>
      </x:c>
      <x:c r="I14" s="0" t="s">
        <x:v>136</x:v>
      </x:c>
      <x:c r="N14" s="0">
        <x:v>2022</x:v>
      </x:c>
      <x:c r="O14" s="0" t="s">
        <x:v>1342</x:v>
      </x:c>
      <x:c r="S14" s="0">
        <x:v>832</x:v>
      </x:c>
      <x:c r="W14" s="21"/>
      <x:c r="X14" s="0">
        <x:v>17645</x:v>
      </x:c>
    </x:row>
    <x:row r="15" spans="1:37" x14ac:dyDescent="0.25">
      <x:c r="A15" s="0">
        <x:f>ROW(A15)-1</x:f>
      </x:c>
      <x:c r="B15" s="0">
        <x:v>17</x:v>
      </x:c>
      <x:c r="C15" s="0">
        <x:v>3169</x:v>
      </x:c>
      <x:c r="D15" s="0" t="s">
        <x:v>138</x:v>
      </x:c>
      <x:c r="E15" s="0" t="s">
        <x:v>139</x:v>
      </x:c>
      <x:c r="F15" s="0" t="s">
        <x:v>1343</x:v>
      </x:c>
      <x:c r="G15" s="0" t="s">
        <x:v>1320</x:v>
      </x:c>
      <x:c r="H15" s="0" t="s">
        <x:v>1323</x:v>
      </x:c>
      <x:c r="I15" s="0" t="s">
        <x:v>143</x:v>
      </x:c>
      <x:c r="J15" s="0" t="s">
        <x:v>662</x:v>
      </x:c>
      <x:c r="K15" s="0" t="s">
        <x:v>1344</x:v>
      </x:c>
      <x:c r="M15" s="0">
        <x:v>1994</x:v>
      </x:c>
      <x:c r="N15" s="0">
        <x:v>2025</x:v>
      </x:c>
      <x:c r="O15" s="0" t="s">
        <x:v>1345</x:v>
      </x:c>
      <x:c r="W15" s="21"/>
    </x:row>
    <x:row r="16" spans="1:37" x14ac:dyDescent="0.25">
      <x:c r="A16" s="0">
        <x:f>ROW(A16)-1</x:f>
      </x:c>
      <x:c r="B16" s="0">
        <x:v>18</x:v>
      </x:c>
      <x:c r="C16" s="0">
        <x:v>1128</x:v>
      </x:c>
      <x:c r="D16" s="0" t="s">
        <x:v>144</x:v>
      </x:c>
      <x:c r="E16" s="0" t="s">
        <x:v>145</x:v>
      </x:c>
      <x:c r="F16" s="0" t="s">
        <x:v>1346</x:v>
      </x:c>
      <x:c r="G16" s="0" t="s">
        <x:v>1320</x:v>
      </x:c>
      <x:c r="H16" s="0" t="s">
        <x:v>1347</x:v>
      </x:c>
      <x:c r="I16" s="0" t="s">
        <x:v>150</x:v>
      </x:c>
      <x:c r="J16" s="0" t="s">
        <x:v>1348</x:v>
      </x:c>
      <x:c r="K16" s="0" t="s">
        <x:v>1349</x:v>
      </x:c>
      <x:c r="M16" s="0">
        <x:v>1822</x:v>
      </x:c>
      <x:c r="N16" s="0">
        <x:v>2025</x:v>
      </x:c>
      <x:c r="W16" s="21"/>
    </x:row>
    <x:row r="17" spans="1:37" x14ac:dyDescent="0.25">
      <x:c r="A17" s="0">
        <x:f>ROW(A17)-1</x:f>
      </x:c>
      <x:c r="B17" s="0">
        <x:v>19</x:v>
      </x:c>
      <x:c r="C17" s="0">
        <x:v>3069</x:v>
      </x:c>
      <x:c r="D17" s="0" t="s">
        <x:v>152</x:v>
      </x:c>
      <x:c r="E17" s="0" t="s">
        <x:v>153</x:v>
      </x:c>
      <x:c r="F17" s="0" t="s">
        <x:v>1350</x:v>
      </x:c>
      <x:c r="G17" s="0" t="s">
        <x:v>1320</x:v>
      </x:c>
      <x:c r="H17" s="0" t="s">
        <x:v>1323</x:v>
      </x:c>
      <x:c r="I17" s="0" t="s">
        <x:v>157</x:v>
      </x:c>
      <x:c r="N17" s="0">
        <x:v>2020</x:v>
      </x:c>
      <x:c r="O17" s="0" t="s">
        <x:v>1331</x:v>
      </x:c>
      <x:c r="S17" s="0">
        <x:v>11000</x:v>
      </x:c>
      <x:c r="V17" s="0">
        <x:v>445480</x:v>
      </x:c>
      <x:c r="W17" s="21"/>
      <x:c r="X17" s="0">
        <x:v>1077119</x:v>
      </x:c>
    </x:row>
    <x:row r="18" spans="1:37" x14ac:dyDescent="0.25">
      <x:c r="A18" s="0">
        <x:f>ROW(A18)-1</x:f>
      </x:c>
      <x:c r="B18" s="0">
        <x:v>20</x:v>
      </x:c>
      <x:c r="C18" s="0">
        <x:v>855</x:v>
      </x:c>
      <x:c r="E18" s="0" t="s">
        <x:v>159</x:v>
      </x:c>
      <x:c r="F18" s="0" t="s">
        <x:v>1351</x:v>
      </x:c>
      <x:c r="G18" s="0" t="s">
        <x:v>1320</x:v>
      </x:c>
      <x:c r="H18" s="0" t="s">
        <x:v>1352</x:v>
      </x:c>
      <x:c r="I18" s="0" t="s">
        <x:v>1353</x:v>
      </x:c>
      <x:c r="J18" s="0" t="s">
        <x:v>1354</x:v>
      </x:c>
      <x:c r="K18" s="0" t="s">
        <x:v>1355</x:v>
      </x:c>
      <x:c r="N18" s="0">
        <x:v>2025</x:v>
      </x:c>
      <x:c r="W18" s="21"/>
    </x:row>
    <x:row r="19" spans="1:37" x14ac:dyDescent="0.25">
      <x:c r="A19" s="0">
        <x:f>ROW(A19)-1</x:f>
      </x:c>
      <x:c r="B19" s="0">
        <x:v>21</x:v>
      </x:c>
      <x:c r="C19" s="0">
        <x:v>304</x:v>
      </x:c>
      <x:c r="E19" s="0" t="s">
        <x:v>166</x:v>
      </x:c>
      <x:c r="G19" s="0" t="s">
        <x:v>1320</x:v>
      </x:c>
      <x:c r="I19" s="0" t="s">
        <x:v>50</x:v>
      </x:c>
      <x:c r="N19" s="0">
        <x:v>2011</x:v>
      </x:c>
      <x:c r="W19" s="21"/>
    </x:row>
    <x:row r="20" spans="1:37" x14ac:dyDescent="0.25">
      <x:c r="A20" s="0">
        <x:f>ROW(A20)-1</x:f>
      </x:c>
      <x:c r="B20" s="0">
        <x:v>22</x:v>
      </x:c>
      <x:c r="C20" s="0">
        <x:v>321</x:v>
      </x:c>
      <x:c r="E20" s="0" t="s">
        <x:v>171</x:v>
      </x:c>
      <x:c r="G20" s="0" t="s">
        <x:v>1320</x:v>
      </x:c>
      <x:c r="I20" s="0" t="s">
        <x:v>1356</x:v>
      </x:c>
      <x:c r="N20" s="0">
        <x:v>2008</x:v>
      </x:c>
      <x:c r="W20" s="21"/>
    </x:row>
    <x:row r="21" spans="1:37" x14ac:dyDescent="0.25">
      <x:c r="A21" s="0">
        <x:f>ROW(A21)-1</x:f>
      </x:c>
      <x:c r="B21" s="0">
        <x:v>23</x:v>
      </x:c>
      <x:c r="C21" s="0">
        <x:v>329</x:v>
      </x:c>
      <x:c r="E21" s="0" t="s">
        <x:v>178</x:v>
      </x:c>
      <x:c r="F21" s="0" t="s">
        <x:v>1357</x:v>
      </x:c>
      <x:c r="G21" s="0" t="s">
        <x:v>1320</x:v>
      </x:c>
      <x:c r="I21" s="0" t="s">
        <x:v>183</x:v>
      </x:c>
      <x:c r="N21" s="0">
        <x:v>2011</x:v>
      </x:c>
      <x:c r="W21" s="21"/>
      <x:c r="X21" s="0">
        <x:v>330500</x:v>
      </x:c>
    </x:row>
    <x:row r="22" spans="1:37" x14ac:dyDescent="0.25">
      <x:c r="A22" s="0">
        <x:f>ROW(A22)-1</x:f>
      </x:c>
      <x:c r="B22" s="0">
        <x:v>24</x:v>
      </x:c>
      <x:c r="C22" s="0">
        <x:v>370</x:v>
      </x:c>
      <x:c r="E22" s="0" t="s">
        <x:v>185</x:v>
      </x:c>
      <x:c r="F22" s="0" t="s">
        <x:v>1358</x:v>
      </x:c>
      <x:c r="G22" s="0" t="s">
        <x:v>1320</x:v>
      </x:c>
      <x:c r="I22" s="0" t="s">
        <x:v>190</x:v>
      </x:c>
      <x:c r="N22" s="0">
        <x:v>2009</x:v>
      </x:c>
      <x:c r="W22" s="21"/>
    </x:row>
    <x:row r="23" spans="1:37" x14ac:dyDescent="0.25">
      <x:c r="A23" s="0">
        <x:f>ROW(A23)-1</x:f>
      </x:c>
      <x:c r="B23" s="0">
        <x:v>25</x:v>
      </x:c>
      <x:c r="C23" s="0">
        <x:v>3051</x:v>
      </x:c>
      <x:c r="E23" s="0" t="s">
        <x:v>192</x:v>
      </x:c>
      <x:c r="F23" s="0" t="s">
        <x:v>1358</x:v>
      </x:c>
      <x:c r="G23" s="0" t="s">
        <x:v>1320</x:v>
      </x:c>
      <x:c r="I23" s="0" t="s">
        <x:v>197</x:v>
      </x:c>
      <x:c r="N23" s="0">
        <x:v>2020</x:v>
      </x:c>
      <x:c r="W23" s="21"/>
    </x:row>
    <x:row r="24" spans="1:37" x14ac:dyDescent="0.25">
      <x:c r="A24" s="0">
        <x:f>ROW(A24)-1</x:f>
      </x:c>
      <x:c r="B24" s="0">
        <x:v>26</x:v>
      </x:c>
      <x:c r="D24" s="0" t="s">
        <x:v>198</x:v>
      </x:c>
      <x:c r="F24" s="0" t="s">
        <x:v>1359</x:v>
      </x:c>
      <x:c r="G24" s="0" t="s">
        <x:v>1320</x:v>
      </x:c>
      <x:c r="H24" s="0" t="s">
        <x:v>1360</x:v>
      </x:c>
      <x:c r="I24" s="0" t="s">
        <x:v>1361</x:v>
      </x:c>
      <x:c r="J24" s="0" t="s">
        <x:v>202</x:v>
      </x:c>
      <x:c r="K24" s="0" t="s">
        <x:v>1362</x:v>
      </x:c>
      <x:c r="O24" s="0" t="s">
        <x:v>1342</x:v>
      </x:c>
      <x:c r="S24" s="0">
        <x:v>1820</x:v>
      </x:c>
      <x:c r="W24" s="21"/>
      <x:c r="X24" s="0">
        <x:v>540000</x:v>
      </x:c>
    </x:row>
    <x:row r="25" spans="1:37" x14ac:dyDescent="0.25">
      <x:c r="A25" s="0">
        <x:f>ROW(A25)-1</x:f>
      </x:c>
      <x:c r="B25" s="0">
        <x:v>27</x:v>
      </x:c>
      <x:c r="C25" s="0">
        <x:v>837</x:v>
      </x:c>
      <x:c r="D25" s="0" t="s">
        <x:v>203</x:v>
      </x:c>
      <x:c r="E25" s="0" t="s">
        <x:v>204</x:v>
      </x:c>
      <x:c r="F25" s="0" t="s">
        <x:v>1358</x:v>
      </x:c>
      <x:c r="G25" s="0" t="s">
        <x:v>1320</x:v>
      </x:c>
      <x:c r="I25" s="0" t="s">
        <x:v>208</x:v>
      </x:c>
      <x:c r="J25" s="0" t="s">
        <x:v>209</x:v>
      </x:c>
      <x:c r="N25" s="0">
        <x:v>2022</x:v>
      </x:c>
      <x:c r="S25" s="0">
        <x:v>7000</x:v>
      </x:c>
      <x:c r="W25" s="21"/>
      <x:c r="X25" s="0">
        <x:v>4500000</x:v>
      </x:c>
    </x:row>
    <x:row r="26" spans="1:37" x14ac:dyDescent="0.25">
      <x:c r="A26" s="0">
        <x:f>ROW(A26)-1</x:f>
      </x:c>
      <x:c r="B26" s="0">
        <x:v>28</x:v>
      </x:c>
      <x:c r="C26" s="0">
        <x:v>3124</x:v>
      </x:c>
      <x:c r="D26" s="0" t="s">
        <x:v>210</x:v>
      </x:c>
      <x:c r="E26" s="0" t="s">
        <x:v>211</x:v>
      </x:c>
      <x:c r="F26" s="0" t="s">
        <x:v>1358</x:v>
      </x:c>
      <x:c r="G26" s="0" t="s">
        <x:v>1320</x:v>
      </x:c>
      <x:c r="I26" s="0" t="s">
        <x:v>1361</x:v>
      </x:c>
      <x:c r="N26" s="0">
        <x:v>2023</x:v>
      </x:c>
      <x:c r="S26" s="0">
        <x:v>896</x:v>
      </x:c>
      <x:c r="W26" s="21"/>
      <x:c r="X26" s="0">
        <x:v>18944</x:v>
      </x:c>
    </x:row>
    <x:row r="27" spans="1:37" x14ac:dyDescent="0.25">
      <x:c r="A27" s="0">
        <x:f>ROW(A27)-1</x:f>
      </x:c>
      <x:c r="B27" s="0">
        <x:v>29</x:v>
      </x:c>
      <x:c r="C27" s="0">
        <x:v>3138</x:v>
      </x:c>
      <x:c r="D27" s="0" t="s">
        <x:v>217</x:v>
      </x:c>
      <x:c r="E27" s="0" t="s">
        <x:v>218</x:v>
      </x:c>
      <x:c r="F27" s="0" t="s">
        <x:v>1358</x:v>
      </x:c>
      <x:c r="G27" s="0" t="s">
        <x:v>1320</x:v>
      </x:c>
      <x:c r="I27" s="0" t="s">
        <x:v>1361</x:v>
      </x:c>
      <x:c r="N27" s="0">
        <x:v>2024</x:v>
      </x:c>
      <x:c r="W27" s="21"/>
    </x:row>
    <x:row r="28" spans="1:37" x14ac:dyDescent="0.25">
      <x:c r="A28" s="0">
        <x:f>ROW(A28)-1</x:f>
      </x:c>
      <x:c r="B28" s="0">
        <x:v>30</x:v>
      </x:c>
      <x:c r="C28" s="0">
        <x:v>3145</x:v>
      </x:c>
      <x:c r="D28" s="0" t="s">
        <x:v>224</x:v>
      </x:c>
      <x:c r="E28" s="0" t="s">
        <x:v>225</x:v>
      </x:c>
      <x:c r="F28" s="0" t="s">
        <x:v>1363</x:v>
      </x:c>
      <x:c r="G28" s="0" t="s">
        <x:v>1320</x:v>
      </x:c>
      <x:c r="I28" s="0" t="s">
        <x:v>1361</x:v>
      </x:c>
      <x:c r="N28" s="0">
        <x:v>2024</x:v>
      </x:c>
      <x:c r="O28" s="0" t="s">
        <x:v>1342</x:v>
      </x:c>
      <x:c r="W28" s="21"/>
    </x:row>
    <x:row r="29" spans="1:37" x14ac:dyDescent="0.25">
      <x:c r="A29" s="0">
        <x:f>ROW(A29)-1</x:f>
      </x:c>
      <x:c r="B29" s="0">
        <x:v>31</x:v>
      </x:c>
      <x:c r="C29" s="0">
        <x:v>1132</x:v>
      </x:c>
      <x:c r="E29" s="0" t="s">
        <x:v>231</x:v>
      </x:c>
      <x:c r="G29" s="0" t="s">
        <x:v>1320</x:v>
      </x:c>
      <x:c r="N29" s="0">
        <x:v>2025</x:v>
      </x:c>
      <x:c r="W29" s="21"/>
    </x:row>
    <x:row r="30" spans="1:37" x14ac:dyDescent="0.25">
      <x:c r="A30" s="0">
        <x:f>ROW(A30)-1</x:f>
      </x:c>
      <x:c r="B30" s="0">
        <x:v>32</x:v>
      </x:c>
      <x:c r="C30" s="0">
        <x:v>337</x:v>
      </x:c>
      <x:c r="D30" s="0" t="s">
        <x:v>117</x:v>
      </x:c>
      <x:c r="E30" s="0" t="s">
        <x:v>237</x:v>
      </x:c>
      <x:c r="F30" s="0" t="s">
        <x:v>1364</x:v>
      </x:c>
      <x:c r="G30" s="0" t="s">
        <x:v>1320</x:v>
      </x:c>
      <x:c r="I30" s="0" t="s">
        <x:v>1361</x:v>
      </x:c>
      <x:c r="M30" s="0">
        <x:v>1960</x:v>
      </x:c>
      <x:c r="N30" s="0">
        <x:v>2012</x:v>
      </x:c>
      <x:c r="O30" s="0" t="s">
        <x:v>1342</x:v>
      </x:c>
      <x:c r="S30" s="0">
        <x:v>12000</x:v>
      </x:c>
      <x:c r="T30" s="0">
        <x:v>0</x:v>
      </x:c>
      <x:c r="V30" s="0">
        <x:v>16246770</x:v>
      </x:c>
      <x:c r="W30" s="21">
        <x:v>0</x:v>
      </x:c>
      <x:c r="X30" s="0">
        <x:v>2016000</x:v>
      </x:c>
      <x:c r="Y30" s="21">
        <x:v>0</x:v>
      </x:c>
    </x:row>
    <x:row r="31" spans="1:37" x14ac:dyDescent="0.25">
      <x:c r="A31" s="0">
        <x:f>ROW(A31)-1</x:f>
      </x:c>
      <x:c r="B31" s="0">
        <x:v>33</x:v>
      </x:c>
      <x:c r="C31" s="0">
        <x:v>3021</x:v>
      </x:c>
      <x:c r="D31" s="0" t="s">
        <x:v>239</x:v>
      </x:c>
      <x:c r="E31" s="0" t="s">
        <x:v>240</x:v>
      </x:c>
      <x:c r="F31" s="0" t="s">
        <x:v>1365</x:v>
      </x:c>
      <x:c r="G31" s="0" t="s">
        <x:v>1320</x:v>
      </x:c>
      <x:c r="I31" s="0" t="s">
        <x:v>245</x:v>
      </x:c>
      <x:c r="M31" s="0">
        <x:v>1700</x:v>
      </x:c>
      <x:c r="N31" s="0">
        <x:v>2025</x:v>
      </x:c>
      <x:c r="O31" s="0" t="s">
        <x:v>1329</x:v>
      </x:c>
      <x:c r="S31" s="0">
        <x:v>600</x:v>
      </x:c>
      <x:c r="T31" s="0">
        <x:v>0</x:v>
      </x:c>
      <x:c r="V31" s="0">
        <x:v>50000</x:v>
      </x:c>
      <x:c r="W31" s="21">
        <x:v>0</x:v>
      </x:c>
      <x:c r="X31" s="0">
        <x:v>17000</x:v>
      </x:c>
      <x:c r="Y31" s="21">
        <x:v>0</x:v>
      </x:c>
      <x:c r="AK31" s="0" t="s">
        <x:v>1366</x:v>
      </x:c>
    </x:row>
    <x:row r="32" spans="1:37" x14ac:dyDescent="0.25">
      <x:c r="A32" s="0">
        <x:f>ROW(A32)-1</x:f>
      </x:c>
      <x:c r="B32" s="0">
        <x:v>34</x:v>
      </x:c>
      <x:c r="C32" s="0">
        <x:v>3143</x:v>
      </x:c>
      <x:c r="E32" s="0" t="s">
        <x:v>246</x:v>
      </x:c>
      <x:c r="G32" s="0" t="s">
        <x:v>1320</x:v>
      </x:c>
      <x:c r="M32" s="0">
        <x:v>0</x:v>
      </x:c>
      <x:c r="N32" s="0">
        <x:v>2025</x:v>
      </x:c>
      <x:c r="S32" s="0">
        <x:v>0</x:v>
      </x:c>
      <x:c r="T32" s="0">
        <x:v>0</x:v>
      </x:c>
      <x:c r="V32" s="0">
        <x:v>0</x:v>
      </x:c>
      <x:c r="W32" s="21">
        <x:v>0</x:v>
      </x:c>
      <x:c r="X32" s="0">
        <x:v>0</x:v>
      </x:c>
      <x:c r="Y32" s="21">
        <x:v>0</x:v>
      </x:c>
      <x:c r="AK32" s="0" t="s">
        <x:v>1367</x:v>
      </x:c>
    </x:row>
    <x:row r="33" spans="1:37" x14ac:dyDescent="0.25">
      <x:c r="A33" s="0">
        <x:f>ROW(A33)-1</x:f>
      </x:c>
      <x:c r="B33" s="0">
        <x:v>35</x:v>
      </x:c>
      <x:c r="C33" s="0">
        <x:v>3166</x:v>
      </x:c>
      <x:c r="D33" s="0" t="s">
        <x:v>203</x:v>
      </x:c>
      <x:c r="E33" s="0" t="s">
        <x:v>247</x:v>
      </x:c>
      <x:c r="F33" s="0" t="s">
        <x:v>1365</x:v>
      </x:c>
      <x:c r="G33" s="0" t="s">
        <x:v>1320</x:v>
      </x:c>
      <x:c r="I33" s="0" t="s">
        <x:v>58</x:v>
      </x:c>
      <x:c r="M33" s="0">
        <x:v>1910</x:v>
      </x:c>
      <x:c r="N33" s="0">
        <x:v>2025</x:v>
      </x:c>
      <x:c r="O33" s="0" t="s">
        <x:v>1368</x:v>
      </x:c>
      <x:c r="S33" s="0">
        <x:v>1200</x:v>
      </x:c>
      <x:c r="T33" s="0">
        <x:v>0</x:v>
      </x:c>
      <x:c r="V33" s="0">
        <x:v>0</x:v>
      </x:c>
      <x:c r="W33" s="21">
        <x:v>0</x:v>
      </x:c>
      <x:c r="X33" s="0">
        <x:v>0</x:v>
      </x:c>
      <x:c r="Y33" s="21">
        <x:v>0</x:v>
      </x:c>
    </x:row>
    <x:row r="34" spans="1:37" x14ac:dyDescent="0.25">
      <x:c r="A34" s="0">
        <x:f>ROW(A34)-1</x:f>
      </x:c>
      <x:c r="B34" s="0">
        <x:v>36</x:v>
      </x:c>
      <x:c r="C34" s="0">
        <x:v>737</x:v>
      </x:c>
      <x:c r="E34" s="0" t="s">
        <x:v>252</x:v>
      </x:c>
      <x:c r="G34" s="0" t="s">
        <x:v>1320</x:v>
      </x:c>
      <x:c r="M34" s="0">
        <x:v>0</x:v>
      </x:c>
      <x:c r="N34" s="0">
        <x:v>2021</x:v>
      </x:c>
      <x:c r="S34" s="0">
        <x:v>0</x:v>
      </x:c>
      <x:c r="T34" s="0">
        <x:v>0</x:v>
      </x:c>
      <x:c r="V34" s="0">
        <x:v>0</x:v>
      </x:c>
      <x:c r="W34" s="21">
        <x:v>0</x:v>
      </x:c>
      <x:c r="X34" s="0">
        <x:v>0</x:v>
      </x:c>
      <x:c r="Y34" s="21">
        <x:v>0</x:v>
      </x:c>
    </x:row>
    <x:row r="35" spans="1:37" x14ac:dyDescent="0.25">
      <x:c r="A35" s="0">
        <x:f>ROW(A35)-1</x:f>
      </x:c>
      <x:c r="B35" s="0">
        <x:v>37</x:v>
      </x:c>
      <x:c r="C35" s="0">
        <x:v>851</x:v>
      </x:c>
      <x:c r="E35" s="0" t="s">
        <x:v>253</x:v>
      </x:c>
      <x:c r="G35" s="0" t="s">
        <x:v>1320</x:v>
      </x:c>
      <x:c r="M35" s="0">
        <x:v>0</x:v>
      </x:c>
      <x:c r="N35" s="0">
        <x:v>2023</x:v>
      </x:c>
      <x:c r="S35" s="0">
        <x:v>0</x:v>
      </x:c>
      <x:c r="T35" s="0">
        <x:v>0</x:v>
      </x:c>
      <x:c r="V35" s="0">
        <x:v>0</x:v>
      </x:c>
      <x:c r="W35" s="21">
        <x:v>0</x:v>
      </x:c>
      <x:c r="X35" s="0">
        <x:v>0</x:v>
      </x:c>
      <x:c r="Y35" s="21">
        <x:v>0</x:v>
      </x:c>
    </x:row>
    <x:row r="36" spans="1:37" x14ac:dyDescent="0.25">
      <x:c r="A36" s="0">
        <x:f>ROW(A36)-1</x:f>
      </x:c>
      <x:c r="B36" s="0">
        <x:v>38</x:v>
      </x:c>
      <x:c r="C36" s="0">
        <x:v>856</x:v>
      </x:c>
      <x:c r="E36" s="0" t="s">
        <x:v>255</x:v>
      </x:c>
      <x:c r="G36" s="0" t="s">
        <x:v>1320</x:v>
      </x:c>
      <x:c r="M36" s="0">
        <x:v>0</x:v>
      </x:c>
      <x:c r="N36" s="0">
        <x:v>2025</x:v>
      </x:c>
      <x:c r="S36" s="0">
        <x:v>0</x:v>
      </x:c>
      <x:c r="T36" s="0">
        <x:v>0</x:v>
      </x:c>
      <x:c r="V36" s="0">
        <x:v>0</x:v>
      </x:c>
      <x:c r="W36" s="21">
        <x:v>0</x:v>
      </x:c>
      <x:c r="X36" s="0">
        <x:v>0</x:v>
      </x:c>
      <x:c r="Y36" s="21">
        <x:v>0</x:v>
      </x:c>
    </x:row>
    <x:row r="37" spans="1:37" x14ac:dyDescent="0.25">
      <x:c r="A37" s="0">
        <x:f>ROW(A37)-1</x:f>
      </x:c>
      <x:c r="B37" s="0">
        <x:v>39</x:v>
      </x:c>
      <x:c r="C37" s="0">
        <x:v>774</x:v>
      </x:c>
      <x:c r="D37" s="0" t="s">
        <x:v>256</x:v>
      </x:c>
      <x:c r="E37" s="0" t="s">
        <x:v>257</x:v>
      </x:c>
      <x:c r="G37" s="0" t="s">
        <x:v>1320</x:v>
      </x:c>
      <x:c r="M37" s="0">
        <x:v>0</x:v>
      </x:c>
      <x:c r="N37" s="0">
        <x:v>2025</x:v>
      </x:c>
      <x:c r="S37" s="0">
        <x:v>0</x:v>
      </x:c>
      <x:c r="T37" s="0">
        <x:v>0</x:v>
      </x:c>
      <x:c r="V37" s="0">
        <x:v>0</x:v>
      </x:c>
      <x:c r="W37" s="21">
        <x:v>0</x:v>
      </x:c>
      <x:c r="X37" s="0">
        <x:v>0</x:v>
      </x:c>
      <x:c r="Y37" s="21">
        <x:v>0</x:v>
      </x:c>
      <x:c r="AK37" s="0" t="s">
        <x:v>1369</x:v>
      </x:c>
    </x:row>
    <x:row r="38" spans="1:37" x14ac:dyDescent="0.25">
      <x:c r="A38" s="0">
        <x:f>ROW(A38)-1</x:f>
      </x:c>
      <x:c r="B38" s="0">
        <x:v>40</x:v>
      </x:c>
      <x:c r="C38" s="0">
        <x:v>814</x:v>
      </x:c>
      <x:c r="E38" s="0" t="s">
        <x:v>258</x:v>
      </x:c>
      <x:c r="G38" s="0" t="s">
        <x:v>1320</x:v>
      </x:c>
      <x:c r="M38" s="0">
        <x:v>0</x:v>
      </x:c>
      <x:c r="N38" s="0">
        <x:v>2021</x:v>
      </x:c>
      <x:c r="S38" s="0">
        <x:v>0</x:v>
      </x:c>
      <x:c r="T38" s="0">
        <x:v>0</x:v>
      </x:c>
      <x:c r="V38" s="0">
        <x:v>0</x:v>
      </x:c>
      <x:c r="W38" s="21">
        <x:v>0</x:v>
      </x:c>
      <x:c r="X38" s="0">
        <x:v>0</x:v>
      </x:c>
      <x:c r="Y38" s="21">
        <x:v>0</x:v>
      </x:c>
      <x:c r="AK38" s="0" t="s">
        <x:v>1370</x:v>
      </x:c>
    </x:row>
    <x:row r="39" spans="1:37" x14ac:dyDescent="0.25">
      <x:c r="A39" s="0">
        <x:f>ROW(A39)-1</x:f>
      </x:c>
      <x:c r="B39" s="0">
        <x:v>41</x:v>
      </x:c>
      <x:c r="C39" s="0">
        <x:v>445</x:v>
      </x:c>
      <x:c r="D39" s="0" t="s">
        <x:v>259</x:v>
      </x:c>
      <x:c r="E39" s="0" t="s">
        <x:v>260</x:v>
      </x:c>
      <x:c r="F39" s="0" t="s">
        <x:v>1365</x:v>
      </x:c>
      <x:c r="G39" s="0" t="s">
        <x:v>1320</x:v>
      </x:c>
      <x:c r="M39" s="0">
        <x:v>0</x:v>
      </x:c>
      <x:c r="N39" s="0">
        <x:v>2014</x:v>
      </x:c>
      <x:c r="O39" s="0" t="s">
        <x:v>1342</x:v>
      </x:c>
      <x:c r="S39" s="0">
        <x:v>1180</x:v>
      </x:c>
      <x:c r="T39" s="0">
        <x:v>0</x:v>
      </x:c>
      <x:c r="V39" s="0">
        <x:v>0</x:v>
      </x:c>
      <x:c r="W39" s="21">
        <x:v>0</x:v>
      </x:c>
      <x:c r="X39" s="0">
        <x:v>0</x:v>
      </x:c>
      <x:c r="Y39" s="21">
        <x:v>0</x:v>
      </x:c>
    </x:row>
    <x:row r="40" spans="1:37" x14ac:dyDescent="0.25">
      <x:c r="A40" s="0">
        <x:f>ROW(A40)-1</x:f>
      </x:c>
      <x:c r="B40" s="0">
        <x:v>42</x:v>
      </x:c>
      <x:c r="C40" s="0">
        <x:v>307</x:v>
      </x:c>
      <x:c r="D40" s="0" t="s">
        <x:v>264</x:v>
      </x:c>
      <x:c r="E40" s="0" t="s">
        <x:v>265</x:v>
      </x:c>
      <x:c r="G40" s="0" t="s">
        <x:v>1320</x:v>
      </x:c>
      <x:c r="M40" s="0">
        <x:v>0</x:v>
      </x:c>
      <x:c r="N40" s="0">
        <x:v>2006</x:v>
      </x:c>
      <x:c r="S40" s="0">
        <x:v>0</x:v>
      </x:c>
      <x:c r="T40" s="0">
        <x:v>0</x:v>
      </x:c>
      <x:c r="V40" s="0">
        <x:v>0</x:v>
      </x:c>
      <x:c r="W40" s="21">
        <x:v>0</x:v>
      </x:c>
      <x:c r="X40" s="0">
        <x:v>0</x:v>
      </x:c>
      <x:c r="Y40" s="21">
        <x:v>0</x:v>
      </x:c>
    </x:row>
    <x:row r="41" spans="1:37" x14ac:dyDescent="0.25">
      <x:c r="A41" s="0">
        <x:f>ROW(A41)-1</x:f>
      </x:c>
      <x:c r="B41" s="0">
        <x:v>43</x:v>
      </x:c>
      <x:c r="C41" s="0">
        <x:v>497</x:v>
      </x:c>
      <x:c r="D41" s="0" t="s">
        <x:v>224</x:v>
      </x:c>
      <x:c r="E41" s="0" t="s">
        <x:v>268</x:v>
      </x:c>
      <x:c r="G41" s="0" t="s">
        <x:v>1320</x:v>
      </x:c>
      <x:c r="M41" s="0">
        <x:v>0</x:v>
      </x:c>
      <x:c r="N41" s="0">
        <x:v>2015</x:v>
      </x:c>
      <x:c r="S41" s="0">
        <x:v>0</x:v>
      </x:c>
      <x:c r="T41" s="0">
        <x:v>0</x:v>
      </x:c>
      <x:c r="V41" s="0">
        <x:v>0</x:v>
      </x:c>
      <x:c r="W41" s="21">
        <x:v>0</x:v>
      </x:c>
      <x:c r="X41" s="0">
        <x:v>1200000</x:v>
      </x:c>
      <x:c r="Y41" s="21">
        <x:v>0</x:v>
      </x:c>
    </x:row>
    <x:row r="42" spans="1:37" x14ac:dyDescent="0.25">
      <x:c r="A42" s="0">
        <x:f>ROW(A42)-1</x:f>
      </x:c>
      <x:c r="B42" s="0">
        <x:v>44</x:v>
      </x:c>
      <x:c r="C42" s="0">
        <x:v>479</x:v>
      </x:c>
      <x:c r="D42" s="0" t="s">
        <x:v>272</x:v>
      </x:c>
      <x:c r="E42" s="0" t="s">
        <x:v>273</x:v>
      </x:c>
      <x:c r="F42" s="0" t="s">
        <x:v>1371</x:v>
      </x:c>
      <x:c r="G42" s="0" t="s">
        <x:v>1320</x:v>
      </x:c>
      <x:c r="M42" s="0">
        <x:v>0</x:v>
      </x:c>
      <x:c r="N42" s="0">
        <x:v>2015</x:v>
      </x:c>
      <x:c r="O42" s="0" t="s">
        <x:v>1342</x:v>
      </x:c>
      <x:c r="S42" s="0">
        <x:v>0</x:v>
      </x:c>
      <x:c r="T42" s="0">
        <x:v>0</x:v>
      </x:c>
      <x:c r="V42" s="0">
        <x:v>0</x:v>
      </x:c>
      <x:c r="W42" s="21">
        <x:v>0</x:v>
      </x:c>
      <x:c r="Y42" s="21">
        <x:v>0</x:v>
      </x:c>
    </x:row>
    <x:row r="43" spans="1:37" x14ac:dyDescent="0.25">
      <x:c r="A43" s="0">
        <x:f>ROW(A43)-1</x:f>
      </x:c>
      <x:c r="B43" s="0">
        <x:v>45</x:v>
      </x:c>
      <x:c r="C43" s="0">
        <x:v>567</x:v>
      </x:c>
      <x:c r="D43" s="0" t="s">
        <x:v>277</x:v>
      </x:c>
      <x:c r="E43" s="0" t="s">
        <x:v>278</x:v>
      </x:c>
      <x:c r="F43" s="0" t="s">
        <x:v>1365</x:v>
      </x:c>
      <x:c r="G43" s="0" t="s">
        <x:v>1320</x:v>
      </x:c>
      <x:c r="M43" s="0">
        <x:v>0</x:v>
      </x:c>
      <x:c r="N43" s="0">
        <x:v>2016</x:v>
      </x:c>
      <x:c r="S43" s="0">
        <x:v>750</x:v>
      </x:c>
      <x:c r="T43" s="0">
        <x:v>0</x:v>
      </x:c>
      <x:c r="V43" s="0">
        <x:v>52500</x:v>
      </x:c>
      <x:c r="W43" s="21">
        <x:v>0</x:v>
      </x:c>
      <x:c r="X43" s="0">
        <x:v>40700</x:v>
      </x:c>
      <x:c r="Y43" s="21">
        <x:v>0</x:v>
      </x:c>
    </x:row>
    <x:row r="44" spans="1:37" x14ac:dyDescent="0.25">
      <x:c r="A44" s="0">
        <x:f>ROW(A44)-1</x:f>
      </x:c>
      <x:c r="B44" s="0">
        <x:v>46</x:v>
      </x:c>
      <x:c r="C44" s="0">
        <x:v>562</x:v>
      </x:c>
      <x:c r="D44" s="0" t="s">
        <x:v>285</x:v>
      </x:c>
      <x:c r="E44" s="0" t="s">
        <x:v>286</x:v>
      </x:c>
      <x:c r="F44" s="0" t="s">
        <x:v>1372</x:v>
      </x:c>
      <x:c r="G44" s="0" t="s">
        <x:v>1320</x:v>
      </x:c>
      <x:c r="M44" s="0">
        <x:v>0</x:v>
      </x:c>
      <x:c r="N44" s="0">
        <x:v>2009</x:v>
      </x:c>
      <x:c r="O44" s="0" t="s">
        <x:v>1373</x:v>
      </x:c>
      <x:c r="S44" s="0">
        <x:v>0</x:v>
      </x:c>
      <x:c r="T44" s="0">
        <x:v>0</x:v>
      </x:c>
      <x:c r="V44" s="0">
        <x:v>0</x:v>
      </x:c>
      <x:c r="W44" s="21">
        <x:v>0</x:v>
      </x:c>
      <x:c r="X44" s="0">
        <x:v>0</x:v>
      </x:c>
      <x:c r="Y44" s="21">
        <x:v>0</x:v>
      </x:c>
      <x:c r="AK44" s="0" t="s">
        <x:v>1374</x:v>
      </x:c>
    </x:row>
    <x:row r="45" spans="1:37" x14ac:dyDescent="0.25">
      <x:c r="A45" s="0">
        <x:f>ROW(A45)-1</x:f>
      </x:c>
      <x:c r="B45" s="0">
        <x:v>47</x:v>
      </x:c>
      <x:c r="C45" s="0">
        <x:v>609</x:v>
      </x:c>
      <x:c r="D45" s="0" t="s">
        <x:v>290</x:v>
      </x:c>
      <x:c r="E45" s="0" t="s">
        <x:v>291</x:v>
      </x:c>
      <x:c r="F45" s="0" t="s">
        <x:v>1375</x:v>
      </x:c>
      <x:c r="G45" s="0" t="s">
        <x:v>1320</x:v>
      </x:c>
      <x:c r="M45" s="0">
        <x:v>0</x:v>
      </x:c>
      <x:c r="N45" s="0">
        <x:v>2017</x:v>
      </x:c>
      <x:c r="O45" s="0" t="s">
        <x:v>1321</x:v>
      </x:c>
      <x:c r="P45" s="0" t="s">
        <x:v>1376</x:v>
      </x:c>
      <x:c r="S45" s="0">
        <x:v>0</x:v>
      </x:c>
      <x:c r="T45" s="0">
        <x:v>0</x:v>
      </x:c>
      <x:c r="V45" s="0">
        <x:v>159000</x:v>
      </x:c>
      <x:c r="W45" s="21">
        <x:v>0</x:v>
      </x:c>
      <x:c r="X45" s="0">
        <x:v>8422</x:v>
      </x:c>
      <x:c r="Y45" s="21">
        <x:v>0</x:v>
      </x:c>
    </x:row>
    <x:row r="46" spans="1:37" x14ac:dyDescent="0.25">
      <x:c r="A46" s="0">
        <x:f>ROW(A46)-1</x:f>
      </x:c>
      <x:c r="B46" s="0">
        <x:v>48</x:v>
      </x:c>
      <x:c r="C46" s="0">
        <x:v>481</x:v>
      </x:c>
      <x:c r="D46" s="0" t="s">
        <x:v>292</x:v>
      </x:c>
      <x:c r="E46" s="0" t="s">
        <x:v>293</x:v>
      </x:c>
      <x:c r="F46" s="0" t="s">
        <x:v>1377</x:v>
      </x:c>
      <x:c r="G46" s="0" t="s">
        <x:v>1320</x:v>
      </x:c>
      <x:c r="M46" s="0">
        <x:v>0</x:v>
      </x:c>
      <x:c r="N46" s="0">
        <x:v>2009</x:v>
      </x:c>
      <x:c r="O46" s="0" t="s">
        <x:v>1326</x:v>
      </x:c>
      <x:c r="P46" s="0" t="s">
        <x:v>1378</x:v>
      </x:c>
      <x:c r="T46" s="0">
        <x:v>0</x:v>
      </x:c>
      <x:c r="V46" s="0">
        <x:v>0</x:v>
      </x:c>
      <x:c r="W46" s="21">
        <x:v>0</x:v>
      </x:c>
      <x:c r="X46" s="0">
        <x:v>0</x:v>
      </x:c>
      <x:c r="Y46" s="21">
        <x:v>0</x:v>
      </x:c>
      <x:c r="AK46" s="0" t="s">
        <x:v>1379</x:v>
      </x:c>
    </x:row>
    <x:row r="47" spans="1:37" x14ac:dyDescent="0.25">
      <x:c r="A47" s="0">
        <x:f>ROW(A47)-1</x:f>
      </x:c>
      <x:c r="B47" s="0">
        <x:v>49</x:v>
      </x:c>
      <x:c r="C47" s="0">
        <x:v>363</x:v>
      </x:c>
      <x:c r="D47" s="0" t="s">
        <x:v>295</x:v>
      </x:c>
      <x:c r="E47" s="0" t="s">
        <x:v>296</x:v>
      </x:c>
      <x:c r="G47" s="0" t="s">
        <x:v>1320</x:v>
      </x:c>
      <x:c r="M47" s="0">
        <x:v>0</x:v>
      </x:c>
      <x:c r="N47" s="0">
        <x:v>2006</x:v>
      </x:c>
      <x:c r="S47" s="0">
        <x:v>0</x:v>
      </x:c>
      <x:c r="T47" s="0">
        <x:v>0</x:v>
      </x:c>
      <x:c r="V47" s="0">
        <x:v>0</x:v>
      </x:c>
      <x:c r="W47" s="21">
        <x:v>0</x:v>
      </x:c>
      <x:c r="X47" s="0">
        <x:v>0</x:v>
      </x:c>
      <x:c r="Y47" s="21">
        <x:v>0</x:v>
      </x:c>
    </x:row>
    <x:row r="48" spans="1:37" x14ac:dyDescent="0.25">
      <x:c r="A48" s="0">
        <x:f>ROW(A48)-1</x:f>
      </x:c>
      <x:c r="B48" s="0">
        <x:v>50</x:v>
      </x:c>
      <x:c r="C48" s="0">
        <x:v>303</x:v>
      </x:c>
      <x:c r="D48" s="0" t="s">
        <x:v>299</x:v>
      </x:c>
      <x:c r="E48" s="0" t="s">
        <x:v>300</x:v>
      </x:c>
      <x:c r="F48" s="0" t="s">
        <x:v>1380</x:v>
      </x:c>
      <x:c r="G48" s="0" t="s">
        <x:v>1320</x:v>
      </x:c>
      <x:c r="M48" s="0">
        <x:v>0</x:v>
      </x:c>
      <x:c r="N48" s="0">
        <x:v>2009</x:v>
      </x:c>
      <x:c r="O48" s="0" t="s">
        <x:v>1331</x:v>
      </x:c>
      <x:c r="S48" s="0">
        <x:v>0</x:v>
      </x:c>
      <x:c r="T48" s="0">
        <x:v>0</x:v>
      </x:c>
      <x:c r="V48" s="0">
        <x:v>0</x:v>
      </x:c>
      <x:c r="W48" s="21">
        <x:v>0</x:v>
      </x:c>
      <x:c r="X48" s="0">
        <x:v>0</x:v>
      </x:c>
      <x:c r="Y48" s="21">
        <x:v>0</x:v>
      </x:c>
    </x:row>
    <x:row r="49" spans="1:37" x14ac:dyDescent="0.25">
      <x:c r="A49" s="0">
        <x:f>ROW(A49)-1</x:f>
      </x:c>
      <x:c r="B49" s="0">
        <x:v>51</x:v>
      </x:c>
      <x:c r="C49" s="0">
        <x:v>366</x:v>
      </x:c>
      <x:c r="E49" s="0" t="s">
        <x:v>304</x:v>
      </x:c>
      <x:c r="F49" s="0" t="s">
        <x:v>1365</x:v>
      </x:c>
      <x:c r="G49" s="0" t="s">
        <x:v>1320</x:v>
      </x:c>
      <x:c r="M49" s="0">
        <x:v>0</x:v>
      </x:c>
      <x:c r="N49" s="0">
        <x:v>2009</x:v>
      </x:c>
      <x:c r="S49" s="0">
        <x:v>0</x:v>
      </x:c>
      <x:c r="T49" s="0">
        <x:v>0</x:v>
      </x:c>
      <x:c r="V49" s="0">
        <x:v>164090</x:v>
      </x:c>
      <x:c r="W49" s="21">
        <x:v>0</x:v>
      </x:c>
      <x:c r="X49" s="0">
        <x:v>0</x:v>
      </x:c>
      <x:c r="Y49" s="21">
        <x:v>0</x:v>
      </x:c>
    </x:row>
    <x:row r="50" spans="1:37" x14ac:dyDescent="0.25">
      <x:c r="A50" s="0">
        <x:f>ROW(A50)-1</x:f>
      </x:c>
      <x:c r="B50" s="0">
        <x:v>52</x:v>
      </x:c>
      <x:c r="C50" s="0">
        <x:v>322</x:v>
      </x:c>
      <x:c r="D50" s="0" t="s">
        <x:v>307</x:v>
      </x:c>
      <x:c r="E50" s="0" t="s">
        <x:v>308</x:v>
      </x:c>
      <x:c r="F50" s="0" t="s">
        <x:v>1365</x:v>
      </x:c>
      <x:c r="G50" s="0" t="s">
        <x:v>1320</x:v>
      </x:c>
      <x:c r="M50" s="0">
        <x:v>0</x:v>
      </x:c>
      <x:c r="N50" s="0">
        <x:v>2009</x:v>
      </x:c>
      <x:c r="S50" s="0">
        <x:v>0</x:v>
      </x:c>
      <x:c r="T50" s="0">
        <x:v>0</x:v>
      </x:c>
      <x:c r="V50" s="0">
        <x:v>0</x:v>
      </x:c>
      <x:c r="W50" s="21">
        <x:v>0</x:v>
      </x:c>
      <x:c r="X50" s="0">
        <x:v>0</x:v>
      </x:c>
      <x:c r="Y50" s="21">
        <x:v>0</x:v>
      </x:c>
    </x:row>
    <x:row r="51" spans="1:37" x14ac:dyDescent="0.25">
      <x:c r="A51" s="0">
        <x:f>ROW(A51)-1</x:f>
      </x:c>
      <x:c r="B51" s="0">
        <x:v>53</x:v>
      </x:c>
      <x:c r="C51" s="0">
        <x:v>396</x:v>
      </x:c>
      <x:c r="D51" s="0" t="s">
        <x:v>310</x:v>
      </x:c>
      <x:c r="E51" s="0" t="s">
        <x:v>311</x:v>
      </x:c>
      <x:c r="G51" s="0" t="s">
        <x:v>1320</x:v>
      </x:c>
      <x:c r="M51" s="0">
        <x:v>0</x:v>
      </x:c>
      <x:c r="N51" s="0">
        <x:v>2013</x:v>
      </x:c>
      <x:c r="S51" s="0">
        <x:v>0</x:v>
      </x:c>
      <x:c r="T51" s="0">
        <x:v>0</x:v>
      </x:c>
      <x:c r="V51" s="0">
        <x:v>0</x:v>
      </x:c>
      <x:c r="W51" s="21">
        <x:v>0</x:v>
      </x:c>
      <x:c r="X51" s="0">
        <x:v>0</x:v>
      </x:c>
      <x:c r="Y51" s="21">
        <x:v>0</x:v>
      </x:c>
    </x:row>
    <x:row r="52" spans="1:37" x14ac:dyDescent="0.25">
      <x:c r="A52" s="0">
        <x:f>ROW(A52)-1</x:f>
      </x:c>
      <x:c r="B52" s="0">
        <x:v>54</x:v>
      </x:c>
      <x:c r="C52" s="0">
        <x:v>476</x:v>
      </x:c>
      <x:c r="D52" s="0" t="s">
        <x:v>315</x:v>
      </x:c>
      <x:c r="E52" s="0" t="s">
        <x:v>316</x:v>
      </x:c>
      <x:c r="F52" s="0" t="s">
        <x:v>1319</x:v>
      </x:c>
      <x:c r="G52" s="0" t="s">
        <x:v>1320</x:v>
      </x:c>
      <x:c r="M52" s="0">
        <x:v>0</x:v>
      </x:c>
      <x:c r="N52" s="0">
        <x:v>2015</x:v>
      </x:c>
      <x:c r="O52" s="0" t="s">
        <x:v>1331</x:v>
      </x:c>
      <x:c r="S52" s="0">
        <x:v>0</x:v>
      </x:c>
      <x:c r="T52" s="0">
        <x:v>0</x:v>
      </x:c>
      <x:c r="V52" s="0">
        <x:v>0</x:v>
      </x:c>
      <x:c r="W52" s="21">
        <x:v>0</x:v>
      </x:c>
      <x:c r="X52" s="0">
        <x:v>0</x:v>
      </x:c>
      <x:c r="Y52" s="21">
        <x:v>0</x:v>
      </x:c>
    </x:row>
    <x:row r="53" spans="1:37" x14ac:dyDescent="0.25">
      <x:c r="A53" s="0">
        <x:f>ROW(A53)-1</x:f>
      </x:c>
      <x:c r="B53" s="0">
        <x:v>55</x:v>
      </x:c>
      <x:c r="C53" s="0">
        <x:v>442</x:v>
      </x:c>
      <x:c r="D53" s="0" t="s">
        <x:v>321</x:v>
      </x:c>
      <x:c r="E53" s="0" t="s">
        <x:v>322</x:v>
      </x:c>
      <x:c r="F53" s="0" t="s">
        <x:v>1365</x:v>
      </x:c>
      <x:c r="G53" s="0" t="s">
        <x:v>1320</x:v>
      </x:c>
      <x:c r="M53" s="0">
        <x:v>0</x:v>
      </x:c>
      <x:c r="N53" s="0">
        <x:v>2014</x:v>
      </x:c>
      <x:c r="O53" s="0" t="s">
        <x:v>1342</x:v>
      </x:c>
      <x:c r="S53" s="0">
        <x:v>0</x:v>
      </x:c>
      <x:c r="T53" s="0">
        <x:v>0</x:v>
      </x:c>
      <x:c r="V53" s="0">
        <x:v>0</x:v>
      </x:c>
      <x:c r="W53" s="21">
        <x:v>0</x:v>
      </x:c>
      <x:c r="X53" s="0">
        <x:v>0</x:v>
      </x:c>
      <x:c r="Y53" s="21">
        <x:v>0</x:v>
      </x:c>
    </x:row>
    <x:row r="54" spans="1:37" x14ac:dyDescent="0.25">
      <x:c r="A54" s="0">
        <x:f>ROW(A54)-1</x:f>
      </x:c>
      <x:c r="B54" s="0">
        <x:v>56</x:v>
      </x:c>
      <x:c r="C54" s="0">
        <x:v>487</x:v>
      </x:c>
      <x:c r="D54" s="0" t="s">
        <x:v>324</x:v>
      </x:c>
      <x:c r="E54" s="0" t="s">
        <x:v>325</x:v>
      </x:c>
      <x:c r="F54" s="0" t="s">
        <x:v>1381</x:v>
      </x:c>
      <x:c r="G54" s="0" t="s">
        <x:v>1320</x:v>
      </x:c>
      <x:c r="M54" s="0">
        <x:v>2008</x:v>
      </x:c>
      <x:c r="N54" s="0">
        <x:v>2009</x:v>
      </x:c>
      <x:c r="O54" s="0" t="s">
        <x:v>1342</x:v>
      </x:c>
      <x:c r="S54" s="0">
        <x:v>0</x:v>
      </x:c>
      <x:c r="T54" s="0">
        <x:v>0</x:v>
      </x:c>
      <x:c r="V54" s="0">
        <x:v>0</x:v>
      </x:c>
      <x:c r="W54" s="21">
        <x:v>0</x:v>
      </x:c>
      <x:c r="X54" s="0">
        <x:v>8465000</x:v>
      </x:c>
      <x:c r="Y54" s="21">
        <x:v>0</x:v>
      </x:c>
      <x:c r="AK54" s="0" t="s">
        <x:v>1327</x:v>
      </x:c>
    </x:row>
    <x:row r="55" spans="1:37" x14ac:dyDescent="0.25">
      <x:c r="A55" s="0">
        <x:f>ROW(A55)-1</x:f>
      </x:c>
      <x:c r="B55" s="0">
        <x:v>57</x:v>
      </x:c>
      <x:c r="C55" s="0">
        <x:v>483</x:v>
      </x:c>
      <x:c r="D55" s="0" t="s">
        <x:v>330</x:v>
      </x:c>
      <x:c r="E55" s="0" t="s">
        <x:v>331</x:v>
      </x:c>
      <x:c r="F55" s="0" t="s">
        <x:v>1382</x:v>
      </x:c>
      <x:c r="G55" s="0" t="s">
        <x:v>1320</x:v>
      </x:c>
      <x:c r="M55" s="0">
        <x:v>0</x:v>
      </x:c>
      <x:c r="N55" s="0">
        <x:v>2021</x:v>
      </x:c>
      <x:c r="O55" s="0" t="s">
        <x:v>1331</x:v>
      </x:c>
      <x:c r="S55" s="0">
        <x:v>2127</x:v>
      </x:c>
      <x:c r="T55" s="0">
        <x:v>0</x:v>
      </x:c>
      <x:c r="V55" s="0">
        <x:v>117759</x:v>
      </x:c>
      <x:c r="W55" s="21">
        <x:v>0</x:v>
      </x:c>
      <x:c r="X55" s="0">
        <x:v>20262</x:v>
      </x:c>
      <x:c r="Y55" s="21">
        <x:v>0</x:v>
      </x:c>
    </x:row>
    <x:row r="56" spans="1:37" x14ac:dyDescent="0.25">
      <x:c r="A56" s="0">
        <x:f>ROW(A56)-1</x:f>
      </x:c>
      <x:c r="B56" s="0">
        <x:v>58</x:v>
      </x:c>
      <x:c r="C56" s="0">
        <x:v>433</x:v>
      </x:c>
      <x:c r="D56" s="0" t="s">
        <x:v>336</x:v>
      </x:c>
      <x:c r="E56" s="0" t="s">
        <x:v>337</x:v>
      </x:c>
      <x:c r="F56" s="0" t="s">
        <x:v>1383</x:v>
      </x:c>
      <x:c r="G56" s="0" t="s">
        <x:v>1320</x:v>
      </x:c>
      <x:c r="M56" s="0">
        <x:v>0</x:v>
      </x:c>
      <x:c r="N56" s="0">
        <x:v>2021</x:v>
      </x:c>
      <x:c r="O56" s="0" t="s">
        <x:v>1342</x:v>
      </x:c>
      <x:c r="S56" s="0">
        <x:v>0</x:v>
      </x:c>
      <x:c r="T56" s="0">
        <x:v>0</x:v>
      </x:c>
      <x:c r="V56" s="0">
        <x:v>0</x:v>
      </x:c>
      <x:c r="W56" s="21">
        <x:v>0</x:v>
      </x:c>
      <x:c r="X56" s="0">
        <x:v>2100</x:v>
      </x:c>
      <x:c r="Y56" s="21">
        <x:v>0</x:v>
      </x:c>
    </x:row>
    <x:row r="57" spans="1:37" x14ac:dyDescent="0.25">
      <x:c r="A57" s="0">
        <x:f>ROW(A57)-1</x:f>
      </x:c>
      <x:c r="B57" s="0">
        <x:v>59</x:v>
      </x:c>
      <x:c r="C57" s="0">
        <x:v>600</x:v>
      </x:c>
      <x:c r="D57" s="0" t="s">
        <x:v>117</x:v>
      </x:c>
      <x:c r="E57" s="0" t="s">
        <x:v>339</x:v>
      </x:c>
      <x:c r="F57" s="0" t="s">
        <x:v>1377</x:v>
      </x:c>
      <x:c r="G57" s="0" t="s">
        <x:v>1320</x:v>
      </x:c>
      <x:c r="M57" s="0">
        <x:v>0</x:v>
      </x:c>
      <x:c r="N57" s="0">
        <x:v>2022</x:v>
      </x:c>
      <x:c r="O57" s="0" t="s">
        <x:v>1368</x:v>
      </x:c>
      <x:c r="S57" s="0">
        <x:v>680</x:v>
      </x:c>
      <x:c r="T57" s="0">
        <x:v>0</x:v>
      </x:c>
      <x:c r="V57" s="0">
        <x:v>110230</x:v>
      </x:c>
      <x:c r="W57" s="21">
        <x:v>0</x:v>
      </x:c>
      <x:c r="X57" s="0">
        <x:v>150000</x:v>
      </x:c>
      <x:c r="Y57" s="21">
        <x:v>0</x:v>
      </x:c>
    </x:row>
    <x:row r="58" spans="1:37" x14ac:dyDescent="0.25">
      <x:c r="A58" s="0">
        <x:f>ROW(A58)-1</x:f>
      </x:c>
      <x:c r="B58" s="0">
        <x:v>60</x:v>
      </x:c>
      <x:c r="C58" s="0">
        <x:v>395</x:v>
      </x:c>
      <x:c r="D58" s="0" t="s">
        <x:v>343</x:v>
      </x:c>
      <x:c r="E58" s="0" t="s">
        <x:v>344</x:v>
      </x:c>
      <x:c r="F58" s="0" t="s">
        <x:v>1384</x:v>
      </x:c>
      <x:c r="G58" s="0" t="s">
        <x:v>1320</x:v>
      </x:c>
      <x:c r="M58" s="0">
        <x:v>0</x:v>
      </x:c>
      <x:c r="N58" s="0">
        <x:v>2022</x:v>
      </x:c>
      <x:c r="O58" s="0" t="s">
        <x:v>1331</x:v>
      </x:c>
      <x:c r="S58" s="0">
        <x:v>0</x:v>
      </x:c>
      <x:c r="T58" s="0">
        <x:v>0</x:v>
      </x:c>
      <x:c r="V58" s="0">
        <x:v>35000</x:v>
      </x:c>
      <x:c r="W58" s="21">
        <x:v>0</x:v>
      </x:c>
      <x:c r="X58" s="0">
        <x:v>62000</x:v>
      </x:c>
      <x:c r="Y58" s="21">
        <x:v>0</x:v>
      </x:c>
    </x:row>
    <x:row r="59" spans="1:37" x14ac:dyDescent="0.25">
      <x:c r="A59" s="0">
        <x:f>ROW(A59)-1</x:f>
      </x:c>
      <x:c r="B59" s="0">
        <x:v>61</x:v>
      </x:c>
      <x:c r="C59" s="0">
        <x:v>550</x:v>
      </x:c>
      <x:c r="D59" s="0" t="s">
        <x:v>350</x:v>
      </x:c>
      <x:c r="E59" s="0" t="s">
        <x:v>351</x:v>
      </x:c>
      <x:c r="F59" s="0" t="s">
        <x:v>1385</x:v>
      </x:c>
      <x:c r="G59" s="0" t="s">
        <x:v>1320</x:v>
      </x:c>
      <x:c r="M59" s="0">
        <x:v>0</x:v>
      </x:c>
      <x:c r="N59" s="0">
        <x:v>2022</x:v>
      </x:c>
      <x:c r="O59" s="0" t="s">
        <x:v>1368</x:v>
      </x:c>
      <x:c r="S59" s="0">
        <x:v>400</x:v>
      </x:c>
      <x:c r="T59" s="0">
        <x:v>0</x:v>
      </x:c>
      <x:c r="V59" s="0">
        <x:v>166800</x:v>
      </x:c>
      <x:c r="W59" s="21">
        <x:v>0</x:v>
      </x:c>
      <x:c r="X59" s="0">
        <x:v>66000</x:v>
      </x:c>
      <x:c r="Y59" s="21">
        <x:v>0</x:v>
      </x:c>
    </x:row>
    <x:row r="60" spans="1:37" x14ac:dyDescent="0.25">
      <x:c r="A60" s="0">
        <x:f>ROW(A60)-1</x:f>
      </x:c>
      <x:c r="B60" s="0">
        <x:v>62</x:v>
      </x:c>
      <x:c r="C60" s="0">
        <x:v>348</x:v>
      </x:c>
      <x:c r="D60" s="0" t="s">
        <x:v>117</x:v>
      </x:c>
      <x:c r="E60" s="0" t="s">
        <x:v>355</x:v>
      </x:c>
      <x:c r="F60" s="0" t="s">
        <x:v>1386</x:v>
      </x:c>
      <x:c r="G60" s="0" t="s">
        <x:v>1320</x:v>
      </x:c>
      <x:c r="M60" s="0">
        <x:v>0</x:v>
      </x:c>
      <x:c r="N60" s="0">
        <x:v>2022</x:v>
      </x:c>
      <x:c r="O60" s="0" t="s">
        <x:v>1342</x:v>
      </x:c>
      <x:c r="S60" s="0">
        <x:v>3550</x:v>
      </x:c>
      <x:c r="T60" s="0">
        <x:v>0</x:v>
      </x:c>
      <x:c r="V60" s="0">
        <x:v>82500</x:v>
      </x:c>
      <x:c r="W60" s="21">
        <x:v>0</x:v>
      </x:c>
      <x:c r="X60" s="0">
        <x:v>0</x:v>
      </x:c>
      <x:c r="Y60" s="21">
        <x:v>0</x:v>
      </x:c>
    </x:row>
    <x:row r="61" spans="1:37" x14ac:dyDescent="0.25">
      <x:c r="A61" s="0">
        <x:f>ROW(A61)-1</x:f>
      </x:c>
      <x:c r="B61" s="0">
        <x:v>63</x:v>
      </x:c>
      <x:c r="C61" s="0">
        <x:v>618</x:v>
      </x:c>
      <x:c r="D61" s="0" t="s">
        <x:v>362</x:v>
      </x:c>
      <x:c r="E61" s="0" t="s">
        <x:v>363</x:v>
      </x:c>
      <x:c r="F61" s="0" t="s">
        <x:v>1387</x:v>
      </x:c>
      <x:c r="G61" s="0" t="s">
        <x:v>1320</x:v>
      </x:c>
      <x:c r="M61" s="0">
        <x:v>0</x:v>
      </x:c>
      <x:c r="N61" s="0">
        <x:v>2010</x:v>
      </x:c>
      <x:c r="O61" s="0" t="s">
        <x:v>1342</x:v>
      </x:c>
      <x:c r="S61" s="0">
        <x:v>250</x:v>
      </x:c>
      <x:c r="T61" s="0">
        <x:v>0</x:v>
      </x:c>
      <x:c r="V61" s="0">
        <x:v>0</x:v>
      </x:c>
      <x:c r="W61" s="21">
        <x:v>0</x:v>
      </x:c>
      <x:c r="X61" s="0">
        <x:v>0</x:v>
      </x:c>
      <x:c r="Y61" s="21">
        <x:v>0</x:v>
      </x:c>
      <x:c r="AK61" s="0" t="s">
        <x:v>1388</x:v>
      </x:c>
    </x:row>
    <x:row r="62" spans="1:37" x14ac:dyDescent="0.25">
      <x:c r="A62" s="0">
        <x:f>ROW(A62)-1</x:f>
      </x:c>
      <x:c r="B62" s="0">
        <x:v>64</x:v>
      </x:c>
      <x:c r="C62" s="0">
        <x:v>561</x:v>
      </x:c>
      <x:c r="D62" s="0" t="s">
        <x:v>366</x:v>
      </x:c>
      <x:c r="E62" s="0" t="s">
        <x:v>367</x:v>
      </x:c>
      <x:c r="F62" s="0" t="s">
        <x:v>1389</x:v>
      </x:c>
      <x:c r="G62" s="0" t="s">
        <x:v>1320</x:v>
      </x:c>
      <x:c r="M62" s="0">
        <x:v>0</x:v>
      </x:c>
      <x:c r="N62" s="0">
        <x:v>2022</x:v>
      </x:c>
      <x:c r="O62" s="0" t="s">
        <x:v>1342</x:v>
      </x:c>
      <x:c r="S62" s="0">
        <x:v>900</x:v>
      </x:c>
      <x:c r="T62" s="0">
        <x:v>0</x:v>
      </x:c>
      <x:c r="V62" s="0">
        <x:v>0</x:v>
      </x:c>
      <x:c r="W62" s="21">
        <x:v>0</x:v>
      </x:c>
      <x:c r="X62" s="0">
        <x:v>15741</x:v>
      </x:c>
      <x:c r="Y62" s="21">
        <x:v>0</x:v>
      </x:c>
    </x:row>
    <x:row r="63" spans="1:37" x14ac:dyDescent="0.25">
      <x:c r="A63" s="0">
        <x:f>ROW(A63)-1</x:f>
      </x:c>
      <x:c r="B63" s="0">
        <x:v>65</x:v>
      </x:c>
      <x:c r="C63" s="0">
        <x:v>302</x:v>
      </x:c>
      <x:c r="D63" s="0" t="s">
        <x:v>372</x:v>
      </x:c>
      <x:c r="E63" s="0" t="s">
        <x:v>373</x:v>
      </x:c>
      <x:c r="F63" s="0" t="s">
        <x:v>1390</x:v>
      </x:c>
      <x:c r="G63" s="0" t="s">
        <x:v>1320</x:v>
      </x:c>
      <x:c r="M63" s="0">
        <x:v>0</x:v>
      </x:c>
      <x:c r="N63" s="0">
        <x:v>2010</x:v>
      </x:c>
      <x:c r="O63" s="0" t="s">
        <x:v>1321</x:v>
      </x:c>
      <x:c r="S63" s="0">
        <x:v>0</x:v>
      </x:c>
      <x:c r="T63" s="0">
        <x:v>0</x:v>
      </x:c>
      <x:c r="V63" s="0">
        <x:v>0</x:v>
      </x:c>
      <x:c r="W63" s="21">
        <x:v>0</x:v>
      </x:c>
      <x:c r="X63" s="0">
        <x:v>15000</x:v>
      </x:c>
      <x:c r="Y63" s="21">
        <x:v>0</x:v>
      </x:c>
      <x:c r="AK63" s="0" t="s">
        <x:v>1327</x:v>
      </x:c>
    </x:row>
    <x:row r="64" spans="1:37" x14ac:dyDescent="0.25">
      <x:c r="A64" s="0">
        <x:f>ROW(A64)-1</x:f>
      </x:c>
      <x:c r="B64" s="0">
        <x:v>66</x:v>
      </x:c>
      <x:c r="C64" s="0">
        <x:v>673</x:v>
      </x:c>
      <x:c r="D64" s="0" t="s">
        <x:v>376</x:v>
      </x:c>
      <x:c r="E64" s="0" t="s">
        <x:v>377</x:v>
      </x:c>
      <x:c r="F64" s="0" t="s">
        <x:v>1391</x:v>
      </x:c>
      <x:c r="G64" s="0" t="s">
        <x:v>1320</x:v>
      </x:c>
      <x:c r="M64" s="0">
        <x:v>0</x:v>
      </x:c>
      <x:c r="N64" s="0">
        <x:v>2010</x:v>
      </x:c>
      <x:c r="O64" s="0" t="s">
        <x:v>1321</x:v>
      </x:c>
      <x:c r="P64" s="0" t="s">
        <x:v>1331</x:v>
      </x:c>
      <x:c r="S64" s="0">
        <x:v>0</x:v>
      </x:c>
      <x:c r="T64" s="0">
        <x:v>0</x:v>
      </x:c>
      <x:c r="V64" s="0">
        <x:v>0</x:v>
      </x:c>
      <x:c r="W64" s="21">
        <x:v>0</x:v>
      </x:c>
      <x:c r="X64" s="0">
        <x:v>200000</x:v>
      </x:c>
      <x:c r="Y64" s="21">
        <x:v>0</x:v>
      </x:c>
      <x:c r="AK64" s="0" t="s">
        <x:v>1392</x:v>
      </x:c>
    </x:row>
    <x:row r="65" spans="1:37" x14ac:dyDescent="0.25">
      <x:c r="A65" s="0">
        <x:f>ROW(A65)-1</x:f>
      </x:c>
      <x:c r="B65" s="0">
        <x:v>67</x:v>
      </x:c>
      <x:c r="C65" s="0">
        <x:v>671</x:v>
      </x:c>
      <x:c r="D65" s="0" t="s">
        <x:v>379</x:v>
      </x:c>
      <x:c r="E65" s="0" t="s">
        <x:v>380</x:v>
      </x:c>
      <x:c r="F65" s="0" t="s">
        <x:v>1393</x:v>
      </x:c>
      <x:c r="G65" s="0" t="s">
        <x:v>1320</x:v>
      </x:c>
      <x:c r="M65" s="0">
        <x:v>0</x:v>
      </x:c>
      <x:c r="N65" s="0">
        <x:v>2011</x:v>
      </x:c>
      <x:c r="O65" s="0" t="s">
        <x:v>1368</x:v>
      </x:c>
      <x:c r="S65" s="0">
        <x:v>400</x:v>
      </x:c>
      <x:c r="T65" s="0">
        <x:v>0</x:v>
      </x:c>
      <x:c r="V65" s="0">
        <x:v>65000</x:v>
      </x:c>
      <x:c r="W65" s="21">
        <x:v>0</x:v>
      </x:c>
      <x:c r="X65" s="0">
        <x:v>0</x:v>
      </x:c>
      <x:c r="Y65" s="21">
        <x:v>0</x:v>
      </x:c>
      <x:c r="AK65" s="0" t="s">
        <x:v>1394</x:v>
      </x:c>
    </x:row>
    <x:row r="66" spans="1:37" x14ac:dyDescent="0.25">
      <x:c r="A66" s="0">
        <x:f>ROW(A66)-1</x:f>
      </x:c>
      <x:c r="B66" s="0">
        <x:v>68</x:v>
      </x:c>
      <x:c r="C66" s="0">
        <x:v>666</x:v>
      </x:c>
      <x:c r="D66" s="0" t="s">
        <x:v>382</x:v>
      </x:c>
      <x:c r="E66" s="0" t="s">
        <x:v>383</x:v>
      </x:c>
      <x:c r="F66" s="0" t="s">
        <x:v>1395</x:v>
      </x:c>
      <x:c r="G66" s="0" t="s">
        <x:v>1320</x:v>
      </x:c>
      <x:c r="M66" s="0">
        <x:v>0</x:v>
      </x:c>
      <x:c r="N66" s="0">
        <x:v>2011</x:v>
      </x:c>
      <x:c r="O66" s="0" t="s">
        <x:v>1331</x:v>
      </x:c>
      <x:c r="S66" s="0">
        <x:v>70</x:v>
      </x:c>
      <x:c r="T66" s="0">
        <x:v>0</x:v>
      </x:c>
      <x:c r="V66" s="0">
        <x:v>0</x:v>
      </x:c>
      <x:c r="W66" s="21">
        <x:v>0</x:v>
      </x:c>
      <x:c r="X66" s="0">
        <x:v>0</x:v>
      </x:c>
      <x:c r="Y66" s="21">
        <x:v>0</x:v>
      </x:c>
      <x:c r="AK66" s="0" t="s">
        <x:v>1396</x:v>
      </x:c>
    </x:row>
    <x:row r="67" spans="1:37" x14ac:dyDescent="0.25">
      <x:c r="A67" s="0">
        <x:f>ROW(A67)-1</x:f>
      </x:c>
      <x:c r="B67" s="0">
        <x:v>69</x:v>
      </x:c>
      <x:c r="C67" s="0">
        <x:v>664</x:v>
      </x:c>
      <x:c r="D67" s="0" t="s">
        <x:v>386</x:v>
      </x:c>
      <x:c r="E67" s="0" t="s">
        <x:v>387</x:v>
      </x:c>
      <x:c r="F67" s="0" t="s">
        <x:v>1365</x:v>
      </x:c>
      <x:c r="G67" s="0" t="s">
        <x:v>1320</x:v>
      </x:c>
      <x:c r="M67" s="0">
        <x:v>0</x:v>
      </x:c>
      <x:c r="N67" s="0">
        <x:v>2011</x:v>
      </x:c>
      <x:c r="O67" s="0" t="s">
        <x:v>1321</x:v>
      </x:c>
      <x:c r="S67" s="0">
        <x:v>0</x:v>
      </x:c>
      <x:c r="T67" s="0">
        <x:v>0</x:v>
      </x:c>
      <x:c r="V67" s="0">
        <x:v>0</x:v>
      </x:c>
      <x:c r="W67" s="21">
        <x:v>0</x:v>
      </x:c>
      <x:c r="X67" s="0">
        <x:v>0</x:v>
      </x:c>
      <x:c r="Y67" s="21">
        <x:v>0</x:v>
      </x:c>
      <x:c r="AK67" s="0" t="s">
        <x:v>1397</x:v>
      </x:c>
    </x:row>
    <x:row r="68" spans="1:37" x14ac:dyDescent="0.25">
      <x:c r="A68" s="0">
        <x:f>ROW(A68)-1</x:f>
      </x:c>
      <x:c r="B68" s="0">
        <x:v>70</x:v>
      </x:c>
      <x:c r="C68" s="0">
        <x:v>688</x:v>
      </x:c>
      <x:c r="D68" s="0" t="s">
        <x:v>390</x:v>
      </x:c>
      <x:c r="E68" s="0" t="s">
        <x:v>391</x:v>
      </x:c>
      <x:c r="F68" s="0" t="s">
        <x:v>1387</x:v>
      </x:c>
      <x:c r="G68" s="0" t="s">
        <x:v>1320</x:v>
      </x:c>
      <x:c r="M68" s="0">
        <x:v>0</x:v>
      </x:c>
      <x:c r="N68" s="0">
        <x:v>2011</x:v>
      </x:c>
      <x:c r="O68" s="0" t="s">
        <x:v>1342</x:v>
      </x:c>
      <x:c r="S68" s="0">
        <x:v>0</x:v>
      </x:c>
      <x:c r="T68" s="0">
        <x:v>0</x:v>
      </x:c>
      <x:c r="V68" s="0">
        <x:v>0</x:v>
      </x:c>
      <x:c r="W68" s="21">
        <x:v>0</x:v>
      </x:c>
      <x:c r="X68" s="0">
        <x:v>0</x:v>
      </x:c>
      <x:c r="Y68" s="21">
        <x:v>0</x:v>
      </x:c>
      <x:c r="AK68" s="0" t="s">
        <x:v>1398</x:v>
      </x:c>
    </x:row>
    <x:row r="69" spans="1:37" x14ac:dyDescent="0.25">
      <x:c r="A69" s="0">
        <x:f>ROW(A69)-1</x:f>
      </x:c>
      <x:c r="B69" s="0">
        <x:v>71</x:v>
      </x:c>
      <x:c r="C69" s="0">
        <x:v>624</x:v>
      </x:c>
      <x:c r="D69" s="0" t="s">
        <x:v>396</x:v>
      </x:c>
      <x:c r="E69" s="0" t="s">
        <x:v>397</x:v>
      </x:c>
      <x:c r="F69" s="0" t="s">
        <x:v>1399</x:v>
      </x:c>
      <x:c r="G69" s="0" t="s">
        <x:v>1320</x:v>
      </x:c>
      <x:c r="M69" s="0">
        <x:v>0</x:v>
      </x:c>
      <x:c r="N69" s="0">
        <x:v>2010</x:v>
      </x:c>
      <x:c r="O69" s="0" t="s">
        <x:v>1326</x:v>
      </x:c>
      <x:c r="S69" s="0">
        <x:v>0</x:v>
      </x:c>
      <x:c r="T69" s="0">
        <x:v>0</x:v>
      </x:c>
      <x:c r="V69" s="0">
        <x:v>0</x:v>
      </x:c>
      <x:c r="W69" s="21">
        <x:v>0</x:v>
      </x:c>
      <x:c r="X69" s="0">
        <x:v>0</x:v>
      </x:c>
      <x:c r="Y69" s="21">
        <x:v>0</x:v>
      </x:c>
      <x:c r="AK69" s="0" t="s">
        <x:v>1400</x:v>
      </x:c>
    </x:row>
    <x:row r="70" spans="1:37" x14ac:dyDescent="0.25">
      <x:c r="A70" s="0">
        <x:f>ROW(A70)-1</x:f>
      </x:c>
      <x:c r="B70" s="0">
        <x:v>72</x:v>
      </x:c>
      <x:c r="C70" s="0">
        <x:v>616</x:v>
      </x:c>
      <x:c r="D70" s="0" t="s">
        <x:v>400</x:v>
      </x:c>
      <x:c r="E70" s="0" t="s">
        <x:v>401</x:v>
      </x:c>
      <x:c r="F70" s="0" t="s">
        <x:v>1401</x:v>
      </x:c>
      <x:c r="G70" s="0" t="s">
        <x:v>1320</x:v>
      </x:c>
      <x:c r="M70" s="0">
        <x:v>0</x:v>
      </x:c>
      <x:c r="N70" s="0">
        <x:v>2010</x:v>
      </x:c>
      <x:c r="O70" s="0" t="s">
        <x:v>1321</x:v>
      </x:c>
      <x:c r="S70" s="0">
        <x:v>0</x:v>
      </x:c>
      <x:c r="T70" s="0">
        <x:v>0</x:v>
      </x:c>
      <x:c r="V70" s="0">
        <x:v>0</x:v>
      </x:c>
      <x:c r="W70" s="21">
        <x:v>0</x:v>
      </x:c>
      <x:c r="X70" s="0">
        <x:v>0</x:v>
      </x:c>
      <x:c r="Y70" s="21">
        <x:v>0</x:v>
      </x:c>
      <x:c r="AK70" s="0" t="s">
        <x:v>1402</x:v>
      </x:c>
    </x:row>
    <x:row r="71" spans="1:37" x14ac:dyDescent="0.25">
      <x:c r="A71" s="0">
        <x:f>ROW(A71)-1</x:f>
      </x:c>
      <x:c r="B71" s="0">
        <x:v>73</x:v>
      </x:c>
      <x:c r="C71" s="0">
        <x:v>613</x:v>
      </x:c>
      <x:c r="D71" s="0" t="s">
        <x:v>403</x:v>
      </x:c>
      <x:c r="E71" s="0" t="s">
        <x:v>404</x:v>
      </x:c>
      <x:c r="F71" s="0" t="s">
        <x:v>1365</x:v>
      </x:c>
      <x:c r="G71" s="0" t="s">
        <x:v>1320</x:v>
      </x:c>
      <x:c r="M71" s="0">
        <x:v>0</x:v>
      </x:c>
      <x:c r="N71" s="0">
        <x:v>2010</x:v>
      </x:c>
      <x:c r="O71" s="0" t="s">
        <x:v>1342</x:v>
      </x:c>
      <x:c r="P71" s="0" t="s">
        <x:v>1403</x:v>
      </x:c>
      <x:c r="S71" s="0">
        <x:v>0</x:v>
      </x:c>
      <x:c r="T71" s="0">
        <x:v>0</x:v>
      </x:c>
      <x:c r="V71" s="0">
        <x:v>0</x:v>
      </x:c>
      <x:c r="W71" s="21">
        <x:v>0</x:v>
      </x:c>
      <x:c r="X71" s="0">
        <x:v>0</x:v>
      </x:c>
      <x:c r="Y71" s="21">
        <x:v>0</x:v>
      </x:c>
      <x:c r="AK71" s="0" t="s">
        <x:v>1404</x:v>
      </x:c>
    </x:row>
    <x:row r="72" spans="1:37" x14ac:dyDescent="0.25">
      <x:c r="A72" s="0">
        <x:f>ROW(A72)-1</x:f>
      </x:c>
      <x:c r="B72" s="0">
        <x:v>74</x:v>
      </x:c>
      <x:c r="C72" s="0">
        <x:v>612</x:v>
      </x:c>
      <x:c r="D72" s="0" t="s">
        <x:v>406</x:v>
      </x:c>
      <x:c r="E72" s="0" t="s">
        <x:v>407</x:v>
      </x:c>
      <x:c r="F72" s="0" t="s">
        <x:v>1405</x:v>
      </x:c>
      <x:c r="G72" s="0" t="s">
        <x:v>1320</x:v>
      </x:c>
      <x:c r="M72" s="0">
        <x:v>0</x:v>
      </x:c>
      <x:c r="N72" s="0">
        <x:v>2010</x:v>
      </x:c>
      <x:c r="O72" s="0" t="s">
        <x:v>1342</x:v>
      </x:c>
      <x:c r="S72" s="0">
        <x:v>0</x:v>
      </x:c>
      <x:c r="T72" s="0">
        <x:v>0</x:v>
      </x:c>
      <x:c r="V72" s="0">
        <x:v>0</x:v>
      </x:c>
      <x:c r="W72" s="21">
        <x:v>0</x:v>
      </x:c>
      <x:c r="X72" s="0">
        <x:v>0</x:v>
      </x:c>
      <x:c r="Y72" s="21">
        <x:v>0</x:v>
      </x:c>
      <x:c r="AK72" s="0" t="s">
        <x:v>1406</x:v>
      </x:c>
    </x:row>
    <x:row r="73" spans="1:37" x14ac:dyDescent="0.25">
      <x:c r="A73" s="0">
        <x:f>ROW(A73)-1</x:f>
      </x:c>
      <x:c r="B73" s="0">
        <x:v>75</x:v>
      </x:c>
      <x:c r="C73" s="0">
        <x:v>611</x:v>
      </x:c>
      <x:c r="D73" s="0" t="s">
        <x:v>408</x:v>
      </x:c>
      <x:c r="E73" s="0" t="s">
        <x:v>409</x:v>
      </x:c>
      <x:c r="F73" s="0" t="s">
        <x:v>1407</x:v>
      </x:c>
      <x:c r="G73" s="0" t="s">
        <x:v>1320</x:v>
      </x:c>
      <x:c r="M73" s="0">
        <x:v>0</x:v>
      </x:c>
      <x:c r="N73" s="0">
        <x:v>2010</x:v>
      </x:c>
      <x:c r="O73" s="0" t="s">
        <x:v>1342</x:v>
      </x:c>
      <x:c r="S73" s="0">
        <x:v>1500</x:v>
      </x:c>
      <x:c r="T73" s="0">
        <x:v>0</x:v>
      </x:c>
      <x:c r="V73" s="0">
        <x:v>0</x:v>
      </x:c>
      <x:c r="W73" s="21">
        <x:v>0</x:v>
      </x:c>
      <x:c r="X73" s="0">
        <x:v>0</x:v>
      </x:c>
      <x:c r="Y73" s="21">
        <x:v>0</x:v>
      </x:c>
      <x:c r="AK73" s="0" t="s">
        <x:v>1408</x:v>
      </x:c>
    </x:row>
    <x:row r="74" spans="1:37" x14ac:dyDescent="0.25">
      <x:c r="A74" s="0">
        <x:f>ROW(A74)-1</x:f>
      </x:c>
      <x:c r="B74" s="0">
        <x:v>76</x:v>
      </x:c>
      <x:c r="C74" s="0">
        <x:v>609</x:v>
      </x:c>
      <x:c r="D74" s="0" t="s">
        <x:v>414</x:v>
      </x:c>
      <x:c r="E74" s="0" t="s">
        <x:v>415</x:v>
      </x:c>
      <x:c r="F74" s="0" t="s">
        <x:v>1409</x:v>
      </x:c>
      <x:c r="G74" s="0" t="s">
        <x:v>1320</x:v>
      </x:c>
      <x:c r="M74" s="0">
        <x:v>0</x:v>
      </x:c>
      <x:c r="N74" s="0">
        <x:v>2010</x:v>
      </x:c>
      <x:c r="O74" s="0" t="s">
        <x:v>1326</x:v>
      </x:c>
      <x:c r="S74" s="0">
        <x:v>50</x:v>
      </x:c>
      <x:c r="T74" s="0">
        <x:v>0</x:v>
      </x:c>
      <x:c r="V74" s="0">
        <x:v>0</x:v>
      </x:c>
      <x:c r="W74" s="21">
        <x:v>0</x:v>
      </x:c>
      <x:c r="X74" s="0">
        <x:v>80000</x:v>
      </x:c>
      <x:c r="Y74" s="21">
        <x:v>0</x:v>
      </x:c>
      <x:c r="AK74" s="0" t="s">
        <x:v>1410</x:v>
      </x:c>
    </x:row>
    <x:row r="75" spans="1:37" x14ac:dyDescent="0.25">
      <x:c r="A75" s="0">
        <x:f>ROW(A75)-1</x:f>
      </x:c>
      <x:c r="B75" s="0">
        <x:v>77</x:v>
      </x:c>
      <x:c r="C75" s="0">
        <x:v>693</x:v>
      </x:c>
      <x:c r="D75" s="0" t="s">
        <x:v>416</x:v>
      </x:c>
      <x:c r="E75" s="0" t="s">
        <x:v>417</x:v>
      </x:c>
      <x:c r="F75" s="0" t="s">
        <x:v>1365</x:v>
      </x:c>
      <x:c r="G75" s="0" t="s">
        <x:v>1320</x:v>
      </x:c>
      <x:c r="M75" s="0">
        <x:v>0</x:v>
      </x:c>
      <x:c r="N75" s="0">
        <x:v>2011</x:v>
      </x:c>
      <x:c r="O75" s="0" t="s">
        <x:v>1368</x:v>
      </x:c>
      <x:c r="S75" s="0">
        <x:v>0</x:v>
      </x:c>
      <x:c r="T75" s="0">
        <x:v>525</x:v>
      </x:c>
      <x:c r="V75" s="0">
        <x:v>0</x:v>
      </x:c>
      <x:c r="W75" s="21">
        <x:v>0</x:v>
      </x:c>
      <x:c r="X75" s="0">
        <x:v>0</x:v>
      </x:c>
      <x:c r="Y75" s="21">
        <x:v>0</x:v>
      </x:c>
      <x:c r="AK75" s="0" t="s">
        <x:v>1411</x:v>
      </x:c>
    </x:row>
    <x:row r="76" spans="1:37" x14ac:dyDescent="0.25">
      <x:c r="A76" s="0">
        <x:f>ROW(A76)-1</x:f>
      </x:c>
      <x:c r="B76" s="0">
        <x:v>78</x:v>
      </x:c>
      <x:c r="C76" s="0">
        <x:v>568</x:v>
      </x:c>
      <x:c r="D76" s="0" t="s">
        <x:v>421</x:v>
      </x:c>
      <x:c r="E76" s="0" t="s">
        <x:v>422</x:v>
      </x:c>
      <x:c r="F76" s="0" t="s">
        <x:v>1412</x:v>
      </x:c>
      <x:c r="G76" s="0" t="s">
        <x:v>1320</x:v>
      </x:c>
      <x:c r="M76" s="0">
        <x:v>0</x:v>
      </x:c>
      <x:c r="N76" s="0">
        <x:v>2009</x:v>
      </x:c>
      <x:c r="O76" s="0" t="s">
        <x:v>1326</x:v>
      </x:c>
      <x:c r="S76" s="0">
        <x:v>0</x:v>
      </x:c>
      <x:c r="T76" s="0">
        <x:v>0</x:v>
      </x:c>
      <x:c r="V76" s="0">
        <x:v>0</x:v>
      </x:c>
      <x:c r="W76" s="21">
        <x:v>0</x:v>
      </x:c>
      <x:c r="X76" s="0">
        <x:v>0</x:v>
      </x:c>
      <x:c r="Y76" s="21">
        <x:v>0</x:v>
      </x:c>
      <x:c r="AK76" s="0" t="s">
        <x:v>1413</x:v>
      </x:c>
    </x:row>
    <x:row r="77" spans="1:37" x14ac:dyDescent="0.25">
      <x:c r="A77" s="0">
        <x:f>ROW(A77)-1</x:f>
      </x:c>
      <x:c r="B77" s="0">
        <x:v>79</x:v>
      </x:c>
      <x:c r="C77" s="0">
        <x:v>594</x:v>
      </x:c>
      <x:c r="D77" s="0" t="s">
        <x:v>423</x:v>
      </x:c>
      <x:c r="E77" s="0" t="s">
        <x:v>424</x:v>
      </x:c>
      <x:c r="F77" s="0" t="s">
        <x:v>1414</x:v>
      </x:c>
      <x:c r="G77" s="0" t="s">
        <x:v>1320</x:v>
      </x:c>
      <x:c r="M77" s="0">
        <x:v>0</x:v>
      </x:c>
      <x:c r="N77" s="0">
        <x:v>2010</x:v>
      </x:c>
      <x:c r="O77" s="0" t="s">
        <x:v>1373</x:v>
      </x:c>
      <x:c r="P77" s="0" t="s">
        <x:v>1368</x:v>
      </x:c>
      <x:c r="S77" s="0">
        <x:v>2340</x:v>
      </x:c>
      <x:c r="T77" s="0">
        <x:v>0</x:v>
      </x:c>
      <x:c r="V77" s="0">
        <x:v>0</x:v>
      </x:c>
      <x:c r="W77" s="21">
        <x:v>0</x:v>
      </x:c>
      <x:c r="X77" s="0">
        <x:v>0</x:v>
      </x:c>
      <x:c r="Y77" s="21">
        <x:v>0</x:v>
      </x:c>
      <x:c r="AK77" s="0" t="s">
        <x:v>1415</x:v>
      </x:c>
    </x:row>
    <x:row r="78" spans="1:37" x14ac:dyDescent="0.25">
      <x:c r="A78" s="0">
        <x:f>ROW(A78)-1</x:f>
      </x:c>
      <x:c r="B78" s="0">
        <x:v>80</x:v>
      </x:c>
      <x:c r="C78" s="0">
        <x:v>593</x:v>
      </x:c>
      <x:c r="D78" s="0" t="s">
        <x:v>428</x:v>
      </x:c>
      <x:c r="E78" s="0" t="s">
        <x:v>429</x:v>
      </x:c>
      <x:c r="F78" s="0" t="s">
        <x:v>1377</x:v>
      </x:c>
      <x:c r="G78" s="0" t="s">
        <x:v>1320</x:v>
      </x:c>
      <x:c r="M78" s="0">
        <x:v>0</x:v>
      </x:c>
      <x:c r="N78" s="0">
        <x:v>2010</x:v>
      </x:c>
      <x:c r="O78" s="0" t="s">
        <x:v>1368</x:v>
      </x:c>
      <x:c r="S78" s="0">
        <x:v>662</x:v>
      </x:c>
      <x:c r="T78" s="0">
        <x:v>0</x:v>
      </x:c>
      <x:c r="V78" s="0">
        <x:v>0</x:v>
      </x:c>
      <x:c r="W78" s="21">
        <x:v>0</x:v>
      </x:c>
      <x:c r="X78" s="0">
        <x:v>0</x:v>
      </x:c>
      <x:c r="Y78" s="21">
        <x:v>0</x:v>
      </x:c>
      <x:c r="AK78" s="0" t="s">
        <x:v>1416</x:v>
      </x:c>
    </x:row>
    <x:row r="79" spans="1:37" x14ac:dyDescent="0.25">
      <x:c r="A79" s="0">
        <x:f>ROW(A79)-1</x:f>
      </x:c>
      <x:c r="B79" s="0">
        <x:v>81</x:v>
      </x:c>
      <x:c r="C79" s="0">
        <x:v>590</x:v>
      </x:c>
      <x:c r="D79" s="0" t="s">
        <x:v>431</x:v>
      </x:c>
      <x:c r="E79" s="0" t="s">
        <x:v>432</x:v>
      </x:c>
      <x:c r="F79" s="0" t="s">
        <x:v>1365</x:v>
      </x:c>
      <x:c r="G79" s="0" t="s">
        <x:v>1320</x:v>
      </x:c>
      <x:c r="M79" s="0">
        <x:v>0</x:v>
      </x:c>
      <x:c r="N79" s="0">
        <x:v>2010</x:v>
      </x:c>
      <x:c r="O79" s="0" t="s">
        <x:v>1331</x:v>
      </x:c>
      <x:c r="P79" s="0" t="s">
        <x:v>1417</x:v>
      </x:c>
      <x:c r="S79" s="0">
        <x:v>1500</x:v>
      </x:c>
      <x:c r="T79" s="0">
        <x:v>0</x:v>
      </x:c>
      <x:c r="V79" s="0">
        <x:v>350000</x:v>
      </x:c>
      <x:c r="W79" s="21">
        <x:v>0</x:v>
      </x:c>
      <x:c r="X79" s="0">
        <x:v>60000</x:v>
      </x:c>
      <x:c r="Y79" s="21">
        <x:v>8100</x:v>
      </x:c>
      <x:c r="AK79" s="0" t="s">
        <x:v>1418</x:v>
      </x:c>
    </x:row>
    <x:row r="80" spans="1:37" x14ac:dyDescent="0.25">
      <x:c r="A80" s="0">
        <x:f>ROW(A80)-1</x:f>
      </x:c>
      <x:c r="B80" s="0">
        <x:v>82</x:v>
      </x:c>
      <x:c r="C80" s="0">
        <x:v>587</x:v>
      </x:c>
      <x:c r="D80" s="0" t="s">
        <x:v>433</x:v>
      </x:c>
      <x:c r="E80" s="0" t="s">
        <x:v>434</x:v>
      </x:c>
      <x:c r="F80" s="0" t="s">
        <x:v>1365</x:v>
      </x:c>
      <x:c r="G80" s="0" t="s">
        <x:v>1320</x:v>
      </x:c>
      <x:c r="M80" s="0">
        <x:v>0</x:v>
      </x:c>
      <x:c r="N80" s="0">
        <x:v>2010</x:v>
      </x:c>
      <x:c r="O80" s="0" t="s">
        <x:v>1326</x:v>
      </x:c>
      <x:c r="S80" s="0">
        <x:v>0</x:v>
      </x:c>
      <x:c r="T80" s="0">
        <x:v>0</x:v>
      </x:c>
      <x:c r="V80" s="0">
        <x:v>0</x:v>
      </x:c>
      <x:c r="W80" s="21">
        <x:v>0</x:v>
      </x:c>
      <x:c r="X80" s="0">
        <x:v>0</x:v>
      </x:c>
      <x:c r="Y80" s="21">
        <x:v>0</x:v>
      </x:c>
      <x:c r="AK80" s="0" t="s">
        <x:v>1419</x:v>
      </x:c>
    </x:row>
    <x:row r="81" spans="1:37" x14ac:dyDescent="0.25">
      <x:c r="A81" s="0">
        <x:f>ROW(A81)-1</x:f>
      </x:c>
      <x:c r="B81" s="0">
        <x:v>83</x:v>
      </x:c>
      <x:c r="C81" s="0">
        <x:v>579</x:v>
      </x:c>
      <x:c r="D81" s="0" t="s">
        <x:v>435</x:v>
      </x:c>
      <x:c r="E81" s="0" t="s">
        <x:v>436</x:v>
      </x:c>
      <x:c r="F81" s="0" t="s">
        <x:v>1365</x:v>
      </x:c>
      <x:c r="G81" s="0" t="s">
        <x:v>1320</x:v>
      </x:c>
      <x:c r="M81" s="0">
        <x:v>0</x:v>
      </x:c>
      <x:c r="N81" s="0">
        <x:v>2009</x:v>
      </x:c>
      <x:c r="O81" s="0" t="s">
        <x:v>1326</x:v>
      </x:c>
      <x:c r="S81" s="0">
        <x:v>300</x:v>
      </x:c>
      <x:c r="T81" s="0">
        <x:v>0</x:v>
      </x:c>
      <x:c r="V81" s="0">
        <x:v>0</x:v>
      </x:c>
      <x:c r="W81" s="21">
        <x:v>0</x:v>
      </x:c>
      <x:c r="X81" s="0">
        <x:v>0</x:v>
      </x:c>
      <x:c r="Y81" s="21">
        <x:v>0</x:v>
      </x:c>
      <x:c r="AK81" s="0" t="s">
        <x:v>1420</x:v>
      </x:c>
    </x:row>
    <x:row r="82" spans="1:37" x14ac:dyDescent="0.25">
      <x:c r="A82" s="0">
        <x:f>ROW(A82)-1</x:f>
      </x:c>
      <x:c r="B82" s="0">
        <x:v>84</x:v>
      </x:c>
      <x:c r="C82" s="0">
        <x:v>576</x:v>
      </x:c>
      <x:c r="D82" s="0" t="s">
        <x:v>439</x:v>
      </x:c>
      <x:c r="E82" s="0" t="s">
        <x:v>440</x:v>
      </x:c>
      <x:c r="F82" s="0" t="s">
        <x:v>1365</x:v>
      </x:c>
      <x:c r="G82" s="0" t="s">
        <x:v>1320</x:v>
      </x:c>
      <x:c r="M82" s="0">
        <x:v>0</x:v>
      </x:c>
      <x:c r="N82" s="0">
        <x:v>2010</x:v>
      </x:c>
      <x:c r="O82" s="0" t="s">
        <x:v>1331</x:v>
      </x:c>
      <x:c r="P82" s="0" t="s">
        <x:v>1368</x:v>
      </x:c>
      <x:c r="S82" s="0">
        <x:v>0</x:v>
      </x:c>
      <x:c r="T82" s="0">
        <x:v>0</x:v>
      </x:c>
      <x:c r="V82" s="0">
        <x:v>18000</x:v>
      </x:c>
      <x:c r="W82" s="21">
        <x:v>0</x:v>
      </x:c>
      <x:c r="X82" s="0">
        <x:v>20000</x:v>
      </x:c>
      <x:c r="Y82" s="21">
        <x:v>0</x:v>
      </x:c>
      <x:c r="AK82" s="0" t="s">
        <x:v>1421</x:v>
      </x:c>
    </x:row>
    <x:row r="83" spans="1:37" x14ac:dyDescent="0.25">
      <x:c r="A83" s="0">
        <x:f>ROW(A83)-1</x:f>
      </x:c>
      <x:c r="B83" s="0">
        <x:v>85</x:v>
      </x:c>
      <x:c r="C83" s="0">
        <x:v>575</x:v>
      </x:c>
      <x:c r="D83" s="0" t="s">
        <x:v>442</x:v>
      </x:c>
      <x:c r="E83" s="0" t="s">
        <x:v>443</x:v>
      </x:c>
      <x:c r="F83" s="0" t="s">
        <x:v>1365</x:v>
      </x:c>
      <x:c r="G83" s="0" t="s">
        <x:v>1320</x:v>
      </x:c>
      <x:c r="M83" s="0">
        <x:v>0</x:v>
      </x:c>
      <x:c r="N83" s="0">
        <x:v>2009</x:v>
      </x:c>
      <x:c r="O83" s="0" t="s">
        <x:v>1321</x:v>
      </x:c>
      <x:c r="S83" s="0">
        <x:v>0</x:v>
      </x:c>
      <x:c r="T83" s="0">
        <x:v>0</x:v>
      </x:c>
      <x:c r="V83" s="0">
        <x:v>0</x:v>
      </x:c>
      <x:c r="W83" s="21">
        <x:v>0</x:v>
      </x:c>
      <x:c r="X83" s="0">
        <x:v>0</x:v>
      </x:c>
      <x:c r="Y83" s="21">
        <x:v>0</x:v>
      </x:c>
      <x:c r="AK83" s="0" t="s">
        <x:v>1422</x:v>
      </x:c>
    </x:row>
    <x:row r="84" spans="1:37" x14ac:dyDescent="0.25">
      <x:c r="A84" s="0">
        <x:f>ROW(A84)-1</x:f>
      </x:c>
      <x:c r="B84" s="0">
        <x:v>86</x:v>
      </x:c>
      <x:c r="C84" s="0">
        <x:v>555</x:v>
      </x:c>
      <x:c r="D84" s="0" t="s">
        <x:v>445</x:v>
      </x:c>
      <x:c r="E84" s="0" t="s">
        <x:v>446</x:v>
      </x:c>
      <x:c r="F84" s="0" t="s">
        <x:v>1423</x:v>
      </x:c>
      <x:c r="G84" s="0" t="s">
        <x:v>1320</x:v>
      </x:c>
      <x:c r="M84" s="0">
        <x:v>0</x:v>
      </x:c>
      <x:c r="N84" s="0">
        <x:v>2009</x:v>
      </x:c>
      <x:c r="O84" s="0" t="s">
        <x:v>1373</x:v>
      </x:c>
      <x:c r="P84" s="0" t="s">
        <x:v>1368</x:v>
      </x:c>
      <x:c r="S84" s="0">
        <x:v>0</x:v>
      </x:c>
      <x:c r="T84" s="0">
        <x:v>0</x:v>
      </x:c>
      <x:c r="V84" s="0">
        <x:v>0</x:v>
      </x:c>
      <x:c r="W84" s="21">
        <x:v>0</x:v>
      </x:c>
      <x:c r="X84" s="0">
        <x:v>122300</x:v>
      </x:c>
      <x:c r="Y84" s="21">
        <x:v>0</x:v>
      </x:c>
      <x:c r="AK84" s="0" t="s">
        <x:v>1424</x:v>
      </x:c>
    </x:row>
    <x:row r="85" spans="1:37" x14ac:dyDescent="0.25">
      <x:c r="A85" s="0">
        <x:f>ROW(A85)-1</x:f>
      </x:c>
      <x:c r="B85" s="0">
        <x:v>87</x:v>
      </x:c>
      <x:c r="C85" s="0">
        <x:v>549</x:v>
      </x:c>
      <x:c r="D85" s="0" t="s">
        <x:v>449</x:v>
      </x:c>
      <x:c r="E85" s="0" t="s">
        <x:v>450</x:v>
      </x:c>
      <x:c r="F85" s="0" t="s">
        <x:v>1425</x:v>
      </x:c>
      <x:c r="G85" s="0" t="s">
        <x:v>1320</x:v>
      </x:c>
      <x:c r="M85" s="0">
        <x:v>0</x:v>
      </x:c>
      <x:c r="N85" s="0">
        <x:v>2009</x:v>
      </x:c>
      <x:c r="O85" s="0" t="s">
        <x:v>1345</x:v>
      </x:c>
      <x:c r="P85" s="0" t="s">
        <x:v>1321</x:v>
      </x:c>
      <x:c r="S85" s="0">
        <x:v>1145</x:v>
      </x:c>
      <x:c r="T85" s="0">
        <x:v>0</x:v>
      </x:c>
      <x:c r="V85" s="0">
        <x:v>0</x:v>
      </x:c>
      <x:c r="W85" s="21">
        <x:v>0</x:v>
      </x:c>
      <x:c r="X85" s="0">
        <x:v>0</x:v>
      </x:c>
      <x:c r="Y85" s="21">
        <x:v>0</x:v>
      </x:c>
      <x:c r="AK85" s="0" t="s">
        <x:v>1426</x:v>
      </x:c>
    </x:row>
    <x:row r="86" spans="1:37" x14ac:dyDescent="0.25">
      <x:c r="A86" s="0">
        <x:f>ROW(A86)-1</x:f>
      </x:c>
      <x:c r="B86" s="0">
        <x:v>88</x:v>
      </x:c>
      <x:c r="C86" s="0">
        <x:v>547</x:v>
      </x:c>
      <x:c r="D86" s="0" t="s">
        <x:v>452</x:v>
      </x:c>
      <x:c r="E86" s="0" t="s">
        <x:v>453</x:v>
      </x:c>
      <x:c r="F86" s="0" t="s">
        <x:v>1427</x:v>
      </x:c>
      <x:c r="G86" s="0" t="s">
        <x:v>1320</x:v>
      </x:c>
      <x:c r="M86" s="0">
        <x:v>0</x:v>
      </x:c>
      <x:c r="N86" s="0">
        <x:v>2009</x:v>
      </x:c>
      <x:c r="O86" s="0" t="s">
        <x:v>1321</x:v>
      </x:c>
      <x:c r="S86" s="0">
        <x:v>5832</x:v>
      </x:c>
      <x:c r="T86" s="0">
        <x:v>0</x:v>
      </x:c>
      <x:c r="V86" s="0">
        <x:v>0</x:v>
      </x:c>
      <x:c r="W86" s="21">
        <x:v>0</x:v>
      </x:c>
      <x:c r="X86" s="0">
        <x:v>308600</x:v>
      </x:c>
      <x:c r="Y86" s="21">
        <x:v>0</x:v>
      </x:c>
      <x:c r="AK86" s="0" t="s">
        <x:v>1327</x:v>
      </x:c>
    </x:row>
    <x:row r="87" spans="1:37" x14ac:dyDescent="0.25">
      <x:c r="A87" s="0">
        <x:f>ROW(A87)-1</x:f>
      </x:c>
      <x:c r="B87" s="0">
        <x:v>89</x:v>
      </x:c>
      <x:c r="C87" s="0">
        <x:v>511</x:v>
      </x:c>
      <x:c r="D87" s="0" t="s">
        <x:v>456</x:v>
      </x:c>
      <x:c r="E87" s="0" t="s">
        <x:v>457</x:v>
      </x:c>
      <x:c r="F87" s="0" t="s">
        <x:v>1377</x:v>
      </x:c>
      <x:c r="G87" s="0" t="s">
        <x:v>1320</x:v>
      </x:c>
      <x:c r="M87" s="0">
        <x:v>0</x:v>
      </x:c>
      <x:c r="N87" s="0">
        <x:v>2009</x:v>
      </x:c>
      <x:c r="O87" s="0" t="s">
        <x:v>1368</x:v>
      </x:c>
      <x:c r="S87" s="0">
        <x:v>0</x:v>
      </x:c>
      <x:c r="T87" s="0">
        <x:v>0</x:v>
      </x:c>
      <x:c r="V87" s="0">
        <x:v>0</x:v>
      </x:c>
      <x:c r="W87" s="21">
        <x:v>0</x:v>
      </x:c>
      <x:c r="X87" s="0">
        <x:v>0</x:v>
      </x:c>
      <x:c r="Y87" s="21">
        <x:v>0</x:v>
      </x:c>
      <x:c r="AK87" s="0" t="s">
        <x:v>1428</x:v>
      </x:c>
    </x:row>
    <x:row r="88" spans="1:37" x14ac:dyDescent="0.25">
      <x:c r="A88" s="0">
        <x:f>ROW(A88)-1</x:f>
      </x:c>
      <x:c r="B88" s="0">
        <x:v>90</x:v>
      </x:c>
      <x:c r="C88" s="0">
        <x:v>487</x:v>
      </x:c>
      <x:c r="D88" s="0" t="s">
        <x:v>461</x:v>
      </x:c>
      <x:c r="E88" s="0" t="s">
        <x:v>462</x:v>
      </x:c>
      <x:c r="F88" s="0" t="s">
        <x:v>1377</x:v>
      </x:c>
      <x:c r="G88" s="0" t="s">
        <x:v>1320</x:v>
      </x:c>
      <x:c r="M88" s="0">
        <x:v>0</x:v>
      </x:c>
      <x:c r="N88" s="0">
        <x:v>2009</x:v>
      </x:c>
      <x:c r="O88" s="0" t="s">
        <x:v>1368</x:v>
      </x:c>
      <x:c r="S88" s="0">
        <x:v>0</x:v>
      </x:c>
      <x:c r="T88" s="0">
        <x:v>0</x:v>
      </x:c>
      <x:c r="V88" s="0">
        <x:v>0</x:v>
      </x:c>
      <x:c r="W88" s="21">
        <x:v>0</x:v>
      </x:c>
      <x:c r="X88" s="0">
        <x:v>0</x:v>
      </x:c>
      <x:c r="Y88" s="21">
        <x:v>0</x:v>
      </x:c>
      <x:c r="AK88" s="0" t="s">
        <x:v>1429</x:v>
      </x:c>
    </x:row>
    <x:row r="89" spans="1:37" x14ac:dyDescent="0.25">
      <x:c r="A89" s="0">
        <x:f>ROW(A89)-1</x:f>
      </x:c>
      <x:c r="B89" s="0">
        <x:v>91</x:v>
      </x:c>
      <x:c r="C89" s="0">
        <x:v>397</x:v>
      </x:c>
      <x:c r="D89" s="0" t="s">
        <x:v>466</x:v>
      </x:c>
      <x:c r="E89" s="0" t="s">
        <x:v>467</x:v>
      </x:c>
      <x:c r="F89" s="0" t="s">
        <x:v>1383</x:v>
      </x:c>
      <x:c r="G89" s="0" t="s">
        <x:v>1320</x:v>
      </x:c>
      <x:c r="M89" s="0">
        <x:v>0</x:v>
      </x:c>
      <x:c r="N89" s="0">
        <x:v>2007</x:v>
      </x:c>
      <x:c r="O89" s="0" t="s">
        <x:v>1326</x:v>
      </x:c>
      <x:c r="S89" s="0">
        <x:v>320</x:v>
      </x:c>
      <x:c r="T89" s="0">
        <x:v>0</x:v>
      </x:c>
      <x:c r="V89" s="0">
        <x:v>0</x:v>
      </x:c>
      <x:c r="W89" s="21">
        <x:v>0</x:v>
      </x:c>
      <x:c r="X89" s="0">
        <x:v>0</x:v>
      </x:c>
      <x:c r="Y89" s="21">
        <x:v>0</x:v>
      </x:c>
      <x:c r="AK89" s="0" t="s">
        <x:v>1430</x:v>
      </x:c>
    </x:row>
    <x:row r="90" spans="1:37" x14ac:dyDescent="0.25">
      <x:c r="A90" s="0">
        <x:f>ROW(A90)-1</x:f>
      </x:c>
      <x:c r="B90" s="0">
        <x:v>92</x:v>
      </x:c>
      <x:c r="C90" s="0">
        <x:v>3003</x:v>
      </x:c>
      <x:c r="D90" s="0" t="s">
        <x:v>472</x:v>
      </x:c>
      <x:c r="E90" s="0" t="s">
        <x:v>473</x:v>
      </x:c>
      <x:c r="F90" s="0" t="s">
        <x:v>1365</x:v>
      </x:c>
      <x:c r="G90" s="0" t="s">
        <x:v>1320</x:v>
      </x:c>
      <x:c r="M90" s="0">
        <x:v>0</x:v>
      </x:c>
      <x:c r="N90" s="0">
        <x:v>2023</x:v>
      </x:c>
      <x:c r="O90" s="0" t="s">
        <x:v>1326</x:v>
      </x:c>
      <x:c r="P90" s="0" t="s">
        <x:v>1431</x:v>
      </x:c>
      <x:c r="S90" s="0">
        <x:v>0</x:v>
      </x:c>
      <x:c r="T90" s="0">
        <x:v>0</x:v>
      </x:c>
      <x:c r="V90" s="0">
        <x:v>0</x:v>
      </x:c>
      <x:c r="W90" s="21">
        <x:v>0</x:v>
      </x:c>
      <x:c r="Y90" s="21">
        <x:v>0</x:v>
      </x:c>
    </x:row>
    <x:row r="91" spans="1:37" x14ac:dyDescent="0.25">
      <x:c r="A91" s="0">
        <x:f>ROW(A91)-1</x:f>
      </x:c>
      <x:c r="B91" s="0">
        <x:v>93</x:v>
      </x:c>
      <x:c r="C91" s="0">
        <x:v>3001</x:v>
      </x:c>
      <x:c r="D91" s="0" t="s">
        <x:v>477</x:v>
      </x:c>
      <x:c r="E91" s="0" t="s">
        <x:v>478</x:v>
      </x:c>
      <x:c r="F91" s="0" t="s">
        <x:v>1432</x:v>
      </x:c>
      <x:c r="G91" s="0" t="s">
        <x:v>1320</x:v>
      </x:c>
      <x:c r="M91" s="0">
        <x:v>0</x:v>
      </x:c>
      <x:c r="N91" s="0">
        <x:v>2018</x:v>
      </x:c>
      <x:c r="O91" s="0" t="s">
        <x:v>1368</x:v>
      </x:c>
      <x:c r="S91" s="0">
        <x:v>0</x:v>
      </x:c>
      <x:c r="T91" s="0">
        <x:v>0</x:v>
      </x:c>
      <x:c r="V91" s="0">
        <x:v>0</x:v>
      </x:c>
      <x:c r="W91" s="21">
        <x:v>0</x:v>
      </x:c>
      <x:c r="X91" s="0">
        <x:v>0</x:v>
      </x:c>
      <x:c r="Y91" s="21">
        <x:v>0</x:v>
      </x:c>
    </x:row>
    <x:row r="92" spans="1:37" x14ac:dyDescent="0.25">
      <x:c r="A92" s="0">
        <x:f>ROW(A92)-1</x:f>
      </x:c>
      <x:c r="B92" s="0">
        <x:v>94</x:v>
      </x:c>
      <x:c r="C92" s="0">
        <x:v>3002</x:v>
      </x:c>
      <x:c r="D92" s="0" t="s">
        <x:v>482</x:v>
      </x:c>
      <x:c r="E92" s="0" t="s">
        <x:v>483</x:v>
      </x:c>
      <x:c r="F92" s="0" t="s">
        <x:v>1433</x:v>
      </x:c>
      <x:c r="G92" s="0" t="s">
        <x:v>1320</x:v>
      </x:c>
      <x:c r="M92" s="0">
        <x:v>0</x:v>
      </x:c>
      <x:c r="N92" s="0">
        <x:v>2018</x:v>
      </x:c>
      <x:c r="O92" s="0" t="s">
        <x:v>1342</x:v>
      </x:c>
      <x:c r="S92" s="0">
        <x:v>0</x:v>
      </x:c>
      <x:c r="T92" s="0">
        <x:v>0</x:v>
      </x:c>
      <x:c r="V92" s="0">
        <x:v>123710</x:v>
      </x:c>
      <x:c r="W92" s="21">
        <x:v>0</x:v>
      </x:c>
      <x:c r="X92" s="0">
        <x:v>19040</x:v>
      </x:c>
      <x:c r="Y92" s="21">
        <x:v>0</x:v>
      </x:c>
      <x:c r="AK92" s="0" t="s">
        <x:v>1327</x:v>
      </x:c>
    </x:row>
    <x:row r="93" spans="1:37" x14ac:dyDescent="0.25">
      <x:c r="A93" s="0">
        <x:f>ROW(A93)-1</x:f>
      </x:c>
      <x:c r="B93" s="0">
        <x:v>95</x:v>
      </x:c>
      <x:c r="C93" s="0">
        <x:v>3005</x:v>
      </x:c>
      <x:c r="D93" s="0" t="s">
        <x:v>477</x:v>
      </x:c>
      <x:c r="E93" s="0" t="s">
        <x:v>487</x:v>
      </x:c>
      <x:c r="F93" s="0" t="s">
        <x:v>1432</x:v>
      </x:c>
      <x:c r="G93" s="0" t="s">
        <x:v>1320</x:v>
      </x:c>
      <x:c r="M93" s="0">
        <x:v>0</x:v>
      </x:c>
      <x:c r="N93" s="0">
        <x:v>2018</x:v>
      </x:c>
      <x:c r="O93" s="0" t="s">
        <x:v>1368</x:v>
      </x:c>
      <x:c r="S93" s="0">
        <x:v>510</x:v>
      </x:c>
      <x:c r="T93" s="0">
        <x:v>0</x:v>
      </x:c>
      <x:c r="V93" s="0">
        <x:v>0</x:v>
      </x:c>
      <x:c r="W93" s="21">
        <x:v>0</x:v>
      </x:c>
      <x:c r="X93" s="0">
        <x:v>0</x:v>
      </x:c>
      <x:c r="Y93" s="21">
        <x:v>0</x:v>
      </x:c>
    </x:row>
    <x:row r="94" spans="1:37" x14ac:dyDescent="0.25">
      <x:c r="A94" s="0">
        <x:f>ROW(A94)-1</x:f>
      </x:c>
      <x:c r="B94" s="0">
        <x:v>96</x:v>
      </x:c>
      <x:c r="C94" s="0">
        <x:v>3006</x:v>
      </x:c>
      <x:c r="D94" s="0" t="s">
        <x:v>477</x:v>
      </x:c>
      <x:c r="E94" s="0" t="s">
        <x:v>492</x:v>
      </x:c>
      <x:c r="F94" s="0" t="s">
        <x:v>1434</x:v>
      </x:c>
      <x:c r="G94" s="0" t="s">
        <x:v>1320</x:v>
      </x:c>
      <x:c r="M94" s="0">
        <x:v>0</x:v>
      </x:c>
      <x:c r="N94" s="0">
        <x:v>2018</x:v>
      </x:c>
      <x:c r="O94" s="0" t="s">
        <x:v>1321</x:v>
      </x:c>
      <x:c r="S94" s="0">
        <x:v>0</x:v>
      </x:c>
      <x:c r="T94" s="0">
        <x:v>0</x:v>
      </x:c>
      <x:c r="V94" s="0">
        <x:v>0</x:v>
      </x:c>
      <x:c r="W94" s="21">
        <x:v>0</x:v>
      </x:c>
      <x:c r="X94" s="0">
        <x:v>0</x:v>
      </x:c>
      <x:c r="Y94" s="21">
        <x:v>0</x:v>
      </x:c>
    </x:row>
    <x:row r="95" spans="1:37" x14ac:dyDescent="0.25">
      <x:c r="A95" s="0">
        <x:f>ROW(A95)-1</x:f>
      </x:c>
      <x:c r="B95" s="0">
        <x:v>97</x:v>
      </x:c>
      <x:c r="C95" s="0">
        <x:v>3008</x:v>
      </x:c>
      <x:c r="D95" s="0" t="s">
        <x:v>477</x:v>
      </x:c>
      <x:c r="E95" s="0" t="s">
        <x:v>496</x:v>
      </x:c>
      <x:c r="F95" s="0" t="s">
        <x:v>1435</x:v>
      </x:c>
      <x:c r="G95" s="0" t="s">
        <x:v>1320</x:v>
      </x:c>
      <x:c r="M95" s="0">
        <x:v>0</x:v>
      </x:c>
      <x:c r="N95" s="0">
        <x:v>2018</x:v>
      </x:c>
      <x:c r="O95" s="0" t="s">
        <x:v>1321</x:v>
      </x:c>
      <x:c r="S95" s="0">
        <x:v>800</x:v>
      </x:c>
      <x:c r="T95" s="0">
        <x:v>0</x:v>
      </x:c>
      <x:c r="V95" s="0">
        <x:v>0</x:v>
      </x:c>
      <x:c r="W95" s="21">
        <x:v>0</x:v>
      </x:c>
      <x:c r="X95" s="0">
        <x:v>0</x:v>
      </x:c>
      <x:c r="Y95" s="21">
        <x:v>0</x:v>
      </x:c>
    </x:row>
    <x:row r="96" spans="1:37" x14ac:dyDescent="0.25">
      <x:c r="A96" s="0">
        <x:f>ROW(A96)-1</x:f>
      </x:c>
      <x:c r="B96" s="0">
        <x:v>98</x:v>
      </x:c>
      <x:c r="C96" s="0">
        <x:v>3009</x:v>
      </x:c>
      <x:c r="D96" s="0" t="s">
        <x:v>500</x:v>
      </x:c>
      <x:c r="E96" s="0" t="s">
        <x:v>501</x:v>
      </x:c>
      <x:c r="F96" s="0" t="s">
        <x:v>1436</x:v>
      </x:c>
      <x:c r="G96" s="0" t="s">
        <x:v>1320</x:v>
      </x:c>
      <x:c r="M96" s="0">
        <x:v>0</x:v>
      </x:c>
      <x:c r="N96" s="0">
        <x:v>2018</x:v>
      </x:c>
      <x:c r="O96" s="0" t="s">
        <x:v>1321</x:v>
      </x:c>
      <x:c r="S96" s="0">
        <x:v>12</x:v>
      </x:c>
      <x:c r="T96" s="0">
        <x:v>0</x:v>
      </x:c>
      <x:c r="V96" s="0">
        <x:v>0</x:v>
      </x:c>
      <x:c r="W96" s="21">
        <x:v>0</x:v>
      </x:c>
      <x:c r="X96" s="0">
        <x:v>1000</x:v>
      </x:c>
      <x:c r="Y96" s="21">
        <x:v>0</x:v>
      </x:c>
      <x:c r="AK96" s="0" t="s">
        <x:v>1437</x:v>
      </x:c>
    </x:row>
    <x:row r="97" spans="1:37" x14ac:dyDescent="0.25">
      <x:c r="A97" s="0">
        <x:f>ROW(A97)-1</x:f>
      </x:c>
      <x:c r="B97" s="0">
        <x:v>99</x:v>
      </x:c>
      <x:c r="C97" s="0">
        <x:v>3010</x:v>
      </x:c>
      <x:c r="D97" s="0" t="s">
        <x:v>504</x:v>
      </x:c>
      <x:c r="E97" s="0" t="s">
        <x:v>505</x:v>
      </x:c>
      <x:c r="F97" s="0" t="s">
        <x:v>1377</x:v>
      </x:c>
      <x:c r="G97" s="0" t="s">
        <x:v>1320</x:v>
      </x:c>
      <x:c r="M97" s="0">
        <x:v>0</x:v>
      </x:c>
      <x:c r="N97" s="0">
        <x:v>2018</x:v>
      </x:c>
      <x:c r="O97" s="0" t="s">
        <x:v>1368</x:v>
      </x:c>
      <x:c r="P97" s="0" t="s">
        <x:v>1329</x:v>
      </x:c>
      <x:c r="S97" s="0">
        <x:v>960</x:v>
      </x:c>
      <x:c r="T97" s="0">
        <x:v>0</x:v>
      </x:c>
      <x:c r="V97" s="0">
        <x:v>0</x:v>
      </x:c>
      <x:c r="W97" s="21">
        <x:v>0</x:v>
      </x:c>
      <x:c r="X97" s="0">
        <x:v>53000</x:v>
      </x:c>
      <x:c r="Y97" s="21">
        <x:v>0</x:v>
      </x:c>
    </x:row>
    <x:row r="98" spans="1:37" x14ac:dyDescent="0.25">
      <x:c r="A98" s="0">
        <x:f>ROW(A98)-1</x:f>
      </x:c>
      <x:c r="B98" s="0">
        <x:v>100</x:v>
      </x:c>
      <x:c r="C98" s="0">
        <x:v>3011</x:v>
      </x:c>
      <x:c r="D98" s="0" t="s">
        <x:v>477</x:v>
      </x:c>
      <x:c r="E98" s="0" t="s">
        <x:v>508</x:v>
      </x:c>
      <x:c r="F98" s="0" t="s">
        <x:v>1365</x:v>
      </x:c>
      <x:c r="G98" s="0" t="s">
        <x:v>1320</x:v>
      </x:c>
      <x:c r="M98" s="0">
        <x:v>0</x:v>
      </x:c>
      <x:c r="N98" s="0">
        <x:v>2018</x:v>
      </x:c>
      <x:c r="O98" s="0" t="s">
        <x:v>1368</x:v>
      </x:c>
      <x:c r="S98" s="0">
        <x:v>0</x:v>
      </x:c>
      <x:c r="T98" s="0">
        <x:v>0</x:v>
      </x:c>
      <x:c r="V98" s="0">
        <x:v>0</x:v>
      </x:c>
      <x:c r="W98" s="21">
        <x:v>0</x:v>
      </x:c>
      <x:c r="X98" s="0">
        <x:v>12150</x:v>
      </x:c>
      <x:c r="Y98" s="21">
        <x:v>0</x:v>
      </x:c>
    </x:row>
    <x:row r="99" spans="1:37" x14ac:dyDescent="0.25">
      <x:c r="A99" s="0">
        <x:f>ROW(A99)-1</x:f>
      </x:c>
      <x:c r="B99" s="0">
        <x:v>101</x:v>
      </x:c>
      <x:c r="C99" s="0">
        <x:v>3012</x:v>
      </x:c>
      <x:c r="D99" s="0" t="s">
        <x:v>477</x:v>
      </x:c>
      <x:c r="E99" s="0" t="s">
        <x:v>513</x:v>
      </x:c>
      <x:c r="F99" s="0" t="s">
        <x:v>1365</x:v>
      </x:c>
      <x:c r="G99" s="0" t="s">
        <x:v>1320</x:v>
      </x:c>
      <x:c r="M99" s="0">
        <x:v>0</x:v>
      </x:c>
      <x:c r="N99" s="0">
        <x:v>2018</x:v>
      </x:c>
      <x:c r="O99" s="0" t="s">
        <x:v>1331</x:v>
      </x:c>
      <x:c r="S99" s="0">
        <x:v>0</x:v>
      </x:c>
      <x:c r="T99" s="0">
        <x:v>0</x:v>
      </x:c>
      <x:c r="V99" s="0">
        <x:v>0</x:v>
      </x:c>
      <x:c r="W99" s="21">
        <x:v>0</x:v>
      </x:c>
      <x:c r="X99" s="0">
        <x:v>0</x:v>
      </x:c>
      <x:c r="Y99" s="21">
        <x:v>0</x:v>
      </x:c>
    </x:row>
    <x:row r="100" spans="1:37" x14ac:dyDescent="0.25">
      <x:c r="A100" s="0">
        <x:f>ROW(A100)-1</x:f>
      </x:c>
      <x:c r="B100" s="0">
        <x:v>102</x:v>
      </x:c>
      <x:c r="C100" s="0">
        <x:v>3013</x:v>
      </x:c>
      <x:c r="D100" s="0" t="s">
        <x:v>477</x:v>
      </x:c>
      <x:c r="E100" s="0" t="s">
        <x:v>516</x:v>
      </x:c>
      <x:c r="F100" s="0" t="s">
        <x:v>1365</x:v>
      </x:c>
      <x:c r="G100" s="0" t="s">
        <x:v>1320</x:v>
      </x:c>
      <x:c r="M100" s="0">
        <x:v>0</x:v>
      </x:c>
      <x:c r="N100" s="0">
        <x:v>2018</x:v>
      </x:c>
      <x:c r="O100" s="0" t="s">
        <x:v>1342</x:v>
      </x:c>
      <x:c r="S100" s="0">
        <x:v>40</x:v>
      </x:c>
      <x:c r="T100" s="0">
        <x:v>0</x:v>
      </x:c>
      <x:c r="V100" s="0">
        <x:v>0</x:v>
      </x:c>
      <x:c r="W100" s="21">
        <x:v>0</x:v>
      </x:c>
      <x:c r="X100" s="0">
        <x:v>6000</x:v>
      </x:c>
      <x:c r="Y100" s="21">
        <x:v>0</x:v>
      </x:c>
    </x:row>
    <x:row r="101" spans="1:37" x14ac:dyDescent="0.25">
      <x:c r="A101" s="0">
        <x:f>ROW(A101)-1</x:f>
      </x:c>
      <x:c r="B101" s="0">
        <x:v>103</x:v>
      </x:c>
      <x:c r="C101" s="0">
        <x:v>3014</x:v>
      </x:c>
      <x:c r="D101" s="0" t="s">
        <x:v>521</x:v>
      </x:c>
      <x:c r="E101" s="0" t="s">
        <x:v>522</x:v>
      </x:c>
      <x:c r="F101" s="0" t="s">
        <x:v>1386</x:v>
      </x:c>
      <x:c r="G101" s="0" t="s">
        <x:v>1320</x:v>
      </x:c>
      <x:c r="M101" s="0">
        <x:v>0</x:v>
      </x:c>
      <x:c r="N101" s="0">
        <x:v>2018</x:v>
      </x:c>
      <x:c r="S101" s="0">
        <x:v>4850</x:v>
      </x:c>
      <x:c r="T101" s="0">
        <x:v>0</x:v>
      </x:c>
      <x:c r="V101" s="0">
        <x:v>0</x:v>
      </x:c>
      <x:c r="W101" s="21">
        <x:v>0</x:v>
      </x:c>
      <x:c r="X101" s="0">
        <x:v>980054</x:v>
      </x:c>
      <x:c r="Y101" s="21">
        <x:v>0</x:v>
      </x:c>
      <x:c r="AK101" s="0" t="s">
        <x:v>1438</x:v>
      </x:c>
    </x:row>
    <x:row r="102" spans="1:37" x14ac:dyDescent="0.25">
      <x:c r="A102" s="0">
        <x:f>ROW(A102)-1</x:f>
      </x:c>
      <x:c r="B102" s="0">
        <x:v>104</x:v>
      </x:c>
      <x:c r="C102" s="0">
        <x:v>3018</x:v>
      </x:c>
      <x:c r="D102" s="0" t="s">
        <x:v>477</x:v>
      </x:c>
      <x:c r="E102" s="0" t="s">
        <x:v>527</x:v>
      </x:c>
      <x:c r="F102" s="0" t="s">
        <x:v>1432</x:v>
      </x:c>
      <x:c r="G102" s="0" t="s">
        <x:v>1320</x:v>
      </x:c>
      <x:c r="M102" s="0">
        <x:v>0</x:v>
      </x:c>
      <x:c r="N102" s="0">
        <x:v>2019</x:v>
      </x:c>
      <x:c r="O102" s="0" t="s">
        <x:v>1368</x:v>
      </x:c>
      <x:c r="S102" s="0">
        <x:v>1000</x:v>
      </x:c>
      <x:c r="T102" s="0">
        <x:v>0</x:v>
      </x:c>
      <x:c r="V102" s="0">
        <x:v>81000</x:v>
      </x:c>
      <x:c r="W102" s="21">
        <x:v>0</x:v>
      </x:c>
      <x:c r="X102" s="0">
        <x:v>60000</x:v>
      </x:c>
      <x:c r="Y102" s="21">
        <x:v>0</x:v>
      </x:c>
    </x:row>
    <x:row r="103" spans="1:37" x14ac:dyDescent="0.25">
      <x:c r="A103" s="0">
        <x:f>ROW(A103)-1</x:f>
      </x:c>
      <x:c r="B103" s="0">
        <x:v>105</x:v>
      </x:c>
      <x:c r="C103" s="0">
        <x:v>3020</x:v>
      </x:c>
      <x:c r="D103" s="0" t="s">
        <x:v>530</x:v>
      </x:c>
      <x:c r="E103" s="0" t="s">
        <x:v>531</x:v>
      </x:c>
      <x:c r="F103" s="0" t="s">
        <x:v>1439</x:v>
      </x:c>
      <x:c r="G103" s="0" t="s">
        <x:v>1320</x:v>
      </x:c>
      <x:c r="H103" s="0" t="s">
        <x:v>1440</x:v>
      </x:c>
      <x:c r="I103" s="0" t="s">
        <x:v>534</x:v>
      </x:c>
      <x:c r="J103" s="0" t="s">
        <x:v>534</x:v>
      </x:c>
      <x:c r="K103" s="0" t="s">
        <x:v>1441</x:v>
      </x:c>
      <x:c r="M103" s="0">
        <x:v>0</x:v>
      </x:c>
      <x:c r="N103" s="0">
        <x:v>2018</x:v>
      </x:c>
      <x:c r="O103" s="0" t="s">
        <x:v>1342</x:v>
      </x:c>
      <x:c r="S103" s="0">
        <x:v>0</x:v>
      </x:c>
      <x:c r="T103" s="0">
        <x:v>0</x:v>
      </x:c>
      <x:c r="V103" s="0">
        <x:v>0</x:v>
      </x:c>
      <x:c r="W103" s="21">
        <x:v>0</x:v>
      </x:c>
      <x:c r="X103" s="0">
        <x:v>160000</x:v>
      </x:c>
      <x:c r="Y103" s="21">
        <x:v>0</x:v>
      </x:c>
    </x:row>
    <x:row r="104" spans="1:37" x14ac:dyDescent="0.25">
      <x:c r="A104" s="0">
        <x:f>ROW(A104)-1</x:f>
      </x:c>
      <x:c r="B104" s="0">
        <x:v>106</x:v>
      </x:c>
      <x:c r="C104" s="0">
        <x:v>3022</x:v>
      </x:c>
      <x:c r="D104" s="0" t="s">
        <x:v>477</x:v>
      </x:c>
      <x:c r="E104" s="0" t="s">
        <x:v>535</x:v>
      </x:c>
      <x:c r="F104" s="0" t="s">
        <x:v>1442</x:v>
      </x:c>
      <x:c r="G104" s="0" t="s">
        <x:v>1320</x:v>
      </x:c>
      <x:c r="M104" s="0">
        <x:v>0</x:v>
      </x:c>
      <x:c r="N104" s="0">
        <x:v>2018</x:v>
      </x:c>
      <x:c r="O104" s="0" t="s">
        <x:v>1321</x:v>
      </x:c>
      <x:c r="P104" s="0" t="s">
        <x:v>1443</x:v>
      </x:c>
      <x:c r="S104" s="0">
        <x:v>0</x:v>
      </x:c>
      <x:c r="T104" s="0">
        <x:v>0</x:v>
      </x:c>
      <x:c r="V104" s="0">
        <x:v>0</x:v>
      </x:c>
      <x:c r="W104" s="21">
        <x:v>0</x:v>
      </x:c>
      <x:c r="X104" s="0">
        <x:v>6100</x:v>
      </x:c>
      <x:c r="Y104" s="21">
        <x:v>0</x:v>
      </x:c>
    </x:row>
    <x:row r="105" spans="1:37" x14ac:dyDescent="0.25">
      <x:c r="A105" s="0">
        <x:f>ROW(A105)-1</x:f>
      </x:c>
      <x:c r="B105" s="0">
        <x:v>107</x:v>
      </x:c>
      <x:c r="C105" s="0">
        <x:v>3024</x:v>
      </x:c>
      <x:c r="D105" s="0" t="s">
        <x:v>477</x:v>
      </x:c>
      <x:c r="F105" s="0" t="s">
        <x:v>1365</x:v>
      </x:c>
      <x:c r="G105" s="0" t="s">
        <x:v>1320</x:v>
      </x:c>
      <x:c r="M105" s="0">
        <x:v>0</x:v>
      </x:c>
      <x:c r="N105" s="0">
        <x:v>2018</x:v>
      </x:c>
      <x:c r="O105" s="0" t="s">
        <x:v>1342</x:v>
      </x:c>
      <x:c r="S105" s="0">
        <x:v>13</x:v>
      </x:c>
      <x:c r="T105" s="0">
        <x:v>0</x:v>
      </x:c>
      <x:c r="V105" s="0">
        <x:v>0</x:v>
      </x:c>
      <x:c r="W105" s="21">
        <x:v>0</x:v>
      </x:c>
      <x:c r="X105" s="0">
        <x:v>0</x:v>
      </x:c>
      <x:c r="Y105" s="21">
        <x:v>0</x:v>
      </x:c>
    </x:row>
    <x:row r="106" spans="1:37" x14ac:dyDescent="0.25">
      <x:c r="A106" s="0">
        <x:f>ROW(A106)-1</x:f>
      </x:c>
      <x:c r="B106" s="0">
        <x:v>108</x:v>
      </x:c>
      <x:c r="C106" s="0">
        <x:v>3025</x:v>
      </x:c>
      <x:c r="D106" s="0" t="s">
        <x:v>541</x:v>
      </x:c>
      <x:c r="E106" s="0" t="s">
        <x:v>542</x:v>
      </x:c>
      <x:c r="F106" s="0" t="s">
        <x:v>1444</x:v>
      </x:c>
      <x:c r="G106" s="0" t="s">
        <x:v>1320</x:v>
      </x:c>
      <x:c r="M106" s="0">
        <x:v>0</x:v>
      </x:c>
      <x:c r="N106" s="0">
        <x:v>2019</x:v>
      </x:c>
      <x:c r="O106" s="0" t="s">
        <x:v>1368</x:v>
      </x:c>
      <x:c r="P106" s="0" t="s">
        <x:v>1331</x:v>
      </x:c>
      <x:c r="S106" s="0">
        <x:v>0</x:v>
      </x:c>
      <x:c r="T106" s="0">
        <x:v>0</x:v>
      </x:c>
      <x:c r="V106" s="0">
        <x:v>0</x:v>
      </x:c>
      <x:c r="W106" s="21">
        <x:v>0</x:v>
      </x:c>
      <x:c r="X106" s="0">
        <x:v>0</x:v>
      </x:c>
      <x:c r="Y106" s="21">
        <x:v>0</x:v>
      </x:c>
      <x:c r="AK106" s="0" t="s">
        <x:v>1445</x:v>
      </x:c>
    </x:row>
    <x:row r="107" spans="1:37" x14ac:dyDescent="0.25">
      <x:c r="A107" s="0">
        <x:f>ROW(A107)-1</x:f>
      </x:c>
      <x:c r="B107" s="0">
        <x:v>109</x:v>
      </x:c>
      <x:c r="C107" s="0">
        <x:v>3026</x:v>
      </x:c>
      <x:c r="D107" s="0" t="s">
        <x:v>477</x:v>
      </x:c>
      <x:c r="E107" s="0" t="s">
        <x:v>545</x:v>
      </x:c>
      <x:c r="F107" s="0" t="s">
        <x:v>1365</x:v>
      </x:c>
      <x:c r="G107" s="0" t="s">
        <x:v>1320</x:v>
      </x:c>
      <x:c r="M107" s="0">
        <x:v>0</x:v>
      </x:c>
      <x:c r="N107" s="0">
        <x:v>2018</x:v>
      </x:c>
      <x:c r="O107" s="0" t="s">
        <x:v>1321</x:v>
      </x:c>
      <x:c r="S107" s="0">
        <x:v>50</x:v>
      </x:c>
      <x:c r="T107" s="0">
        <x:v>0</x:v>
      </x:c>
      <x:c r="V107" s="0">
        <x:v>0</x:v>
      </x:c>
      <x:c r="W107" s="21">
        <x:v>0</x:v>
      </x:c>
      <x:c r="X107" s="0">
        <x:v>1600</x:v>
      </x:c>
      <x:c r="Y107" s="21">
        <x:v>0</x:v>
      </x:c>
    </x:row>
    <x:row r="108" spans="1:37" x14ac:dyDescent="0.25">
      <x:c r="A108" s="0">
        <x:f>ROW(A108)-1</x:f>
      </x:c>
      <x:c r="B108" s="0">
        <x:v>110</x:v>
      </x:c>
      <x:c r="C108" s="0">
        <x:v>3029</x:v>
      </x:c>
      <x:c r="D108" s="0" t="s">
        <x:v>500</x:v>
      </x:c>
      <x:c r="E108" s="0" t="s">
        <x:v>548</x:v>
      </x:c>
      <x:c r="F108" s="0" t="s">
        <x:v>1365</x:v>
      </x:c>
      <x:c r="G108" s="0" t="s">
        <x:v>1320</x:v>
      </x:c>
      <x:c r="M108" s="0">
        <x:v>0</x:v>
      </x:c>
      <x:c r="N108" s="0">
        <x:v>2023</x:v>
      </x:c>
      <x:c r="O108" s="0" t="s">
        <x:v>1331</x:v>
      </x:c>
      <x:c r="S108" s="0">
        <x:v>470</x:v>
      </x:c>
      <x:c r="T108" s="0">
        <x:v>0</x:v>
      </x:c>
      <x:c r="V108" s="0">
        <x:v>0</x:v>
      </x:c>
      <x:c r="W108" s="21">
        <x:v>0</x:v>
      </x:c>
      <x:c r="X108" s="0">
        <x:v>27000</x:v>
      </x:c>
      <x:c r="Y108" s="21">
        <x:v>0</x:v>
      </x:c>
      <x:c r="AK108" s="0" t="s">
        <x:v>1446</x:v>
      </x:c>
    </x:row>
    <x:row r="109" spans="1:37" x14ac:dyDescent="0.25">
      <x:c r="A109" s="0">
        <x:f>ROW(A109)-1</x:f>
      </x:c>
      <x:c r="B109" s="0">
        <x:v>111</x:v>
      </x:c>
      <x:c r="C109" s="0">
        <x:v>3030</x:v>
      </x:c>
      <x:c r="D109" s="0" t="s">
        <x:v>477</x:v>
      </x:c>
      <x:c r="E109" s="0" t="s">
        <x:v>553</x:v>
      </x:c>
      <x:c r="F109" s="0" t="s">
        <x:v>1447</x:v>
      </x:c>
      <x:c r="G109" s="0" t="s">
        <x:v>1320</x:v>
      </x:c>
      <x:c r="M109" s="0">
        <x:v>0</x:v>
      </x:c>
      <x:c r="N109" s="0">
        <x:v>2019</x:v>
      </x:c>
      <x:c r="O109" s="0" t="s">
        <x:v>1331</x:v>
      </x:c>
      <x:c r="S109" s="0">
        <x:v>3060</x:v>
      </x:c>
      <x:c r="T109" s="0">
        <x:v>0</x:v>
      </x:c>
      <x:c r="V109" s="0">
        <x:v>0</x:v>
      </x:c>
      <x:c r="W109" s="21">
        <x:v>0</x:v>
      </x:c>
      <x:c r="X109" s="0">
        <x:v>26530</x:v>
      </x:c>
      <x:c r="Y109" s="21">
        <x:v>0</x:v>
      </x:c>
    </x:row>
    <x:row r="110" spans="1:37" x14ac:dyDescent="0.25">
      <x:c r="A110" s="0">
        <x:f>ROW(A110)-1</x:f>
      </x:c>
      <x:c r="B110" s="0">
        <x:v>112</x:v>
      </x:c>
      <x:c r="C110" s="0">
        <x:v>3032</x:v>
      </x:c>
      <x:c r="D110" s="0" t="s">
        <x:v>557</x:v>
      </x:c>
      <x:c r="E110" s="0" t="s">
        <x:v>558</x:v>
      </x:c>
      <x:c r="F110" s="0" t="s">
        <x:v>1448</x:v>
      </x:c>
      <x:c r="G110" s="0" t="s">
        <x:v>1320</x:v>
      </x:c>
      <x:c r="M110" s="0">
        <x:v>0</x:v>
      </x:c>
      <x:c r="N110" s="0">
        <x:v>2021</x:v>
      </x:c>
      <x:c r="O110" s="0" t="s">
        <x:v>1342</x:v>
      </x:c>
      <x:c r="S110" s="0">
        <x:v>710</x:v>
      </x:c>
      <x:c r="T110" s="0">
        <x:v>0</x:v>
      </x:c>
      <x:c r="V110" s="0">
        <x:v>0</x:v>
      </x:c>
      <x:c r="W110" s="21">
        <x:v>0</x:v>
      </x:c>
      <x:c r="X110" s="0">
        <x:v>9140</x:v>
      </x:c>
      <x:c r="Y110" s="21">
        <x:v>0</x:v>
      </x:c>
      <x:c r="AK110" s="0" t="s">
        <x:v>1449</x:v>
      </x:c>
    </x:row>
    <x:row r="111" spans="1:37" x14ac:dyDescent="0.25">
      <x:c r="A111" s="0">
        <x:f>ROW(A111)-1</x:f>
      </x:c>
      <x:c r="B111" s="0">
        <x:v>113</x:v>
      </x:c>
      <x:c r="C111" s="0">
        <x:v>3037</x:v>
      </x:c>
      <x:c r="D111" s="0" t="s">
        <x:v>477</x:v>
      </x:c>
      <x:c r="E111" s="0" t="s">
        <x:v>562</x:v>
      </x:c>
      <x:c r="F111" s="0" t="s">
        <x:v>1365</x:v>
      </x:c>
      <x:c r="G111" s="0" t="s">
        <x:v>1320</x:v>
      </x:c>
      <x:c r="M111" s="0">
        <x:v>0</x:v>
      </x:c>
      <x:c r="N111" s="0">
        <x:v>2019</x:v>
      </x:c>
      <x:c r="O111" s="0" t="s">
        <x:v>1321</x:v>
      </x:c>
      <x:c r="S111" s="0">
        <x:v>11812</x:v>
      </x:c>
      <x:c r="T111" s="0">
        <x:v>0</x:v>
      </x:c>
      <x:c r="V111" s="0">
        <x:v>0</x:v>
      </x:c>
      <x:c r="W111" s="21">
        <x:v>0</x:v>
      </x:c>
      <x:c r="X111" s="0">
        <x:v>1637473</x:v>
      </x:c>
      <x:c r="Y111" s="21">
        <x:v>0</x:v>
      </x:c>
    </x:row>
    <x:row r="112" spans="1:37" x14ac:dyDescent="0.25">
      <x:c r="A112" s="0">
        <x:f>ROW(A112)-1</x:f>
      </x:c>
      <x:c r="B112" s="0">
        <x:v>114</x:v>
      </x:c>
      <x:c r="C112" s="0">
        <x:v>3038</x:v>
      </x:c>
      <x:c r="D112" s="0" t="s">
        <x:v>477</x:v>
      </x:c>
      <x:c r="E112" s="0" t="s">
        <x:v>566</x:v>
      </x:c>
      <x:c r="F112" s="0" t="s">
        <x:v>1365</x:v>
      </x:c>
      <x:c r="G112" s="0" t="s">
        <x:v>1320</x:v>
      </x:c>
      <x:c r="M112" s="0">
        <x:v>0</x:v>
      </x:c>
      <x:c r="N112" s="0">
        <x:v>2019</x:v>
      </x:c>
      <x:c r="O112" s="0" t="s">
        <x:v>1342</x:v>
      </x:c>
      <x:c r="S112" s="0">
        <x:v>40</x:v>
      </x:c>
      <x:c r="T112" s="0">
        <x:v>0</x:v>
      </x:c>
      <x:c r="V112" s="0">
        <x:v>0</x:v>
      </x:c>
      <x:c r="W112" s="21">
        <x:v>0</x:v>
      </x:c>
      <x:c r="X112" s="0">
        <x:v>0</x:v>
      </x:c>
      <x:c r="Y112" s="21">
        <x:v>0</x:v>
      </x:c>
    </x:row>
    <x:row r="113" spans="1:37" x14ac:dyDescent="0.25">
      <x:c r="A113" s="0">
        <x:f>ROW(A113)-1</x:f>
      </x:c>
      <x:c r="B113" s="0">
        <x:v>115</x:v>
      </x:c>
      <x:c r="C113" s="0">
        <x:v>3041</x:v>
      </x:c>
      <x:c r="D113" s="0" t="s">
        <x:v>569</x:v>
      </x:c>
      <x:c r="E113" s="0" t="s">
        <x:v>570</x:v>
      </x:c>
      <x:c r="F113" s="0" t="s">
        <x:v>1450</x:v>
      </x:c>
      <x:c r="G113" s="0" t="s">
        <x:v>1320</x:v>
      </x:c>
      <x:c r="M113" s="0">
        <x:v>0</x:v>
      </x:c>
      <x:c r="N113" s="0">
        <x:v>2019</x:v>
      </x:c>
      <x:c r="O113" s="0" t="s">
        <x:v>1373</x:v>
      </x:c>
      <x:c r="S113" s="0">
        <x:v>0</x:v>
      </x:c>
      <x:c r="T113" s="0">
        <x:v>0</x:v>
      </x:c>
      <x:c r="V113" s="0">
        <x:v>0</x:v>
      </x:c>
      <x:c r="W113" s="21">
        <x:v>0</x:v>
      </x:c>
      <x:c r="X113" s="0">
        <x:v>0</x:v>
      </x:c>
      <x:c r="Y113" s="21">
        <x:v>0</x:v>
      </x:c>
    </x:row>
    <x:row r="114" spans="1:37" x14ac:dyDescent="0.25">
      <x:c r="A114" s="0">
        <x:f>ROW(A114)-1</x:f>
      </x:c>
      <x:c r="B114" s="0">
        <x:v>116</x:v>
      </x:c>
      <x:c r="C114" s="0">
        <x:v>3042</x:v>
      </x:c>
      <x:c r="D114" s="0" t="s">
        <x:v>573</x:v>
      </x:c>
      <x:c r="E114" s="0" t="s">
        <x:v>574</x:v>
      </x:c>
      <x:c r="F114" s="0" t="s">
        <x:v>1387</x:v>
      </x:c>
      <x:c r="G114" s="0" t="s">
        <x:v>1320</x:v>
      </x:c>
      <x:c r="M114" s="0">
        <x:v>0</x:v>
      </x:c>
      <x:c r="N114" s="0">
        <x:v>2020</x:v>
      </x:c>
      <x:c r="O114" s="0" t="s">
        <x:v>1342</x:v>
      </x:c>
      <x:c r="S114" s="0">
        <x:v>0</x:v>
      </x:c>
      <x:c r="T114" s="0">
        <x:v>0</x:v>
      </x:c>
      <x:c r="V114" s="0">
        <x:v>0</x:v>
      </x:c>
      <x:c r="W114" s="21">
        <x:v>0</x:v>
      </x:c>
      <x:c r="X114" s="0">
        <x:v>0</x:v>
      </x:c>
      <x:c r="Y114" s="21">
        <x:v>0</x:v>
      </x:c>
      <x:c r="AK114" s="0" t="s">
        <x:v>1451</x:v>
      </x:c>
    </x:row>
    <x:row r="115" spans="1:37" x14ac:dyDescent="0.25">
      <x:c r="A115" s="0">
        <x:f>ROW(A115)-1</x:f>
      </x:c>
      <x:c r="B115" s="0">
        <x:v>117</x:v>
      </x:c>
      <x:c r="C115" s="0">
        <x:v>3043</x:v>
      </x:c>
      <x:c r="D115" s="0" t="s">
        <x:v>578</x:v>
      </x:c>
      <x:c r="E115" s="0" t="s">
        <x:v>579</x:v>
      </x:c>
      <x:c r="F115" s="0" t="s">
        <x:v>1452</x:v>
      </x:c>
      <x:c r="G115" s="0" t="s">
        <x:v>1320</x:v>
      </x:c>
      <x:c r="M115" s="0">
        <x:v>0</x:v>
      </x:c>
      <x:c r="N115" s="0">
        <x:v>2019</x:v>
      </x:c>
      <x:c r="O115" s="0" t="s">
        <x:v>1342</x:v>
      </x:c>
      <x:c r="S115" s="0">
        <x:v>0</x:v>
      </x:c>
      <x:c r="T115" s="0">
        <x:v>0</x:v>
      </x:c>
      <x:c r="V115" s="0">
        <x:v>0</x:v>
      </x:c>
      <x:c r="W115" s="21">
        <x:v>0</x:v>
      </x:c>
      <x:c r="X115" s="0">
        <x:v>11425</x:v>
      </x:c>
      <x:c r="Y115" s="21">
        <x:v>0</x:v>
      </x:c>
    </x:row>
    <x:row r="116" spans="1:37" x14ac:dyDescent="0.25">
      <x:c r="A116" s="0">
        <x:f>ROW(A116)-1</x:f>
      </x:c>
      <x:c r="B116" s="0">
        <x:v>118</x:v>
      </x:c>
      <x:c r="C116" s="0">
        <x:v>3045</x:v>
      </x:c>
      <x:c r="D116" s="0" t="s">
        <x:v>583</x:v>
      </x:c>
      <x:c r="E116" s="0" t="s">
        <x:v>584</x:v>
      </x:c>
      <x:c r="F116" s="0" t="s">
        <x:v>1453</x:v>
      </x:c>
      <x:c r="G116" s="0" t="s">
        <x:v>1320</x:v>
      </x:c>
      <x:c r="M116" s="0">
        <x:v>0</x:v>
      </x:c>
      <x:c r="N116" s="0">
        <x:v>2019</x:v>
      </x:c>
      <x:c r="S116" s="0">
        <x:v>0</x:v>
      </x:c>
      <x:c r="T116" s="0">
        <x:v>0</x:v>
      </x:c>
      <x:c r="V116" s="0">
        <x:v>0</x:v>
      </x:c>
      <x:c r="W116" s="21">
        <x:v>0</x:v>
      </x:c>
      <x:c r="X116" s="0">
        <x:v>0</x:v>
      </x:c>
      <x:c r="Y116" s="21">
        <x:v>0</x:v>
      </x:c>
    </x:row>
    <x:row r="117" spans="1:37" x14ac:dyDescent="0.25">
      <x:c r="A117" s="0">
        <x:f>ROW(A117)-1</x:f>
      </x:c>
      <x:c r="B117" s="0">
        <x:v>119</x:v>
      </x:c>
      <x:c r="C117" s="0">
        <x:v>3046</x:v>
      </x:c>
      <x:c r="D117" s="0" t="s">
        <x:v>224</x:v>
      </x:c>
      <x:c r="E117" s="0" t="s">
        <x:v>588</x:v>
      </x:c>
      <x:c r="F117" s="0" t="s">
        <x:v>1454</x:v>
      </x:c>
      <x:c r="G117" s="0" t="s">
        <x:v>1320</x:v>
      </x:c>
      <x:c r="M117" s="0">
        <x:v>0</x:v>
      </x:c>
      <x:c r="N117" s="0">
        <x:v>2019</x:v>
      </x:c>
      <x:c r="O117" s="0" t="s">
        <x:v>1373</x:v>
      </x:c>
      <x:c r="S117" s="0">
        <x:v>0</x:v>
      </x:c>
      <x:c r="T117" s="0">
        <x:v>0</x:v>
      </x:c>
      <x:c r="V117" s="0">
        <x:v>0</x:v>
      </x:c>
      <x:c r="W117" s="21">
        <x:v>0</x:v>
      </x:c>
      <x:c r="X117" s="0">
        <x:v>243600</x:v>
      </x:c>
      <x:c r="Y117" s="21">
        <x:v>0</x:v>
      </x:c>
    </x:row>
    <x:row r="118" spans="1:37" x14ac:dyDescent="0.25">
      <x:c r="A118" s="0">
        <x:f>ROW(A118)-1</x:f>
      </x:c>
      <x:c r="B118" s="0">
        <x:v>120</x:v>
      </x:c>
      <x:c r="C118" s="0">
        <x:v>3047</x:v>
      </x:c>
      <x:c r="D118" s="0" t="s">
        <x:v>591</x:v>
      </x:c>
      <x:c r="E118" s="0" t="s">
        <x:v>592</x:v>
      </x:c>
      <x:c r="F118" s="0" t="s">
        <x:v>1450</x:v>
      </x:c>
      <x:c r="G118" s="0" t="s">
        <x:v>1320</x:v>
      </x:c>
      <x:c r="M118" s="0">
        <x:v>0</x:v>
      </x:c>
      <x:c r="N118" s="0">
        <x:v>2020</x:v>
      </x:c>
      <x:c r="O118" s="0" t="s">
        <x:v>1373</x:v>
      </x:c>
      <x:c r="S118" s="0">
        <x:v>0</x:v>
      </x:c>
      <x:c r="T118" s="0">
        <x:v>0</x:v>
      </x:c>
      <x:c r="V118" s="0">
        <x:v>0</x:v>
      </x:c>
      <x:c r="W118" s="21">
        <x:v>0</x:v>
      </x:c>
      <x:c r="X118" s="0">
        <x:v>17000</x:v>
      </x:c>
      <x:c r="Y118" s="21">
        <x:v>0</x:v>
      </x:c>
      <x:c r="AK118" s="0" t="s">
        <x:v>1455</x:v>
      </x:c>
    </x:row>
    <x:row r="119" spans="1:37" x14ac:dyDescent="0.25">
      <x:c r="A119" s="0">
        <x:f>ROW(A119)-1</x:f>
      </x:c>
      <x:c r="B119" s="0">
        <x:v>121</x:v>
      </x:c>
      <x:c r="C119" s="0">
        <x:v>3050</x:v>
      </x:c>
      <x:c r="D119" s="0" t="s">
        <x:v>595</x:v>
      </x:c>
      <x:c r="E119" s="0" t="s">
        <x:v>596</x:v>
      </x:c>
      <x:c r="F119" s="0" t="s">
        <x:v>1450</x:v>
      </x:c>
      <x:c r="G119" s="0" t="s">
        <x:v>1320</x:v>
      </x:c>
      <x:c r="H119" s="0" t="s">
        <x:v>1456</x:v>
      </x:c>
      <x:c r="I119" s="0" t="s">
        <x:v>276</x:v>
      </x:c>
      <x:c r="J119" s="0" t="s">
        <x:v>1457</x:v>
      </x:c>
      <x:c r="K119" s="0" t="s">
        <x:v>1458</x:v>
      </x:c>
      <x:c r="M119" s="0">
        <x:v>0</x:v>
      </x:c>
      <x:c r="N119" s="0">
        <x:v>2022</x:v>
      </x:c>
      <x:c r="O119" s="0" t="s">
        <x:v>1373</x:v>
      </x:c>
      <x:c r="S119" s="0">
        <x:v>625</x:v>
      </x:c>
      <x:c r="T119" s="0">
        <x:v>0</x:v>
      </x:c>
      <x:c r="V119" s="0">
        <x:v>0</x:v>
      </x:c>
      <x:c r="W119" s="21">
        <x:v>0</x:v>
      </x:c>
      <x:c r="X119" s="0">
        <x:v>1289235</x:v>
      </x:c>
      <x:c r="Y119" s="21">
        <x:v>0</x:v>
      </x:c>
      <x:c r="AK119" s="0" t="s">
        <x:v>1459</x:v>
      </x:c>
    </x:row>
    <x:row r="120" spans="1:37" x14ac:dyDescent="0.25">
      <x:c r="A120" s="0">
        <x:f>ROW(A120)-1</x:f>
      </x:c>
      <x:c r="B120" s="0">
        <x:v>122</x:v>
      </x:c>
      <x:c r="C120" s="0">
        <x:v>3054</x:v>
      </x:c>
      <x:c r="D120" s="0" t="s">
        <x:v>600</x:v>
      </x:c>
      <x:c r="E120" s="0" t="s">
        <x:v>601</x:v>
      </x:c>
      <x:c r="F120" s="0" t="s">
        <x:v>1365</x:v>
      </x:c>
      <x:c r="G120" s="0" t="s">
        <x:v>1320</x:v>
      </x:c>
      <x:c r="M120" s="0">
        <x:v>0</x:v>
      </x:c>
      <x:c r="N120" s="0">
        <x:v>2022</x:v>
      </x:c>
      <x:c r="S120" s="0">
        <x:v>0</x:v>
      </x:c>
      <x:c r="T120" s="0">
        <x:v>0</x:v>
      </x:c>
      <x:c r="V120" s="0">
        <x:v>0</x:v>
      </x:c>
      <x:c r="W120" s="21">
        <x:v>0</x:v>
      </x:c>
      <x:c r="X120" s="0">
        <x:v>6000</x:v>
      </x:c>
      <x:c r="Y120" s="21">
        <x:v>0</x:v>
      </x:c>
    </x:row>
    <x:row r="121" spans="1:37" x14ac:dyDescent="0.25">
      <x:c r="A121" s="0">
        <x:f>ROW(A121)-1</x:f>
      </x:c>
      <x:c r="B121" s="0">
        <x:v>123</x:v>
      </x:c>
      <x:c r="C121" s="0">
        <x:v>3055</x:v>
      </x:c>
      <x:c r="D121" s="0" t="s">
        <x:v>605</x:v>
      </x:c>
      <x:c r="E121" s="0" t="s">
        <x:v>606</x:v>
      </x:c>
      <x:c r="F121" s="0" t="s">
        <x:v>1365</x:v>
      </x:c>
      <x:c r="G121" s="0" t="s">
        <x:v>1320</x:v>
      </x:c>
      <x:c r="M121" s="0">
        <x:v>0</x:v>
      </x:c>
      <x:c r="N121" s="0">
        <x:v>2020</x:v>
      </x:c>
      <x:c r="O121" s="0" t="s">
        <x:v>1321</x:v>
      </x:c>
      <x:c r="S121" s="0">
        <x:v>1193</x:v>
      </x:c>
      <x:c r="T121" s="0">
        <x:v>0</x:v>
      </x:c>
      <x:c r="V121" s="0">
        <x:v>0</x:v>
      </x:c>
      <x:c r="W121" s="21">
        <x:v>0</x:v>
      </x:c>
      <x:c r="X121" s="0">
        <x:v>0</x:v>
      </x:c>
      <x:c r="Y121" s="21">
        <x:v>0</x:v>
      </x:c>
    </x:row>
    <x:row r="122" spans="1:37" x14ac:dyDescent="0.25">
      <x:c r="A122" s="0">
        <x:f>ROW(A122)-1</x:f>
      </x:c>
      <x:c r="B122" s="0">
        <x:v>124</x:v>
      </x:c>
      <x:c r="C122" s="0">
        <x:v>3057</x:v>
      </x:c>
      <x:c r="D122" s="0" t="s">
        <x:v>608</x:v>
      </x:c>
      <x:c r="E122" s="0" t="s">
        <x:v>609</x:v>
      </x:c>
      <x:c r="F122" s="0" t="s">
        <x:v>1365</x:v>
      </x:c>
      <x:c r="G122" s="0" t="s">
        <x:v>1320</x:v>
      </x:c>
      <x:c r="M122" s="0">
        <x:v>0</x:v>
      </x:c>
      <x:c r="N122" s="0">
        <x:v>2020</x:v>
      </x:c>
      <x:c r="S122" s="0">
        <x:v>0</x:v>
      </x:c>
      <x:c r="T122" s="0">
        <x:v>0</x:v>
      </x:c>
      <x:c r="V122" s="0">
        <x:v>0</x:v>
      </x:c>
      <x:c r="W122" s="21">
        <x:v>0</x:v>
      </x:c>
      <x:c r="X122" s="0">
        <x:v>0</x:v>
      </x:c>
      <x:c r="Y122" s="21">
        <x:v>0</x:v>
      </x:c>
    </x:row>
    <x:row r="123" spans="1:37" x14ac:dyDescent="0.25">
      <x:c r="A123" s="0">
        <x:f>ROW(A123)-1</x:f>
      </x:c>
      <x:c r="B123" s="0">
        <x:v>125</x:v>
      </x:c>
      <x:c r="C123" s="0">
        <x:v>3058</x:v>
      </x:c>
      <x:c r="D123" s="0" t="s">
        <x:v>611</x:v>
      </x:c>
      <x:c r="E123" s="0" t="s">
        <x:v>612</x:v>
      </x:c>
      <x:c r="F123" s="0" t="s">
        <x:v>1365</x:v>
      </x:c>
      <x:c r="G123" s="0" t="s">
        <x:v>1320</x:v>
      </x:c>
      <x:c r="M123" s="0">
        <x:v>0</x:v>
      </x:c>
      <x:c r="N123" s="0">
        <x:v>2021</x:v>
      </x:c>
      <x:c r="S123" s="0">
        <x:v>4388</x:v>
      </x:c>
      <x:c r="T123" s="0">
        <x:v>0</x:v>
      </x:c>
      <x:c r="V123" s="0">
        <x:v>0</x:v>
      </x:c>
      <x:c r="W123" s="21">
        <x:v>0</x:v>
      </x:c>
      <x:c r="X123" s="0">
        <x:v>170000</x:v>
      </x:c>
      <x:c r="Y123" s="21">
        <x:v>0</x:v>
      </x:c>
      <x:c r="AK123" s="0" t="s">
        <x:v>1460</x:v>
      </x:c>
    </x:row>
    <x:row r="124" spans="1:37" x14ac:dyDescent="0.25">
      <x:c r="A124" s="0">
        <x:f>ROW(A124)-1</x:f>
      </x:c>
      <x:c r="B124" s="0">
        <x:v>126</x:v>
      </x:c>
      <x:c r="C124" s="0">
        <x:v>3059</x:v>
      </x:c>
      <x:c r="D124" s="0" t="s">
        <x:v>614</x:v>
      </x:c>
      <x:c r="E124" s="0" t="s">
        <x:v>615</x:v>
      </x:c>
      <x:c r="F124" s="0" t="s">
        <x:v>1461</x:v>
      </x:c>
      <x:c r="G124" s="0" t="s">
        <x:v>1320</x:v>
      </x:c>
      <x:c r="M124" s="0">
        <x:v>2019</x:v>
      </x:c>
      <x:c r="N124" s="0">
        <x:v>2020</x:v>
      </x:c>
      <x:c r="O124" s="0" t="s">
        <x:v>1342</x:v>
      </x:c>
      <x:c r="S124" s="0">
        <x:v>420</x:v>
      </x:c>
      <x:c r="T124" s="0">
        <x:v>0</x:v>
      </x:c>
      <x:c r="V124" s="0">
        <x:v>0</x:v>
      </x:c>
      <x:c r="W124" s="21">
        <x:v>0</x:v>
      </x:c>
      <x:c r="X124" s="0">
        <x:v>12490</x:v>
      </x:c>
      <x:c r="Y124" s="21">
        <x:v>0</x:v>
      </x:c>
      <x:c r="AK124" s="0" t="s">
        <x:v>1327</x:v>
      </x:c>
    </x:row>
    <x:row r="125" spans="1:37" x14ac:dyDescent="0.25">
      <x:c r="A125" s="0">
        <x:f>ROW(A125)-1</x:f>
      </x:c>
      <x:c r="B125" s="0">
        <x:v>127</x:v>
      </x:c>
      <x:c r="C125" s="0">
        <x:v>3061</x:v>
      </x:c>
      <x:c r="D125" s="0" t="s">
        <x:v>618</x:v>
      </x:c>
      <x:c r="E125" s="0" t="s">
        <x:v>619</x:v>
      </x:c>
      <x:c r="F125" s="0" t="s">
        <x:v>1461</x:v>
      </x:c>
      <x:c r="G125" s="0" t="s">
        <x:v>1320</x:v>
      </x:c>
      <x:c r="M125" s="0">
        <x:v>2019</x:v>
      </x:c>
      <x:c r="N125" s="0">
        <x:v>2020</x:v>
      </x:c>
      <x:c r="O125" s="0" t="s">
        <x:v>1342</x:v>
      </x:c>
      <x:c r="S125" s="0">
        <x:v>0</x:v>
      </x:c>
      <x:c r="T125" s="0">
        <x:v>0</x:v>
      </x:c>
      <x:c r="V125" s="0">
        <x:v>0</x:v>
      </x:c>
      <x:c r="W125" s="21">
        <x:v>0</x:v>
      </x:c>
      <x:c r="X125" s="0">
        <x:v>27200</x:v>
      </x:c>
      <x:c r="Y125" s="21">
        <x:v>0</x:v>
      </x:c>
      <x:c r="AK125" s="0" t="s">
        <x:v>1327</x:v>
      </x:c>
    </x:row>
    <x:row r="126" spans="1:37" x14ac:dyDescent="0.25">
      <x:c r="A126" s="0">
        <x:f>ROW(A126)-1</x:f>
      </x:c>
      <x:c r="B126" s="0">
        <x:v>128</x:v>
      </x:c>
      <x:c r="C126" s="0">
        <x:v>3062</x:v>
      </x:c>
      <x:c r="D126" s="0" t="s">
        <x:v>623</x:v>
      </x:c>
      <x:c r="E126" s="0" t="s">
        <x:v>624</x:v>
      </x:c>
      <x:c r="G126" s="0" t="s">
        <x:v>1320</x:v>
      </x:c>
      <x:c r="M126" s="0">
        <x:v>0</x:v>
      </x:c>
      <x:c r="N126" s="0">
        <x:v>2020</x:v>
      </x:c>
      <x:c r="S126" s="0">
        <x:v>0</x:v>
      </x:c>
      <x:c r="T126" s="0">
        <x:v>0</x:v>
      </x:c>
      <x:c r="V126" s="0">
        <x:v>0</x:v>
      </x:c>
      <x:c r="W126" s="21">
        <x:v>0</x:v>
      </x:c>
      <x:c r="X126" s="0">
        <x:v>0</x:v>
      </x:c>
      <x:c r="Y126" s="21">
        <x:v>0</x:v>
      </x:c>
    </x:row>
    <x:row r="127" spans="1:37" x14ac:dyDescent="0.25">
      <x:c r="A127" s="0">
        <x:f>ROW(A127)-1</x:f>
      </x:c>
      <x:c r="B127" s="0">
        <x:v>129</x:v>
      </x:c>
      <x:c r="C127" s="0">
        <x:v>3063</x:v>
      </x:c>
      <x:c r="D127" s="0" t="s">
        <x:v>628</x:v>
      </x:c>
      <x:c r="E127" s="0" t="s">
        <x:v>629</x:v>
      </x:c>
      <x:c r="F127" s="0" t="s">
        <x:v>1462</x:v>
      </x:c>
      <x:c r="G127" s="0" t="s">
        <x:v>1320</x:v>
      </x:c>
      <x:c r="M127" s="0">
        <x:v>0</x:v>
      </x:c>
      <x:c r="N127" s="0">
        <x:v>2021</x:v>
      </x:c>
      <x:c r="O127" s="0" t="s">
        <x:v>1373</x:v>
      </x:c>
      <x:c r="S127" s="0">
        <x:v>4000</x:v>
      </x:c>
      <x:c r="T127" s="0">
        <x:v>0</x:v>
      </x:c>
      <x:c r="V127" s="0">
        <x:v>0</x:v>
      </x:c>
      <x:c r="W127" s="21">
        <x:v>0</x:v>
      </x:c>
      <x:c r="X127" s="0">
        <x:v>0</x:v>
      </x:c>
      <x:c r="Y127" s="21">
        <x:v>0</x:v>
      </x:c>
      <x:c r="AK127" s="0" t="s">
        <x:v>1463</x:v>
      </x:c>
    </x:row>
    <x:row r="128" spans="1:37" x14ac:dyDescent="0.25">
      <x:c r="A128" s="0">
        <x:f>ROW(A128)-1</x:f>
      </x:c>
      <x:c r="B128" s="0">
        <x:v>130</x:v>
      </x:c>
      <x:c r="C128" s="0">
        <x:v>3067</x:v>
      </x:c>
      <x:c r="D128" s="0" t="s">
        <x:v>634</x:v>
      </x:c>
      <x:c r="E128" s="0" t="s">
        <x:v>635</x:v>
      </x:c>
      <x:c r="F128" s="0" t="s">
        <x:v>1386</x:v>
      </x:c>
      <x:c r="G128" s="0" t="s">
        <x:v>1320</x:v>
      </x:c>
      <x:c r="M128" s="0">
        <x:v>0</x:v>
      </x:c>
      <x:c r="N128" s="0">
        <x:v>2020</x:v>
      </x:c>
      <x:c r="O128" s="0" t="s">
        <x:v>1342</x:v>
      </x:c>
      <x:c r="S128" s="0">
        <x:v>1240</x:v>
      </x:c>
      <x:c r="T128" s="0">
        <x:v>0</x:v>
      </x:c>
      <x:c r="V128" s="0">
        <x:v>0</x:v>
      </x:c>
      <x:c r="W128" s="21">
        <x:v>0</x:v>
      </x:c>
      <x:c r="X128" s="0">
        <x:v>0</x:v>
      </x:c>
      <x:c r="Y128" s="21">
        <x:v>0</x:v>
      </x:c>
    </x:row>
    <x:row r="129" spans="1:37" x14ac:dyDescent="0.25">
      <x:c r="A129" s="0">
        <x:f>ROW(A129)-1</x:f>
      </x:c>
      <x:c r="B129" s="0">
        <x:v>131</x:v>
      </x:c>
      <x:c r="C129" s="0">
        <x:v>3068</x:v>
      </x:c>
      <x:c r="D129" s="0" t="s">
        <x:v>634</x:v>
      </x:c>
      <x:c r="E129" s="0" t="s">
        <x:v>639</x:v>
      </x:c>
      <x:c r="F129" s="0" t="s">
        <x:v>1432</x:v>
      </x:c>
      <x:c r="G129" s="0" t="s">
        <x:v>1320</x:v>
      </x:c>
      <x:c r="M129" s="0">
        <x:v>0</x:v>
      </x:c>
      <x:c r="N129" s="0">
        <x:v>2020</x:v>
      </x:c>
      <x:c r="O129" s="0" t="s">
        <x:v>1368</x:v>
      </x:c>
      <x:c r="S129" s="0">
        <x:v>544</x:v>
      </x:c>
      <x:c r="T129" s="0">
        <x:v>0</x:v>
      </x:c>
      <x:c r="V129" s="0">
        <x:v>0</x:v>
      </x:c>
      <x:c r="W129" s="21">
        <x:v>0</x:v>
      </x:c>
      <x:c r="X129" s="0">
        <x:v>0</x:v>
      </x:c>
      <x:c r="Y129" s="21">
        <x:v>0</x:v>
      </x:c>
    </x:row>
    <x:row r="130" spans="1:37" x14ac:dyDescent="0.25">
      <x:c r="A130" s="0">
        <x:f>ROW(A130)-1</x:f>
      </x:c>
      <x:c r="B130" s="0">
        <x:v>132</x:v>
      </x:c>
      <x:c r="C130" s="0">
        <x:v>3070</x:v>
      </x:c>
      <x:c r="D130" s="0" t="s">
        <x:v>477</x:v>
      </x:c>
      <x:c r="E130" s="0" t="s">
        <x:v>641</x:v>
      </x:c>
      <x:c r="F130" s="0" t="s">
        <x:v>1365</x:v>
      </x:c>
      <x:c r="G130" s="0" t="s">
        <x:v>1320</x:v>
      </x:c>
      <x:c r="M130" s="0">
        <x:v>0</x:v>
      </x:c>
      <x:c r="N130" s="0">
        <x:v>2020</x:v>
      </x:c>
      <x:c r="O130" s="0" t="s">
        <x:v>1342</x:v>
      </x:c>
      <x:c r="S130" s="0">
        <x:v>1000</x:v>
      </x:c>
      <x:c r="T130" s="0">
        <x:v>0</x:v>
      </x:c>
      <x:c r="V130" s="0">
        <x:v>0</x:v>
      </x:c>
      <x:c r="W130" s="21">
        <x:v>0</x:v>
      </x:c>
      <x:c r="X130" s="0">
        <x:v>0</x:v>
      </x:c>
      <x:c r="Y130" s="21">
        <x:v>0</x:v>
      </x:c>
    </x:row>
    <x:row r="131" spans="1:37" x14ac:dyDescent="0.25">
      <x:c r="A131" s="0">
        <x:f>ROW(A131)-1</x:f>
      </x:c>
      <x:c r="B131" s="0">
        <x:v>133</x:v>
      </x:c>
      <x:c r="C131" s="0">
        <x:v>3071</x:v>
      </x:c>
      <x:c r="D131" s="0" t="s">
        <x:v>477</x:v>
      </x:c>
      <x:c r="E131" s="0" t="s">
        <x:v>643</x:v>
      </x:c>
      <x:c r="F131" s="0" t="s">
        <x:v>1377</x:v>
      </x:c>
      <x:c r="G131" s="0" t="s">
        <x:v>1320</x:v>
      </x:c>
      <x:c r="M131" s="0">
        <x:v>0</x:v>
      </x:c>
      <x:c r="N131" s="0">
        <x:v>2020</x:v>
      </x:c>
      <x:c r="O131" s="0" t="s">
        <x:v>1368</x:v>
      </x:c>
      <x:c r="S131" s="0">
        <x:v>333</x:v>
      </x:c>
      <x:c r="T131" s="0">
        <x:v>0</x:v>
      </x:c>
      <x:c r="V131" s="0">
        <x:v>0</x:v>
      </x:c>
      <x:c r="W131" s="21">
        <x:v>0</x:v>
      </x:c>
      <x:c r="X131" s="0">
        <x:v>0</x:v>
      </x:c>
      <x:c r="Y131" s="21">
        <x:v>0</x:v>
      </x:c>
    </x:row>
    <x:row r="132" spans="1:37" x14ac:dyDescent="0.25">
      <x:c r="A132" s="0">
        <x:f>ROW(A132)-1</x:f>
      </x:c>
      <x:c r="B132" s="0">
        <x:v>134</x:v>
      </x:c>
      <x:c r="C132" s="0">
        <x:v>3081</x:v>
      </x:c>
      <x:c r="D132" s="0" t="s">
        <x:v>224</x:v>
      </x:c>
      <x:c r="E132" s="0" t="s">
        <x:v>646</x:v>
      </x:c>
      <x:c r="G132" s="0" t="s">
        <x:v>1320</x:v>
      </x:c>
      <x:c r="M132" s="0">
        <x:v>0</x:v>
      </x:c>
      <x:c r="N132" s="0">
        <x:v>0</x:v>
      </x:c>
      <x:c r="S132" s="0">
        <x:v>0</x:v>
      </x:c>
      <x:c r="T132" s="0">
        <x:v>0</x:v>
      </x:c>
      <x:c r="V132" s="0">
        <x:v>0</x:v>
      </x:c>
      <x:c r="W132" s="21">
        <x:v>0</x:v>
      </x:c>
      <x:c r="X132" s="0">
        <x:v>0</x:v>
      </x:c>
      <x:c r="Y132" s="21">
        <x:v>0</x:v>
      </x:c>
    </x:row>
    <x:row r="133" spans="1:37" x14ac:dyDescent="0.25">
      <x:c r="A133" s="0">
        <x:f>ROW(A133)-1</x:f>
      </x:c>
      <x:c r="B133" s="0">
        <x:v>135</x:v>
      </x:c>
      <x:c r="C133" s="0">
        <x:v>3082</x:v>
      </x:c>
      <x:c r="D133" s="0" t="s">
        <x:v>650</x:v>
      </x:c>
      <x:c r="E133" s="0" t="s">
        <x:v>651</x:v>
      </x:c>
      <x:c r="F133" s="0" t="s">
        <x:v>1365</x:v>
      </x:c>
      <x:c r="G133" s="0" t="s">
        <x:v>1320</x:v>
      </x:c>
      <x:c r="M133" s="0">
        <x:v>0</x:v>
      </x:c>
      <x:c r="N133" s="0">
        <x:v>2020</x:v>
      </x:c>
      <x:c r="O133" s="0" t="s">
        <x:v>1342</x:v>
      </x:c>
      <x:c r="S133" s="0">
        <x:v>0</x:v>
      </x:c>
      <x:c r="T133" s="0">
        <x:v>0</x:v>
      </x:c>
      <x:c r="V133" s="0">
        <x:v>0</x:v>
      </x:c>
      <x:c r="W133" s="21">
        <x:v>0</x:v>
      </x:c>
      <x:c r="X133" s="0">
        <x:v>0</x:v>
      </x:c>
      <x:c r="Y133" s="21">
        <x:v>0</x:v>
      </x:c>
    </x:row>
    <x:row r="134" spans="1:37" x14ac:dyDescent="0.25">
      <x:c r="A134" s="0">
        <x:f>ROW(A134)-1</x:f>
      </x:c>
      <x:c r="B134" s="0">
        <x:v>136</x:v>
      </x:c>
      <x:c r="C134" s="0">
        <x:v>3084</x:v>
      </x:c>
      <x:c r="D134" s="0" t="s">
        <x:v>658</x:v>
      </x:c>
      <x:c r="E134" s="0" t="s">
        <x:v>659</x:v>
      </x:c>
      <x:c r="F134" s="0" t="s">
        <x:v>1464</x:v>
      </x:c>
      <x:c r="G134" s="0" t="s">
        <x:v>1320</x:v>
      </x:c>
      <x:c r="H134" s="0" t="s">
        <x:v>1465</x:v>
      </x:c>
      <x:c r="I134" s="0" t="s">
        <x:v>329</x:v>
      </x:c>
      <x:c r="J134" s="0" t="s">
        <x:v>1466</x:v>
      </x:c>
      <x:c r="K134" s="0" t="s">
        <x:v>1467</x:v>
      </x:c>
      <x:c r="M134" s="0">
        <x:v>0</x:v>
      </x:c>
      <x:c r="N134" s="0">
        <x:v>2022</x:v>
      </x:c>
      <x:c r="O134" s="0" t="s">
        <x:v>1342</x:v>
      </x:c>
      <x:c r="S134" s="0">
        <x:v>5656</x:v>
      </x:c>
      <x:c r="T134" s="0">
        <x:v>0</x:v>
      </x:c>
      <x:c r="V134" s="0">
        <x:v>0</x:v>
      </x:c>
      <x:c r="W134" s="21">
        <x:v>0</x:v>
      </x:c>
      <x:c r="X134" s="0">
        <x:v>0</x:v>
      </x:c>
      <x:c r="Y134" s="21">
        <x:v>0</x:v>
      </x:c>
      <x:c r="AK134" s="0" t="s">
        <x:v>1468</x:v>
      </x:c>
    </x:row>
    <x:row r="135" spans="1:37" x14ac:dyDescent="0.25">
      <x:c r="A135" s="0">
        <x:f>ROW(A135)-1</x:f>
      </x:c>
      <x:c r="B135" s="0">
        <x:v>137</x:v>
      </x:c>
      <x:c r="C135" s="0">
        <x:v>3085</x:v>
      </x:c>
      <x:c r="D135" s="0" t="s">
        <x:v>663</x:v>
      </x:c>
      <x:c r="E135" s="0" t="s">
        <x:v>664</x:v>
      </x:c>
      <x:c r="F135" s="0" t="s">
        <x:v>1387</x:v>
      </x:c>
      <x:c r="G135" s="0" t="s">
        <x:v>1320</x:v>
      </x:c>
      <x:c r="H135" s="0" t="s">
        <x:v>1469</x:v>
      </x:c>
      <x:c r="I135" s="0" t="s">
        <x:v>270</x:v>
      </x:c>
      <x:c r="J135" s="0" t="s">
        <x:v>665</x:v>
      </x:c>
      <x:c r="K135" s="0" t="s">
        <x:v>1470</x:v>
      </x:c>
      <x:c r="M135" s="0">
        <x:v>0</x:v>
      </x:c>
      <x:c r="N135" s="0">
        <x:v>2021</x:v>
      </x:c>
      <x:c r="O135" s="0" t="s">
        <x:v>1342</x:v>
      </x:c>
      <x:c r="S135" s="0">
        <x:v>4000</x:v>
      </x:c>
      <x:c r="T135" s="0">
        <x:v>0</x:v>
      </x:c>
      <x:c r="V135" s="0">
        <x:v>0</x:v>
      </x:c>
      <x:c r="W135" s="21">
        <x:v>0</x:v>
      </x:c>
      <x:c r="X135" s="0">
        <x:v>170000</x:v>
      </x:c>
      <x:c r="Y135" s="21">
        <x:v>0</x:v>
      </x:c>
    </x:row>
    <x:row r="136" spans="1:37" x14ac:dyDescent="0.25">
      <x:c r="A136" s="0">
        <x:f>ROW(A136)-1</x:f>
      </x:c>
      <x:c r="B136" s="0">
        <x:v>138</x:v>
      </x:c>
      <x:c r="C136" s="0">
        <x:v>3086</x:v>
      </x:c>
      <x:c r="D136" s="0" t="s">
        <x:v>666</x:v>
      </x:c>
      <x:c r="E136" s="0" t="s">
        <x:v>667</x:v>
      </x:c>
      <x:c r="F136" s="0" t="s">
        <x:v>1471</x:v>
      </x:c>
      <x:c r="G136" s="0" t="s">
        <x:v>1320</x:v>
      </x:c>
      <x:c r="H136" s="0" t="s">
        <x:v>1472</x:v>
      </x:c>
      <x:c r="I136" s="0" t="s">
        <x:v>668</x:v>
      </x:c>
      <x:c r="J136" s="0" t="s">
        <x:v>338</x:v>
      </x:c>
      <x:c r="K136" s="0" t="s">
        <x:v>1473</x:v>
      </x:c>
      <x:c r="M136" s="0">
        <x:v>0</x:v>
      </x:c>
      <x:c r="N136" s="0">
        <x:v>2021</x:v>
      </x:c>
      <x:c r="O136" s="0" t="s">
        <x:v>1331</x:v>
      </x:c>
      <x:c r="S136" s="0">
        <x:v>150</x:v>
      </x:c>
      <x:c r="T136" s="0">
        <x:v>0</x:v>
      </x:c>
      <x:c r="V136" s="0">
        <x:v>0</x:v>
      </x:c>
      <x:c r="W136" s="21">
        <x:v>0</x:v>
      </x:c>
      <x:c r="X136" s="0">
        <x:v>45295</x:v>
      </x:c>
      <x:c r="Y136" s="21">
        <x:v>0</x:v>
      </x:c>
    </x:row>
    <x:row r="137" spans="1:37" x14ac:dyDescent="0.25">
      <x:c r="A137" s="0">
        <x:f>ROW(A137)-1</x:f>
      </x:c>
      <x:c r="B137" s="0">
        <x:v>139</x:v>
      </x:c>
      <x:c r="C137" s="0">
        <x:v>3087</x:v>
      </x:c>
      <x:c r="D137" s="0" t="s">
        <x:v>224</x:v>
      </x:c>
      <x:c r="E137" s="0" t="s">
        <x:v>669</x:v>
      </x:c>
      <x:c r="F137" s="0" t="s">
        <x:v>1381</x:v>
      </x:c>
      <x:c r="G137" s="0" t="s">
        <x:v>1320</x:v>
      </x:c>
      <x:c r="M137" s="0">
        <x:v>0</x:v>
      </x:c>
      <x:c r="N137" s="0">
        <x:v>2020</x:v>
      </x:c>
      <x:c r="O137" s="0" t="s">
        <x:v>1342</x:v>
      </x:c>
      <x:c r="S137" s="0">
        <x:v>0</x:v>
      </x:c>
      <x:c r="T137" s="0">
        <x:v>0</x:v>
      </x:c>
      <x:c r="V137" s="0">
        <x:v>0</x:v>
      </x:c>
      <x:c r="W137" s="21">
        <x:v>0</x:v>
      </x:c>
      <x:c r="X137" s="0">
        <x:v>0</x:v>
      </x:c>
      <x:c r="Y137" s="21">
        <x:v>0</x:v>
      </x:c>
    </x:row>
    <x:row r="138" spans="1:37" x14ac:dyDescent="0.25">
      <x:c r="A138" s="0">
        <x:f>ROW(A138)-1</x:f>
      </x:c>
      <x:c r="B138" s="0">
        <x:v>140</x:v>
      </x:c>
      <x:c r="C138" s="0">
        <x:v>3088</x:v>
      </x:c>
      <x:c r="D138" s="0" t="s">
        <x:v>666</x:v>
      </x:c>
      <x:c r="E138" s="0" t="s">
        <x:v>672</x:v>
      </x:c>
      <x:c r="F138" s="0" t="s">
        <x:v>1474</x:v>
      </x:c>
      <x:c r="G138" s="0" t="s">
        <x:v>1320</x:v>
      </x:c>
      <x:c r="H138" s="0" t="s">
        <x:v>1465</x:v>
      </x:c>
      <x:c r="I138" s="0" t="s">
        <x:v>329</x:v>
      </x:c>
      <x:c r="J138" s="0" t="s">
        <x:v>675</x:v>
      </x:c>
      <x:c r="K138" s="0" t="s">
        <x:v>1475</x:v>
      </x:c>
      <x:c r="M138" s="0">
        <x:v>1956</x:v>
      </x:c>
      <x:c r="N138" s="0">
        <x:v>2022</x:v>
      </x:c>
      <x:c r="O138" s="0" t="s">
        <x:v>1321</x:v>
      </x:c>
      <x:c r="P138" s="0" t="s">
        <x:v>1476</x:v>
      </x:c>
      <x:c r="S138" s="0">
        <x:v>540</x:v>
      </x:c>
      <x:c r="T138" s="0">
        <x:v>0</x:v>
      </x:c>
      <x:c r="V138" s="0">
        <x:v>75000</x:v>
      </x:c>
      <x:c r="W138" s="21">
        <x:v>0</x:v>
      </x:c>
      <x:c r="X138" s="0">
        <x:v>10000</x:v>
      </x:c>
      <x:c r="Y138" s="21">
        <x:v>0</x:v>
      </x:c>
    </x:row>
    <x:row r="139" spans="1:37" x14ac:dyDescent="0.25">
      <x:c r="A139" s="0">
        <x:f>ROW(A139)-1</x:f>
      </x:c>
      <x:c r="B139" s="0">
        <x:v>141</x:v>
      </x:c>
      <x:c r="C139" s="0">
        <x:v>3089</x:v>
      </x:c>
      <x:c r="D139" s="0" t="s">
        <x:v>676</x:v>
      </x:c>
      <x:c r="E139" s="0" t="s">
        <x:v>677</x:v>
      </x:c>
      <x:c r="F139" s="0" t="s">
        <x:v>1365</x:v>
      </x:c>
      <x:c r="G139" s="0" t="s">
        <x:v>1320</x:v>
      </x:c>
      <x:c r="H139" s="0" t="s">
        <x:v>1465</x:v>
      </x:c>
      <x:c r="I139" s="0" t="s">
        <x:v>329</x:v>
      </x:c>
      <x:c r="J139" s="0" t="s">
        <x:v>680</x:v>
      </x:c>
      <x:c r="K139" s="0" t="s">
        <x:v>1477</x:v>
      </x:c>
      <x:c r="M139" s="0">
        <x:v>1894</x:v>
      </x:c>
      <x:c r="N139" s="0">
        <x:v>2022</x:v>
      </x:c>
      <x:c r="O139" s="0" t="s">
        <x:v>1321</x:v>
      </x:c>
      <x:c r="P139" s="0" t="s">
        <x:v>1331</x:v>
      </x:c>
      <x:c r="S139" s="0">
        <x:v>800</x:v>
      </x:c>
      <x:c r="T139" s="0">
        <x:v>0</x:v>
      </x:c>
      <x:c r="V139" s="0">
        <x:v>93240</x:v>
      </x:c>
      <x:c r="W139" s="21">
        <x:v>0</x:v>
      </x:c>
      <x:c r="X139" s="0">
        <x:v>17500</x:v>
      </x:c>
      <x:c r="Y139" s="21">
        <x:v>0</x:v>
      </x:c>
    </x:row>
    <x:row r="140" spans="1:37" x14ac:dyDescent="0.25">
      <x:c r="A140" s="0">
        <x:f>ROW(A140)-1</x:f>
      </x:c>
      <x:c r="B140" s="0">
        <x:v>142</x:v>
      </x:c>
      <x:c r="C140" s="0">
        <x:v>3092</x:v>
      </x:c>
      <x:c r="D140" s="0" t="s">
        <x:v>132</x:v>
      </x:c>
      <x:c r="E140" s="0" t="s">
        <x:v>681</x:v>
      </x:c>
      <x:c r="F140" s="0" t="s">
        <x:v>1365</x:v>
      </x:c>
      <x:c r="G140" s="0" t="s">
        <x:v>1320</x:v>
      </x:c>
      <x:c r="H140" s="0" t="s">
        <x:v>1465</x:v>
      </x:c>
      <x:c r="I140" s="0" t="s">
        <x:v>329</x:v>
      </x:c>
      <x:c r="J140" s="0" t="s">
        <x:v>680</x:v>
      </x:c>
      <x:c r="K140" s="0" t="s">
        <x:v>1478</x:v>
      </x:c>
      <x:c r="M140" s="0">
        <x:v>1900</x:v>
      </x:c>
      <x:c r="N140" s="0">
        <x:v>2022</x:v>
      </x:c>
      <x:c r="O140" s="0" t="s">
        <x:v>1331</x:v>
      </x:c>
      <x:c r="S140" s="0">
        <x:v>600</x:v>
      </x:c>
      <x:c r="T140" s="0">
        <x:v>0</x:v>
      </x:c>
      <x:c r="V140" s="0">
        <x:v>50000</x:v>
      </x:c>
      <x:c r="W140" s="21">
        <x:v>0</x:v>
      </x:c>
      <x:c r="X140" s="0">
        <x:v>14620</x:v>
      </x:c>
      <x:c r="Y140" s="21">
        <x:v>0</x:v>
      </x:c>
    </x:row>
    <x:row r="141" spans="1:37" x14ac:dyDescent="0.25">
      <x:c r="A141" s="0">
        <x:f>ROW(A141)-1</x:f>
      </x:c>
      <x:c r="B141" s="0">
        <x:v>143</x:v>
      </x:c>
      <x:c r="C141" s="0">
        <x:v>3094</x:v>
      </x:c>
      <x:c r="D141" s="0" t="s">
        <x:v>676</x:v>
      </x:c>
      <x:c r="E141" s="0" t="s">
        <x:v>684</x:v>
      </x:c>
      <x:c r="F141" s="0" t="s">
        <x:v>1365</x:v>
      </x:c>
      <x:c r="G141" s="0" t="s">
        <x:v>1320</x:v>
      </x:c>
      <x:c r="H141" s="0" t="s">
        <x:v>1479</x:v>
      </x:c>
      <x:c r="I141" s="0" t="s">
        <x:v>481</x:v>
      </x:c>
      <x:c r="J141" s="0" t="s">
        <x:v>687</x:v>
      </x:c>
      <x:c r="K141" s="0" t="s">
        <x:v>1480</x:v>
      </x:c>
      <x:c r="M141" s="0">
        <x:v>0</x:v>
      </x:c>
      <x:c r="N141" s="0">
        <x:v>2021</x:v>
      </x:c>
      <x:c r="O141" s="0" t="s">
        <x:v>1342</x:v>
      </x:c>
      <x:c r="S141" s="0">
        <x:v>600</x:v>
      </x:c>
      <x:c r="T141" s="0">
        <x:v>0</x:v>
      </x:c>
      <x:c r="V141" s="0">
        <x:v>0</x:v>
      </x:c>
      <x:c r="W141" s="21">
        <x:v>0</x:v>
      </x:c>
      <x:c r="X141" s="0">
        <x:v>35000</x:v>
      </x:c>
      <x:c r="Y141" s="21">
        <x:v>0</x:v>
      </x:c>
    </x:row>
    <x:row r="142" spans="1:37" x14ac:dyDescent="0.25">
      <x:c r="A142" s="0">
        <x:f>ROW(A142)-1</x:f>
      </x:c>
      <x:c r="B142" s="0">
        <x:v>144</x:v>
      </x:c>
      <x:c r="C142" s="0">
        <x:v>3095</x:v>
      </x:c>
      <x:c r="D142" s="0" t="s">
        <x:v>676</x:v>
      </x:c>
      <x:c r="E142" s="0" t="s">
        <x:v>688</x:v>
      </x:c>
      <x:c r="F142" s="0" t="s">
        <x:v>1365</x:v>
      </x:c>
      <x:c r="G142" s="0" t="s">
        <x:v>1320</x:v>
      </x:c>
      <x:c r="H142" s="0" t="s">
        <x:v>1481</x:v>
      </x:c>
      <x:c r="I142" s="0" t="s">
        <x:v>297</x:v>
      </x:c>
      <x:c r="J142" s="0" t="s">
        <x:v>691</x:v>
      </x:c>
      <x:c r="K142" s="0" t="s">
        <x:v>1482</x:v>
      </x:c>
      <x:c r="M142" s="0">
        <x:v>0</x:v>
      </x:c>
      <x:c r="N142" s="0">
        <x:v>2021</x:v>
      </x:c>
      <x:c r="O142" s="0" t="s">
        <x:v>1342</x:v>
      </x:c>
      <x:c r="S142" s="0">
        <x:v>250</x:v>
      </x:c>
      <x:c r="T142" s="0">
        <x:v>0</x:v>
      </x:c>
      <x:c r="V142" s="0">
        <x:v>0</x:v>
      </x:c>
      <x:c r="W142" s="21">
        <x:v>0</x:v>
      </x:c>
      <x:c r="X142" s="0">
        <x:v>14434</x:v>
      </x:c>
      <x:c r="Y142" s="21">
        <x:v>0</x:v>
      </x:c>
    </x:row>
    <x:row r="143" spans="1:37" x14ac:dyDescent="0.25">
      <x:c r="A143" s="0">
        <x:f>ROW(A143)-1</x:f>
      </x:c>
      <x:c r="B143" s="0">
        <x:v>145</x:v>
      </x:c>
      <x:c r="C143" s="0">
        <x:v>3096</x:v>
      </x:c>
      <x:c r="D143" s="0" t="s">
        <x:v>692</x:v>
      </x:c>
      <x:c r="E143" s="0" t="s">
        <x:v>693</x:v>
      </x:c>
      <x:c r="F143" s="0" t="s">
        <x:v>1386</x:v>
      </x:c>
      <x:c r="G143" s="0" t="s">
        <x:v>1320</x:v>
      </x:c>
      <x:c r="H143" s="0" t="s">
        <x:v>1479</x:v>
      </x:c>
      <x:c r="I143" s="0" t="s">
        <x:v>481</x:v>
      </x:c>
      <x:c r="J143" s="0" t="s">
        <x:v>75</x:v>
      </x:c>
      <x:c r="K143" s="0" t="s">
        <x:v>1355</x:v>
      </x:c>
      <x:c r="M143" s="0">
        <x:v>0</x:v>
      </x:c>
      <x:c r="N143" s="0">
        <x:v>2021</x:v>
      </x:c>
      <x:c r="O143" s="0" t="s">
        <x:v>1342</x:v>
      </x:c>
      <x:c r="S143" s="0">
        <x:v>1750</x:v>
      </x:c>
      <x:c r="T143" s="0">
        <x:v>0</x:v>
      </x:c>
      <x:c r="V143" s="0">
        <x:v>0</x:v>
      </x:c>
      <x:c r="W143" s="21">
        <x:v>0</x:v>
      </x:c>
      <x:c r="X143" s="0">
        <x:v>39552</x:v>
      </x:c>
      <x:c r="Y143" s="21">
        <x:v>0</x:v>
      </x:c>
    </x:row>
    <x:row r="144" spans="1:37" x14ac:dyDescent="0.25">
      <x:c r="A144" s="0">
        <x:f>ROW(A144)-1</x:f>
      </x:c>
      <x:c r="B144" s="0">
        <x:v>146</x:v>
      </x:c>
      <x:c r="C144" s="0">
        <x:v>3098</x:v>
      </x:c>
      <x:c r="D144" s="0" t="s">
        <x:v>696</x:v>
      </x:c>
      <x:c r="E144" s="0" t="s">
        <x:v>697</x:v>
      </x:c>
      <x:c r="F144" s="0" t="s">
        <x:v>1365</x:v>
      </x:c>
      <x:c r="G144" s="0" t="s">
        <x:v>1320</x:v>
      </x:c>
      <x:c r="M144" s="0">
        <x:v>0</x:v>
      </x:c>
      <x:c r="N144" s="0">
        <x:v>2022</x:v>
      </x:c>
      <x:c r="O144" s="0" t="s">
        <x:v>1342</x:v>
      </x:c>
      <x:c r="S144" s="0">
        <x:v>0</x:v>
      </x:c>
      <x:c r="T144" s="0">
        <x:v>0</x:v>
      </x:c>
      <x:c r="V144" s="0">
        <x:v>0</x:v>
      </x:c>
      <x:c r="W144" s="21">
        <x:v>0</x:v>
      </x:c>
      <x:c r="X144" s="0">
        <x:v>0</x:v>
      </x:c>
      <x:c r="Y144" s="21">
        <x:v>0</x:v>
      </x:c>
      <x:c r="AK144" s="0" t="s">
        <x:v>1483</x:v>
      </x:c>
    </x:row>
    <x:row r="145" spans="1:37" x14ac:dyDescent="0.25">
      <x:c r="A145" s="0">
        <x:f>ROW(A145)-1</x:f>
      </x:c>
      <x:c r="B145" s="0">
        <x:v>147</x:v>
      </x:c>
      <x:c r="C145" s="0">
        <x:v>3102</x:v>
      </x:c>
      <x:c r="D145" s="0" t="s">
        <x:v>224</x:v>
      </x:c>
      <x:c r="E145" s="0" t="s">
        <x:v>701</x:v>
      </x:c>
      <x:c r="F145" s="0" t="s">
        <x:v>1365</x:v>
      </x:c>
      <x:c r="G145" s="0" t="s">
        <x:v>1320</x:v>
      </x:c>
      <x:c r="M145" s="0">
        <x:v>0</x:v>
      </x:c>
      <x:c r="N145" s="0">
        <x:v>2020</x:v>
      </x:c>
      <x:c r="O145" s="0" t="s">
        <x:v>1342</x:v>
      </x:c>
      <x:c r="S145" s="0">
        <x:v>0</x:v>
      </x:c>
      <x:c r="T145" s="0">
        <x:v>0</x:v>
      </x:c>
      <x:c r="V145" s="0">
        <x:v>0</x:v>
      </x:c>
      <x:c r="W145" s="21">
        <x:v>0</x:v>
      </x:c>
      <x:c r="X145" s="0">
        <x:v>0</x:v>
      </x:c>
      <x:c r="Y145" s="21">
        <x:v>0</x:v>
      </x:c>
    </x:row>
    <x:row r="146" spans="1:37" x14ac:dyDescent="0.25">
      <x:c r="A146" s="0">
        <x:f>ROW(A146)-1</x:f>
      </x:c>
      <x:c r="B146" s="0">
        <x:v>148</x:v>
      </x:c>
      <x:c r="C146" s="0">
        <x:v>3105</x:v>
      </x:c>
      <x:c r="D146" s="0" t="s">
        <x:v>224</x:v>
      </x:c>
      <x:c r="E146" s="0" t="s">
        <x:v>707</x:v>
      </x:c>
      <x:c r="F146" s="0" t="s">
        <x:v>1365</x:v>
      </x:c>
      <x:c r="G146" s="0" t="s">
        <x:v>1320</x:v>
      </x:c>
      <x:c r="M146" s="0">
        <x:v>0</x:v>
      </x:c>
      <x:c r="N146" s="0">
        <x:v>2023</x:v>
      </x:c>
      <x:c r="O146" s="0" t="s">
        <x:v>1342</x:v>
      </x:c>
      <x:c r="S146" s="0">
        <x:v>0</x:v>
      </x:c>
      <x:c r="T146" s="0">
        <x:v>0</x:v>
      </x:c>
      <x:c r="V146" s="0">
        <x:v>0</x:v>
      </x:c>
      <x:c r="W146" s="21">
        <x:v>0</x:v>
      </x:c>
      <x:c r="X146" s="0">
        <x:v>0</x:v>
      </x:c>
      <x:c r="Y146" s="21">
        <x:v>0</x:v>
      </x:c>
    </x:row>
    <x:row r="147" spans="1:37" x14ac:dyDescent="0.25">
      <x:c r="A147" s="0">
        <x:f>ROW(A147)-1</x:f>
      </x:c>
      <x:c r="B147" s="0">
        <x:v>149</x:v>
      </x:c>
      <x:c r="C147" s="0">
        <x:v>3107</x:v>
      </x:c>
      <x:c r="D147" s="0" t="s">
        <x:v>224</x:v>
      </x:c>
      <x:c r="E147" s="0" t="s">
        <x:v>712</x:v>
      </x:c>
      <x:c r="F147" s="0" t="s">
        <x:v>1377</x:v>
      </x:c>
      <x:c r="G147" s="0" t="s">
        <x:v>1320</x:v>
      </x:c>
      <x:c r="M147" s="0">
        <x:v>0</x:v>
      </x:c>
      <x:c r="N147" s="0">
        <x:v>2020</x:v>
      </x:c>
      <x:c r="O147" s="0" t="s">
        <x:v>1368</x:v>
      </x:c>
      <x:c r="S147" s="0">
        <x:v>0</x:v>
      </x:c>
      <x:c r="T147" s="0">
        <x:v>0</x:v>
      </x:c>
      <x:c r="V147" s="0">
        <x:v>0</x:v>
      </x:c>
      <x:c r="W147" s="21">
        <x:v>0</x:v>
      </x:c>
      <x:c r="X147" s="0">
        <x:v>0</x:v>
      </x:c>
      <x:c r="Y147" s="21">
        <x:v>0</x:v>
      </x:c>
    </x:row>
    <x:row r="148" spans="1:37" x14ac:dyDescent="0.25">
      <x:c r="A148" s="0">
        <x:f>ROW(A148)-1</x:f>
      </x:c>
      <x:c r="B148" s="0">
        <x:v>150</x:v>
      </x:c>
      <x:c r="C148" s="0">
        <x:v>3113</x:v>
      </x:c>
      <x:c r="D148" s="0" t="s">
        <x:v>714</x:v>
      </x:c>
      <x:c r="E148" s="0" t="s">
        <x:v>715</x:v>
      </x:c>
      <x:c r="F148" s="0" t="s">
        <x:v>1484</x:v>
      </x:c>
      <x:c r="G148" s="0" t="s">
        <x:v>1320</x:v>
      </x:c>
      <x:c r="M148" s="0">
        <x:v>0</x:v>
      </x:c>
      <x:c r="N148" s="0">
        <x:v>2022</x:v>
      </x:c>
      <x:c r="O148" s="0" t="s">
        <x:v>1342</x:v>
      </x:c>
      <x:c r="S148" s="0">
        <x:v>0</x:v>
      </x:c>
      <x:c r="T148" s="0">
        <x:v>0</x:v>
      </x:c>
      <x:c r="V148" s="0">
        <x:v>0</x:v>
      </x:c>
      <x:c r="W148" s="21">
        <x:v>0</x:v>
      </x:c>
      <x:c r="X148" s="0">
        <x:v>0</x:v>
      </x:c>
      <x:c r="Y148" s="21">
        <x:v>0</x:v>
      </x:c>
      <x:c r="AK148" s="0" t="s">
        <x:v>1485</x:v>
      </x:c>
    </x:row>
    <x:row r="149" spans="1:37" x14ac:dyDescent="0.25">
      <x:c r="A149" s="0">
        <x:f>ROW(A149)-1</x:f>
      </x:c>
      <x:c r="B149" s="0">
        <x:v>151</x:v>
      </x:c>
      <x:c r="C149" s="0">
        <x:v>3116</x:v>
      </x:c>
      <x:c r="D149" s="0" t="s">
        <x:v>719</x:v>
      </x:c>
      <x:c r="E149" s="0" t="s">
        <x:v>720</x:v>
      </x:c>
      <x:c r="F149" s="0" t="s">
        <x:v>1387</x:v>
      </x:c>
      <x:c r="G149" s="0" t="s">
        <x:v>1320</x:v>
      </x:c>
      <x:c r="M149" s="0">
        <x:v>0</x:v>
      </x:c>
      <x:c r="N149" s="0">
        <x:v>2022</x:v>
      </x:c>
      <x:c r="O149" s="0" t="s">
        <x:v>1342</x:v>
      </x:c>
      <x:c r="S149" s="0">
        <x:v>800</x:v>
      </x:c>
      <x:c r="T149" s="0">
        <x:v>0</x:v>
      </x:c>
      <x:c r="V149" s="0">
        <x:v>0</x:v>
      </x:c>
      <x:c r="W149" s="21">
        <x:v>0</x:v>
      </x:c>
      <x:c r="X149" s="0">
        <x:v>0</x:v>
      </x:c>
      <x:c r="Y149" s="21">
        <x:v>0</x:v>
      </x:c>
    </x:row>
    <x:row r="150" spans="1:37" x14ac:dyDescent="0.25">
      <x:c r="A150" s="0">
        <x:f>ROW(A150)-1</x:f>
      </x:c>
      <x:c r="B150" s="0">
        <x:v>152</x:v>
      </x:c>
      <x:c r="C150" s="0">
        <x:v>3119</x:v>
      </x:c>
      <x:c r="D150" s="0" t="s">
        <x:v>722</x:v>
      </x:c>
      <x:c r="E150" s="0" t="s">
        <x:v>723</x:v>
      </x:c>
      <x:c r="F150" s="0" t="s">
        <x:v>1365</x:v>
      </x:c>
      <x:c r="G150" s="0" t="s">
        <x:v>1320</x:v>
      </x:c>
      <x:c r="M150" s="0">
        <x:v>0</x:v>
      </x:c>
      <x:c r="N150" s="0">
        <x:v>2022</x:v>
      </x:c>
      <x:c r="O150" s="0" t="s">
        <x:v>1342</x:v>
      </x:c>
      <x:c r="S150" s="0">
        <x:v>150</x:v>
      </x:c>
      <x:c r="T150" s="0">
        <x:v>0</x:v>
      </x:c>
      <x:c r="V150" s="0">
        <x:v>0</x:v>
      </x:c>
      <x:c r="W150" s="21">
        <x:v>0</x:v>
      </x:c>
      <x:c r="X150" s="0">
        <x:v>5500</x:v>
      </x:c>
      <x:c r="Y150" s="21">
        <x:v>0</x:v>
      </x:c>
    </x:row>
    <x:row r="151" spans="1:37" x14ac:dyDescent="0.25">
      <x:c r="A151" s="0">
        <x:f>ROW(A151)-1</x:f>
      </x:c>
      <x:c r="B151" s="0">
        <x:v>153</x:v>
      </x:c>
      <x:c r="C151" s="0">
        <x:v>3120</x:v>
      </x:c>
      <x:c r="D151" s="0" t="s">
        <x:v>727</x:v>
      </x:c>
      <x:c r="E151" s="0" t="s">
        <x:v>728</x:v>
      </x:c>
      <x:c r="F151" s="0" t="s">
        <x:v>1365</x:v>
      </x:c>
      <x:c r="G151" s="0" t="s">
        <x:v>1320</x:v>
      </x:c>
      <x:c r="M151" s="0">
        <x:v>0</x:v>
      </x:c>
      <x:c r="N151" s="0">
        <x:v>2022</x:v>
      </x:c>
      <x:c r="O151" s="0" t="s">
        <x:v>1342</x:v>
      </x:c>
      <x:c r="S151" s="0">
        <x:v>500</x:v>
      </x:c>
      <x:c r="T151" s="0">
        <x:v>0</x:v>
      </x:c>
      <x:c r="V151" s="0">
        <x:v>0</x:v>
      </x:c>
      <x:c r="W151" s="21">
        <x:v>0</x:v>
      </x:c>
      <x:c r="X151" s="0">
        <x:v>12000</x:v>
      </x:c>
      <x:c r="Y151" s="21">
        <x:v>0</x:v>
      </x:c>
    </x:row>
    <x:row r="152" spans="1:37" x14ac:dyDescent="0.25">
      <x:c r="A152" s="0">
        <x:f>ROW(A152)-1</x:f>
      </x:c>
      <x:c r="B152" s="0">
        <x:v>154</x:v>
      </x:c>
      <x:c r="C152" s="0">
        <x:v>3121</x:v>
      </x:c>
      <x:c r="D152" s="0" t="s">
        <x:v>732</x:v>
      </x:c>
      <x:c r="E152" s="0" t="s">
        <x:v>733</x:v>
      </x:c>
      <x:c r="F152" s="0" t="s">
        <x:v>1365</x:v>
      </x:c>
      <x:c r="G152" s="0" t="s">
        <x:v>1320</x:v>
      </x:c>
      <x:c r="M152" s="0">
        <x:v>0</x:v>
      </x:c>
      <x:c r="N152" s="0">
        <x:v>2022</x:v>
      </x:c>
      <x:c r="O152" s="0" t="s">
        <x:v>1342</x:v>
      </x:c>
      <x:c r="S152" s="0">
        <x:v>200</x:v>
      </x:c>
      <x:c r="T152" s="0">
        <x:v>0</x:v>
      </x:c>
      <x:c r="V152" s="0">
        <x:v>0</x:v>
      </x:c>
      <x:c r="W152" s="21">
        <x:v>0</x:v>
      </x:c>
      <x:c r="X152" s="0">
        <x:v>25161</x:v>
      </x:c>
      <x:c r="Y152" s="21">
        <x:v>0</x:v>
      </x:c>
    </x:row>
    <x:row r="153" spans="1:37" x14ac:dyDescent="0.25">
      <x:c r="A153" s="0">
        <x:f>ROW(A153)-1</x:f>
      </x:c>
      <x:c r="B153" s="0">
        <x:v>155</x:v>
      </x:c>
      <x:c r="C153" s="0">
        <x:v>3123</x:v>
      </x:c>
      <x:c r="D153" s="0" t="s">
        <x:v>224</x:v>
      </x:c>
      <x:c r="E153" s="0" t="s">
        <x:v>737</x:v>
      </x:c>
      <x:c r="G153" s="0" t="s">
        <x:v>1320</x:v>
      </x:c>
      <x:c r="M153" s="0">
        <x:v>0</x:v>
      </x:c>
      <x:c r="N153" s="0">
        <x:v>2023</x:v>
      </x:c>
      <x:c r="S153" s="0">
        <x:v>0</x:v>
      </x:c>
      <x:c r="T153" s="0">
        <x:v>0</x:v>
      </x:c>
      <x:c r="V153" s="0">
        <x:v>0</x:v>
      </x:c>
      <x:c r="W153" s="21">
        <x:v>0</x:v>
      </x:c>
      <x:c r="X153" s="0">
        <x:v>0</x:v>
      </x:c>
      <x:c r="Y153" s="21">
        <x:v>0</x:v>
      </x:c>
    </x:row>
    <x:row r="154" spans="1:37" x14ac:dyDescent="0.25">
      <x:c r="A154" s="0">
        <x:f>ROW(A154)-1</x:f>
      </x:c>
      <x:c r="B154" s="0">
        <x:v>156</x:v>
      </x:c>
      <x:c r="C154" s="0">
        <x:v>3125</x:v>
      </x:c>
      <x:c r="D154" s="0" t="s">
        <x:v>224</x:v>
      </x:c>
      <x:c r="E154" s="0" t="s">
        <x:v>742</x:v>
      </x:c>
      <x:c r="F154" s="0" t="s">
        <x:v>1365</x:v>
      </x:c>
      <x:c r="G154" s="0" t="s">
        <x:v>1320</x:v>
      </x:c>
      <x:c r="M154" s="0">
        <x:v>0</x:v>
      </x:c>
      <x:c r="N154" s="0">
        <x:v>2023</x:v>
      </x:c>
      <x:c r="O154" s="0" t="s">
        <x:v>1342</x:v>
      </x:c>
      <x:c r="S154" s="0">
        <x:v>0</x:v>
      </x:c>
      <x:c r="T154" s="0">
        <x:v>0</x:v>
      </x:c>
      <x:c r="V154" s="0">
        <x:v>0</x:v>
      </x:c>
      <x:c r="W154" s="21">
        <x:v>0</x:v>
      </x:c>
      <x:c r="X154" s="0">
        <x:v>0</x:v>
      </x:c>
      <x:c r="Y154" s="21">
        <x:v>0</x:v>
      </x:c>
    </x:row>
    <x:row r="155" spans="1:37" x14ac:dyDescent="0.25">
      <x:c r="A155" s="0">
        <x:f>ROW(A155)-1</x:f>
      </x:c>
      <x:c r="B155" s="0">
        <x:v>157</x:v>
      </x:c>
      <x:c r="C155" s="0">
        <x:v>3126</x:v>
      </x:c>
      <x:c r="D155" s="0" t="s">
        <x:v>224</x:v>
      </x:c>
      <x:c r="E155" s="0" t="s">
        <x:v>745</x:v>
      </x:c>
      <x:c r="F155" s="0" t="s">
        <x:v>1377</x:v>
      </x:c>
      <x:c r="G155" s="0" t="s">
        <x:v>1320</x:v>
      </x:c>
      <x:c r="M155" s="0">
        <x:v>0</x:v>
      </x:c>
      <x:c r="N155" s="0">
        <x:v>2023</x:v>
      </x:c>
      <x:c r="O155" s="0" t="s">
        <x:v>1368</x:v>
      </x:c>
      <x:c r="S155" s="0">
        <x:v>0</x:v>
      </x:c>
      <x:c r="T155" s="0">
        <x:v>0</x:v>
      </x:c>
      <x:c r="V155" s="0">
        <x:v>0</x:v>
      </x:c>
      <x:c r="W155" s="21">
        <x:v>0</x:v>
      </x:c>
      <x:c r="X155" s="0">
        <x:v>37720</x:v>
      </x:c>
      <x:c r="Y155" s="21">
        <x:v>0</x:v>
      </x:c>
    </x:row>
    <x:row r="156" spans="1:37" x14ac:dyDescent="0.25">
      <x:c r="A156" s="0">
        <x:f>ROW(A156)-1</x:f>
      </x:c>
      <x:c r="B156" s="0">
        <x:v>158</x:v>
      </x:c>
      <x:c r="C156" s="0">
        <x:v>3127</x:v>
      </x:c>
      <x:c r="D156" s="0" t="s">
        <x:v>224</x:v>
      </x:c>
      <x:c r="E156" s="0" t="s">
        <x:v>748</x:v>
      </x:c>
      <x:c r="G156" s="0" t="s">
        <x:v>1320</x:v>
      </x:c>
      <x:c r="M156" s="0">
        <x:v>0</x:v>
      </x:c>
      <x:c r="N156" s="0">
        <x:v>2023</x:v>
      </x:c>
      <x:c r="S156" s="0">
        <x:v>0</x:v>
      </x:c>
      <x:c r="T156" s="0">
        <x:v>0</x:v>
      </x:c>
      <x:c r="V156" s="0">
        <x:v>0</x:v>
      </x:c>
      <x:c r="W156" s="21">
        <x:v>0</x:v>
      </x:c>
      <x:c r="X156" s="0">
        <x:v>0</x:v>
      </x:c>
      <x:c r="Y156" s="21">
        <x:v>0</x:v>
      </x:c>
      <x:c r="AK156" s="0" t="s">
        <x:v>1486</x:v>
      </x:c>
    </x:row>
    <x:row r="157" spans="1:37" x14ac:dyDescent="0.25">
      <x:c r="A157" s="0">
        <x:f>ROW(A157)-1</x:f>
      </x:c>
      <x:c r="B157" s="0">
        <x:v>159</x:v>
      </x:c>
      <x:c r="C157" s="0">
        <x:v>3128</x:v>
      </x:c>
      <x:c r="D157" s="0" t="s">
        <x:v>224</x:v>
      </x:c>
      <x:c r="E157" s="0" t="s">
        <x:v>751</x:v>
      </x:c>
      <x:c r="F157" s="0" t="s">
        <x:v>1407</x:v>
      </x:c>
      <x:c r="G157" s="0" t="s">
        <x:v>1320</x:v>
      </x:c>
      <x:c r="M157" s="0">
        <x:v>0</x:v>
      </x:c>
      <x:c r="N157" s="0">
        <x:v>2023</x:v>
      </x:c>
      <x:c r="O157" s="0" t="s">
        <x:v>1342</x:v>
      </x:c>
      <x:c r="S157" s="0">
        <x:v>0</x:v>
      </x:c>
      <x:c r="T157" s="0">
        <x:v>0</x:v>
      </x:c>
      <x:c r="V157" s="0">
        <x:v>0</x:v>
      </x:c>
      <x:c r="W157" s="21">
        <x:v>0</x:v>
      </x:c>
      <x:c r="X157" s="0">
        <x:v>0</x:v>
      </x:c>
      <x:c r="Y157" s="21">
        <x:v>0</x:v>
      </x:c>
    </x:row>
    <x:row r="158" spans="1:37" x14ac:dyDescent="0.25">
      <x:c r="A158" s="0">
        <x:f>ROW(A158)-1</x:f>
      </x:c>
      <x:c r="B158" s="0">
        <x:v>160</x:v>
      </x:c>
      <x:c r="C158" s="0">
        <x:v>3129</x:v>
      </x:c>
      <x:c r="D158" s="0" t="s">
        <x:v>224</x:v>
      </x:c>
      <x:c r="E158" s="0" t="s">
        <x:v>198</x:v>
      </x:c>
      <x:c r="F158" s="0" t="s">
        <x:v>1487</x:v>
      </x:c>
      <x:c r="G158" s="0" t="s">
        <x:v>1320</x:v>
      </x:c>
      <x:c r="M158" s="0">
        <x:v>0</x:v>
      </x:c>
      <x:c r="N158" s="0">
        <x:v>2023</x:v>
      </x:c>
      <x:c r="O158" s="0" t="s">
        <x:v>1342</x:v>
      </x:c>
      <x:c r="S158" s="0">
        <x:v>0</x:v>
      </x:c>
      <x:c r="T158" s="0">
        <x:v>0</x:v>
      </x:c>
      <x:c r="V158" s="0">
        <x:v>0</x:v>
      </x:c>
      <x:c r="W158" s="21">
        <x:v>0</x:v>
      </x:c>
      <x:c r="X158" s="0">
        <x:v>0</x:v>
      </x:c>
      <x:c r="Y158" s="21">
        <x:v>0</x:v>
      </x:c>
      <x:c r="AK158" s="0" t="s">
        <x:v>1488</x:v>
      </x:c>
    </x:row>
    <x:row r="159" spans="1:37" x14ac:dyDescent="0.25">
      <x:c r="A159" s="0">
        <x:f>ROW(A159)-1</x:f>
      </x:c>
      <x:c r="B159" s="0">
        <x:v>161</x:v>
      </x:c>
      <x:c r="C159" s="0">
        <x:v>3130</x:v>
      </x:c>
      <x:c r="D159" s="0" t="s">
        <x:v>756</x:v>
      </x:c>
      <x:c r="E159" s="0" t="s">
        <x:v>757</x:v>
      </x:c>
      <x:c r="F159" s="0" t="s">
        <x:v>1365</x:v>
      </x:c>
      <x:c r="G159" s="0" t="s">
        <x:v>1320</x:v>
      </x:c>
      <x:c r="M159" s="0">
        <x:v>0</x:v>
      </x:c>
      <x:c r="N159" s="0">
        <x:v>2023</x:v>
      </x:c>
      <x:c r="O159" s="0" t="s">
        <x:v>1342</x:v>
      </x:c>
      <x:c r="S159" s="0">
        <x:v>0</x:v>
      </x:c>
      <x:c r="T159" s="0">
        <x:v>0</x:v>
      </x:c>
      <x:c r="V159" s="0">
        <x:v>0</x:v>
      </x:c>
      <x:c r="W159" s="21">
        <x:v>0</x:v>
      </x:c>
      <x:c r="X159" s="0">
        <x:v>0</x:v>
      </x:c>
      <x:c r="Y159" s="21">
        <x:v>0</x:v>
      </x:c>
    </x:row>
    <x:row r="160" spans="1:37" x14ac:dyDescent="0.25">
      <x:c r="A160" s="0">
        <x:f>ROW(A160)-1</x:f>
      </x:c>
      <x:c r="B160" s="0">
        <x:v>162</x:v>
      </x:c>
      <x:c r="C160" s="0">
        <x:v>3132</x:v>
      </x:c>
      <x:c r="D160" s="0" t="s">
        <x:v>224</x:v>
      </x:c>
      <x:c r="E160" s="0" t="s">
        <x:v>759</x:v>
      </x:c>
      <x:c r="F160" s="0" t="s">
        <x:v>1489</x:v>
      </x:c>
      <x:c r="G160" s="0" t="s">
        <x:v>1320</x:v>
      </x:c>
      <x:c r="M160" s="0">
        <x:v>0</x:v>
      </x:c>
      <x:c r="N160" s="0">
        <x:v>2023</x:v>
      </x:c>
      <x:c r="O160" s="0" t="s">
        <x:v>1321</x:v>
      </x:c>
      <x:c r="S160" s="0">
        <x:v>0</x:v>
      </x:c>
      <x:c r="T160" s="0">
        <x:v>0</x:v>
      </x:c>
      <x:c r="V160" s="0">
        <x:v>0</x:v>
      </x:c>
      <x:c r="W160" s="21">
        <x:v>0</x:v>
      </x:c>
      <x:c r="X160" s="0">
        <x:v>0</x:v>
      </x:c>
      <x:c r="Y160" s="21">
        <x:v>0</x:v>
      </x:c>
      <x:c r="AK160" s="0" t="s">
        <x:v>1490</x:v>
      </x:c>
    </x:row>
    <x:row r="161" spans="1:37" x14ac:dyDescent="0.25">
      <x:c r="A161" s="0">
        <x:f>ROW(A161)-1</x:f>
      </x:c>
      <x:c r="B161" s="0">
        <x:v>163</x:v>
      </x:c>
      <x:c r="C161" s="0">
        <x:v>3133</x:v>
      </x:c>
      <x:c r="D161" s="0" t="s">
        <x:v>761</x:v>
      </x:c>
      <x:c r="E161" s="0" t="s">
        <x:v>762</x:v>
      </x:c>
      <x:c r="F161" s="0" t="s">
        <x:v>1491</x:v>
      </x:c>
      <x:c r="G161" s="0" t="s">
        <x:v>1320</x:v>
      </x:c>
      <x:c r="M161" s="0">
        <x:v>0</x:v>
      </x:c>
      <x:c r="N161" s="0">
        <x:v>2023</x:v>
      </x:c>
      <x:c r="O161" s="0" t="s">
        <x:v>1321</x:v>
      </x:c>
      <x:c r="S161" s="0">
        <x:v>143</x:v>
      </x:c>
      <x:c r="T161" s="0">
        <x:v>0</x:v>
      </x:c>
      <x:c r="V161" s="0">
        <x:v>0</x:v>
      </x:c>
      <x:c r="W161" s="21">
        <x:v>0</x:v>
      </x:c>
      <x:c r="X161" s="0">
        <x:v>8566</x:v>
      </x:c>
      <x:c r="Y161" s="21">
        <x:v>2057.86</x:v>
      </x:c>
      <x:c r="AK161" s="0" t="s">
        <x:v>1492</x:v>
      </x:c>
    </x:row>
    <x:row r="162" spans="1:37" x14ac:dyDescent="0.25">
      <x:c r="A162" s="0">
        <x:f>ROW(A162)-1</x:f>
      </x:c>
      <x:c r="B162" s="0">
        <x:v>164</x:v>
      </x:c>
      <x:c r="C162" s="0">
        <x:v>3135</x:v>
      </x:c>
      <x:c r="D162" s="0" t="s">
        <x:v>765</x:v>
      </x:c>
      <x:c r="E162" s="0" t="s">
        <x:v>766</x:v>
      </x:c>
      <x:c r="F162" s="0" t="s">
        <x:v>1365</x:v>
      </x:c>
      <x:c r="G162" s="0" t="s">
        <x:v>1320</x:v>
      </x:c>
      <x:c r="M162" s="0">
        <x:v>0</x:v>
      </x:c>
      <x:c r="N162" s="0">
        <x:v>2023</x:v>
      </x:c>
      <x:c r="O162" s="0" t="s">
        <x:v>1342</x:v>
      </x:c>
      <x:c r="S162" s="0">
        <x:v>3170</x:v>
      </x:c>
      <x:c r="T162" s="0">
        <x:v>0</x:v>
      </x:c>
      <x:c r="V162" s="0">
        <x:v>0</x:v>
      </x:c>
      <x:c r="W162" s="21">
        <x:v>0</x:v>
      </x:c>
      <x:c r="X162" s="0">
        <x:v>331636</x:v>
      </x:c>
      <x:c r="Y162" s="21">
        <x:v>0</x:v>
      </x:c>
    </x:row>
    <x:row r="163" spans="1:37" x14ac:dyDescent="0.25">
      <x:c r="A163" s="0">
        <x:f>ROW(A163)-1</x:f>
      </x:c>
      <x:c r="B163" s="0">
        <x:v>165</x:v>
      </x:c>
      <x:c r="C163" s="0">
        <x:v>3137</x:v>
      </x:c>
      <x:c r="D163" s="0" t="s">
        <x:v>224</x:v>
      </x:c>
      <x:c r="E163" s="0" t="s">
        <x:v>769</x:v>
      </x:c>
      <x:c r="F163" s="0" t="s">
        <x:v>1493</x:v>
      </x:c>
      <x:c r="G163" s="0" t="s">
        <x:v>1320</x:v>
      </x:c>
      <x:c r="M163" s="0">
        <x:v>0</x:v>
      </x:c>
      <x:c r="N163" s="0">
        <x:v>2023</x:v>
      </x:c>
      <x:c r="O163" s="0" t="s">
        <x:v>1342</x:v>
      </x:c>
      <x:c r="S163" s="0">
        <x:v>0</x:v>
      </x:c>
      <x:c r="T163" s="0">
        <x:v>0</x:v>
      </x:c>
      <x:c r="V163" s="0">
        <x:v>0</x:v>
      </x:c>
      <x:c r="W163" s="21">
        <x:v>0</x:v>
      </x:c>
      <x:c r="X163" s="0">
        <x:v>0</x:v>
      </x:c>
      <x:c r="Y163" s="21">
        <x:v>0</x:v>
      </x:c>
    </x:row>
    <x:row r="164" spans="1:37" x14ac:dyDescent="0.25">
      <x:c r="A164" s="0">
        <x:f>ROW(A164)-1</x:f>
      </x:c>
      <x:c r="B164" s="0">
        <x:v>166</x:v>
      </x:c>
      <x:c r="C164" s="0">
        <x:v>3139</x:v>
      </x:c>
      <x:c r="D164" s="0" t="s">
        <x:v>773</x:v>
      </x:c>
      <x:c r="E164" s="0" t="s">
        <x:v>774</x:v>
      </x:c>
      <x:c r="F164" s="0" t="s">
        <x:v>1365</x:v>
      </x:c>
      <x:c r="G164" s="0" t="s">
        <x:v>1320</x:v>
      </x:c>
      <x:c r="M164" s="0">
        <x:v>0</x:v>
      </x:c>
      <x:c r="N164" s="0">
        <x:v>2023</x:v>
      </x:c>
      <x:c r="O164" s="0" t="s">
        <x:v>1342</x:v>
      </x:c>
      <x:c r="S164" s="0">
        <x:v>0</x:v>
      </x:c>
      <x:c r="T164" s="0">
        <x:v>0</x:v>
      </x:c>
      <x:c r="V164" s="0">
        <x:v>0</x:v>
      </x:c>
      <x:c r="W164" s="21">
        <x:v>0</x:v>
      </x:c>
      <x:c r="X164" s="0">
        <x:v>290000</x:v>
      </x:c>
      <x:c r="Y164" s="21">
        <x:v>0</x:v>
      </x:c>
    </x:row>
    <x:row r="165" spans="1:37" x14ac:dyDescent="0.25">
      <x:c r="A165" s="0">
        <x:f>ROW(A165)-1</x:f>
      </x:c>
      <x:c r="B165" s="0">
        <x:v>167</x:v>
      </x:c>
      <x:c r="C165" s="0">
        <x:v>3142</x:v>
      </x:c>
      <x:c r="D165" s="0" t="s">
        <x:v>224</x:v>
      </x:c>
      <x:c r="E165" s="0" t="s">
        <x:v>777</x:v>
      </x:c>
      <x:c r="F165" s="0" t="s">
        <x:v>1365</x:v>
      </x:c>
      <x:c r="G165" s="0" t="s">
        <x:v>1320</x:v>
      </x:c>
      <x:c r="M165" s="0">
        <x:v>0</x:v>
      </x:c>
      <x:c r="N165" s="0">
        <x:v>2024</x:v>
      </x:c>
      <x:c r="O165" s="0" t="s">
        <x:v>1342</x:v>
      </x:c>
      <x:c r="S165" s="0">
        <x:v>0</x:v>
      </x:c>
      <x:c r="T165" s="0">
        <x:v>0</x:v>
      </x:c>
      <x:c r="V165" s="0">
        <x:v>0</x:v>
      </x:c>
      <x:c r="W165" s="21">
        <x:v>0</x:v>
      </x:c>
      <x:c r="X165" s="0">
        <x:v>8000</x:v>
      </x:c>
      <x:c r="Y165" s="21">
        <x:v>0</x:v>
      </x:c>
    </x:row>
    <x:row r="166" spans="1:37" x14ac:dyDescent="0.25">
      <x:c r="A166" s="0">
        <x:f>ROW(A166)-1</x:f>
      </x:c>
      <x:c r="B166" s="0">
        <x:v>168</x:v>
      </x:c>
      <x:c r="C166" s="0">
        <x:v>3144</x:v>
      </x:c>
      <x:c r="D166" s="0" t="s">
        <x:v>780</x:v>
      </x:c>
      <x:c r="E166" s="0" t="s">
        <x:v>781</x:v>
      </x:c>
      <x:c r="F166" s="0" t="s">
        <x:v>1365</x:v>
      </x:c>
      <x:c r="G166" s="0" t="s">
        <x:v>1320</x:v>
      </x:c>
      <x:c r="M166" s="0">
        <x:v>0</x:v>
      </x:c>
      <x:c r="N166" s="0">
        <x:v>2024</x:v>
      </x:c>
      <x:c r="O166" s="0" t="s">
        <x:v>1342</x:v>
      </x:c>
      <x:c r="S166" s="0">
        <x:v>0</x:v>
      </x:c>
      <x:c r="T166" s="0">
        <x:v>0</x:v>
      </x:c>
      <x:c r="V166" s="0">
        <x:v>0</x:v>
      </x:c>
      <x:c r="W166" s="21">
        <x:v>0</x:v>
      </x:c>
      <x:c r="X166" s="0">
        <x:v>250000</x:v>
      </x:c>
      <x:c r="Y166" s="21">
        <x:v>0</x:v>
      </x:c>
    </x:row>
    <x:row r="167" spans="1:37" x14ac:dyDescent="0.25">
      <x:c r="A167" s="0">
        <x:f>ROW(A167)-1</x:f>
      </x:c>
      <x:c r="B167" s="0">
        <x:v>169</x:v>
      </x:c>
      <x:c r="C167" s="0">
        <x:v>3146</x:v>
      </x:c>
      <x:c r="D167" s="0" t="s">
        <x:v>784</x:v>
      </x:c>
      <x:c r="E167" s="0" t="s">
        <x:v>785</x:v>
      </x:c>
      <x:c r="F167" s="0" t="s">
        <x:v>1365</x:v>
      </x:c>
      <x:c r="G167" s="0" t="s">
        <x:v>1320</x:v>
      </x:c>
      <x:c r="M167" s="0">
        <x:v>0</x:v>
      </x:c>
      <x:c r="N167" s="0">
        <x:v>2024</x:v>
      </x:c>
      <x:c r="O167" s="0" t="s">
        <x:v>1342</x:v>
      </x:c>
      <x:c r="S167" s="0">
        <x:v>0</x:v>
      </x:c>
      <x:c r="T167" s="0">
        <x:v>0</x:v>
      </x:c>
      <x:c r="V167" s="0">
        <x:v>0</x:v>
      </x:c>
      <x:c r="W167" s="21">
        <x:v>0</x:v>
      </x:c>
      <x:c r="X167" s="0">
        <x:v>0</x:v>
      </x:c>
      <x:c r="Y167" s="21">
        <x:v>0</x:v>
      </x:c>
    </x:row>
    <x:row r="168" spans="1:37" x14ac:dyDescent="0.25">
      <x:c r="A168" s="0">
        <x:f>ROW(A168)-1</x:f>
      </x:c>
      <x:c r="B168" s="0">
        <x:v>170</x:v>
      </x:c>
      <x:c r="C168" s="0">
        <x:v>3147</x:v>
      </x:c>
      <x:c r="D168" s="0" t="s">
        <x:v>787</x:v>
      </x:c>
      <x:c r="E168" s="0" t="s">
        <x:v>788</x:v>
      </x:c>
      <x:c r="F168" s="0" t="s">
        <x:v>1494</x:v>
      </x:c>
      <x:c r="G168" s="0" t="s">
        <x:v>1320</x:v>
      </x:c>
      <x:c r="M168" s="0">
        <x:v>0</x:v>
      </x:c>
      <x:c r="N168" s="0">
        <x:v>2024</x:v>
      </x:c>
      <x:c r="O168" s="0" t="s">
        <x:v>1368</x:v>
      </x:c>
      <x:c r="S168" s="0">
        <x:v>0</x:v>
      </x:c>
      <x:c r="T168" s="0">
        <x:v>0</x:v>
      </x:c>
      <x:c r="V168" s="0">
        <x:v>0</x:v>
      </x:c>
      <x:c r="W168" s="21">
        <x:v>0</x:v>
      </x:c>
      <x:c r="X168" s="0">
        <x:v>40085</x:v>
      </x:c>
      <x:c r="Y168" s="21">
        <x:v>0</x:v>
      </x:c>
    </x:row>
    <x:row r="169" spans="1:37" x14ac:dyDescent="0.25">
      <x:c r="A169" s="0">
        <x:f>ROW(A169)-1</x:f>
      </x:c>
      <x:c r="B169" s="0">
        <x:v>171</x:v>
      </x:c>
      <x:c r="C169" s="0">
        <x:v>3153</x:v>
      </x:c>
      <x:c r="D169" s="0" t="s">
        <x:v>793</x:v>
      </x:c>
      <x:c r="E169" s="0" t="s">
        <x:v>794</x:v>
      </x:c>
      <x:c r="F169" s="0" t="s">
        <x:v>1377</x:v>
      </x:c>
      <x:c r="G169" s="0" t="s">
        <x:v>1320</x:v>
      </x:c>
      <x:c r="M169" s="0">
        <x:v>0</x:v>
      </x:c>
      <x:c r="N169" s="0">
        <x:v>2024</x:v>
      </x:c>
      <x:c r="O169" s="0" t="s">
        <x:v>1368</x:v>
      </x:c>
      <x:c r="S169" s="0">
        <x:v>240</x:v>
      </x:c>
      <x:c r="T169" s="0">
        <x:v>0</x:v>
      </x:c>
      <x:c r="V169" s="0">
        <x:v>0</x:v>
      </x:c>
      <x:c r="W169" s="21">
        <x:v>0</x:v>
      </x:c>
      <x:c r="X169" s="0">
        <x:v>11362</x:v>
      </x:c>
      <x:c r="Y169" s="21">
        <x:v>0</x:v>
      </x:c>
    </x:row>
    <x:row r="170" spans="1:37" x14ac:dyDescent="0.25">
      <x:c r="A170" s="0">
        <x:f>ROW(A170)-1</x:f>
      </x:c>
      <x:c r="B170" s="0">
        <x:v>172</x:v>
      </x:c>
      <x:c r="C170" s="0">
        <x:v>3154</x:v>
      </x:c>
      <x:c r="D170" s="0" t="s">
        <x:v>798</x:v>
      </x:c>
      <x:c r="E170" s="0" t="s">
        <x:v>799</x:v>
      </x:c>
      <x:c r="F170" s="0" t="s">
        <x:v>1365</x:v>
      </x:c>
      <x:c r="G170" s="0" t="s">
        <x:v>1320</x:v>
      </x:c>
      <x:c r="M170" s="0">
        <x:v>0</x:v>
      </x:c>
      <x:c r="N170" s="0">
        <x:v>2024</x:v>
      </x:c>
      <x:c r="S170" s="0">
        <x:v>1200</x:v>
      </x:c>
      <x:c r="T170" s="0">
        <x:v>0</x:v>
      </x:c>
      <x:c r="V170" s="0">
        <x:v>0</x:v>
      </x:c>
      <x:c r="W170" s="21">
        <x:v>0</x:v>
      </x:c>
      <x:c r="X170" s="0">
        <x:v>28000</x:v>
      </x:c>
      <x:c r="Y170" s="21">
        <x:v>0</x:v>
      </x:c>
    </x:row>
    <x:row r="171" spans="1:37" x14ac:dyDescent="0.25">
      <x:c r="A171" s="0">
        <x:f>ROW(A171)-1</x:f>
      </x:c>
      <x:c r="B171" s="0">
        <x:v>173</x:v>
      </x:c>
      <x:c r="C171" s="0">
        <x:v>3155</x:v>
      </x:c>
      <x:c r="D171" s="0" t="s">
        <x:v>203</x:v>
      </x:c>
      <x:c r="E171" s="0" t="s">
        <x:v>800</x:v>
      </x:c>
      <x:c r="F171" s="0" t="s">
        <x:v>1365</x:v>
      </x:c>
      <x:c r="G171" s="0" t="s">
        <x:v>1320</x:v>
      </x:c>
      <x:c r="M171" s="0">
        <x:v>0</x:v>
      </x:c>
      <x:c r="N171" s="0">
        <x:v>2024</x:v>
      </x:c>
      <x:c r="O171" s="0" t="s">
        <x:v>1342</x:v>
      </x:c>
      <x:c r="S171" s="0">
        <x:v>180</x:v>
      </x:c>
      <x:c r="T171" s="0">
        <x:v>0</x:v>
      </x:c>
      <x:c r="V171" s="0">
        <x:v>0</x:v>
      </x:c>
      <x:c r="W171" s="21">
        <x:v>0</x:v>
      </x:c>
      <x:c r="X171" s="0">
        <x:v>1500</x:v>
      </x:c>
      <x:c r="Y171" s="21">
        <x:v>0</x:v>
      </x:c>
    </x:row>
    <x:row r="172" spans="1:37" x14ac:dyDescent="0.25">
      <x:c r="A172" s="0">
        <x:f>ROW(A172)-1</x:f>
      </x:c>
      <x:c r="B172" s="0">
        <x:v>174</x:v>
      </x:c>
      <x:c r="C172" s="0">
        <x:v>3159</x:v>
      </x:c>
      <x:c r="D172" s="0" t="s">
        <x:v>106</x:v>
      </x:c>
      <x:c r="E172" s="0" t="s">
        <x:v>804</x:v>
      </x:c>
      <x:c r="F172" s="0" t="s">
        <x:v>1358</x:v>
      </x:c>
      <x:c r="G172" s="0" t="s">
        <x:v>1320</x:v>
      </x:c>
      <x:c r="M172" s="0">
        <x:v>0</x:v>
      </x:c>
      <x:c r="N172" s="0">
        <x:v>2025</x:v>
      </x:c>
      <x:c r="O172" s="0" t="s">
        <x:v>1342</x:v>
      </x:c>
      <x:c r="S172" s="0">
        <x:v>340</x:v>
      </x:c>
      <x:c r="T172" s="0">
        <x:v>0</x:v>
      </x:c>
      <x:c r="V172" s="0">
        <x:v>0</x:v>
      </x:c>
      <x:c r="W172" s="21">
        <x:v>0</x:v>
      </x:c>
      <x:c r="X172" s="0">
        <x:v>725000</x:v>
      </x:c>
      <x:c r="Y172" s="21">
        <x:v>0</x:v>
      </x:c>
    </x:row>
    <x:row r="173" spans="1:37" x14ac:dyDescent="0.25">
      <x:c r="A173" s="0">
        <x:f>ROW(A173)-1</x:f>
      </x:c>
      <x:c r="B173" s="0">
        <x:v>175</x:v>
      </x:c>
      <x:c r="C173" s="0">
        <x:v>3160</x:v>
      </x:c>
      <x:c r="D173" s="0" t="s">
        <x:v>809</x:v>
      </x:c>
      <x:c r="E173" s="0" t="s">
        <x:v>810</x:v>
      </x:c>
      <x:c r="F173" s="0" t="s">
        <x:v>1365</x:v>
      </x:c>
      <x:c r="G173" s="0" t="s">
        <x:v>1320</x:v>
      </x:c>
      <x:c r="M173" s="0">
        <x:v>0</x:v>
      </x:c>
      <x:c r="N173" s="0">
        <x:v>2025</x:v>
      </x:c>
      <x:c r="O173" s="0" t="s">
        <x:v>1342</x:v>
      </x:c>
      <x:c r="S173" s="0">
        <x:v>180</x:v>
      </x:c>
      <x:c r="T173" s="0">
        <x:v>0</x:v>
      </x:c>
      <x:c r="V173" s="0">
        <x:v>0</x:v>
      </x:c>
      <x:c r="W173" s="21">
        <x:v>0</x:v>
      </x:c>
      <x:c r="X173" s="0">
        <x:v>25000</x:v>
      </x:c>
      <x:c r="Y173" s="21">
        <x:v>0</x:v>
      </x:c>
    </x:row>
    <x:row r="174" spans="1:37" x14ac:dyDescent="0.25">
      <x:c r="A174" s="0">
        <x:f>ROW(A174)-1</x:f>
      </x:c>
      <x:c r="B174" s="0">
        <x:v>176</x:v>
      </x:c>
      <x:c r="C174" s="0">
        <x:v>3162</x:v>
      </x:c>
      <x:c r="D174" s="0" t="s">
        <x:v>813</x:v>
      </x:c>
      <x:c r="E174" s="0" t="s">
        <x:v>814</x:v>
      </x:c>
      <x:c r="F174" s="0" t="s">
        <x:v>1365</x:v>
      </x:c>
      <x:c r="G174" s="0" t="s">
        <x:v>1320</x:v>
      </x:c>
      <x:c r="M174" s="0">
        <x:v>0</x:v>
      </x:c>
      <x:c r="N174" s="0">
        <x:v>2025</x:v>
      </x:c>
      <x:c r="O174" s="0" t="s">
        <x:v>1342</x:v>
      </x:c>
      <x:c r="S174" s="0">
        <x:v>180</x:v>
      </x:c>
      <x:c r="T174" s="0">
        <x:v>0</x:v>
      </x:c>
      <x:c r="V174" s="0">
        <x:v>0</x:v>
      </x:c>
      <x:c r="W174" s="21">
        <x:v>0</x:v>
      </x:c>
      <x:c r="X174" s="0">
        <x:v>120000</x:v>
      </x:c>
      <x:c r="Y174" s="21">
        <x:v>0</x:v>
      </x:c>
    </x:row>
    <x:row r="175" spans="1:37" x14ac:dyDescent="0.25">
      <x:c r="A175" s="0">
        <x:f>ROW(A175)-1</x:f>
      </x:c>
      <x:c r="B175" s="0">
        <x:v>177</x:v>
      </x:c>
      <x:c r="C175" s="0">
        <x:v>3164</x:v>
      </x:c>
      <x:c r="D175" s="0" t="s">
        <x:v>817</x:v>
      </x:c>
      <x:c r="E175" s="0" t="s">
        <x:v>818</x:v>
      </x:c>
      <x:c r="F175" s="0" t="s">
        <x:v>1454</x:v>
      </x:c>
      <x:c r="G175" s="0" t="s">
        <x:v>1320</x:v>
      </x:c>
      <x:c r="M175" s="0">
        <x:v>0</x:v>
      </x:c>
      <x:c r="N175" s="0">
        <x:v>2025</x:v>
      </x:c>
      <x:c r="O175" s="0" t="s">
        <x:v>1373</x:v>
      </x:c>
      <x:c r="S175" s="0">
        <x:v>7995</x:v>
      </x:c>
      <x:c r="T175" s="0">
        <x:v>0</x:v>
      </x:c>
      <x:c r="V175" s="0">
        <x:v>0</x:v>
      </x:c>
      <x:c r="W175" s="21">
        <x:v>0</x:v>
      </x:c>
      <x:c r="X175" s="0">
        <x:v>0</x:v>
      </x:c>
      <x:c r="Y175" s="21">
        <x:v>0</x:v>
      </x:c>
    </x:row>
    <x:row r="176" spans="1:37" x14ac:dyDescent="0.25">
      <x:c r="A176" s="0">
        <x:f>ROW(A176)-1</x:f>
      </x:c>
      <x:c r="B176" s="0">
        <x:v>178</x:v>
      </x:c>
      <x:c r="C176" s="0">
        <x:v>854</x:v>
      </x:c>
      <x:c r="D176" s="0" t="s">
        <x:v>823</x:v>
      </x:c>
      <x:c r="E176" s="0" t="s">
        <x:v>824</x:v>
      </x:c>
      <x:c r="G176" s="0" t="s">
        <x:v>1320</x:v>
      </x:c>
      <x:c r="M176" s="0">
        <x:v>0</x:v>
      </x:c>
      <x:c r="N176" s="0">
        <x:v>2024</x:v>
      </x:c>
      <x:c r="S176" s="0">
        <x:v>7500</x:v>
      </x:c>
      <x:c r="T176" s="0">
        <x:v>0</x:v>
      </x:c>
      <x:c r="V176" s="0">
        <x:v>0</x:v>
      </x:c>
      <x:c r="W176" s="21">
        <x:v>0</x:v>
      </x:c>
      <x:c r="X176" s="0">
        <x:v>290000</x:v>
      </x:c>
      <x:c r="Y176" s="21">
        <x:v>0</x:v>
      </x:c>
    </x:row>
    <x:row r="177" spans="1:37" x14ac:dyDescent="0.25">
      <x:c r="A177" s="0">
        <x:f>ROW(A177)-1</x:f>
      </x:c>
      <x:c r="B177" s="0">
        <x:v>179</x:v>
      </x:c>
      <x:c r="C177" s="0">
        <x:v>846</x:v>
      </x:c>
      <x:c r="D177" s="0" t="s">
        <x:v>825</x:v>
      </x:c>
      <x:c r="E177" s="0" t="s">
        <x:v>826</x:v>
      </x:c>
      <x:c r="F177" s="0" t="s">
        <x:v>1365</x:v>
      </x:c>
      <x:c r="G177" s="0" t="s">
        <x:v>1320</x:v>
      </x:c>
      <x:c r="M177" s="0">
        <x:v>0</x:v>
      </x:c>
      <x:c r="N177" s="0">
        <x:v>2023</x:v>
      </x:c>
      <x:c r="O177" s="0" t="s">
        <x:v>1342</x:v>
      </x:c>
      <x:c r="S177" s="0">
        <x:v>0</x:v>
      </x:c>
      <x:c r="T177" s="0">
        <x:v>0</x:v>
      </x:c>
      <x:c r="V177" s="0">
        <x:v>0</x:v>
      </x:c>
      <x:c r="W177" s="21">
        <x:v>0</x:v>
      </x:c>
      <x:c r="X177" s="0">
        <x:v>0</x:v>
      </x:c>
      <x:c r="Y177" s="21">
        <x:v>0</x:v>
      </x:c>
    </x:row>
    <x:row r="178" spans="1:37" x14ac:dyDescent="0.25">
      <x:c r="A178" s="0">
        <x:f>ROW(A178)-1</x:f>
      </x:c>
      <x:c r="B178" s="0">
        <x:v>180</x:v>
      </x:c>
      <x:c r="C178" s="0">
        <x:v>840</x:v>
      </x:c>
      <x:c r="D178" s="0" t="s">
        <x:v>829</x:v>
      </x:c>
      <x:c r="E178" s="0" t="s">
        <x:v>830</x:v>
      </x:c>
      <x:c r="F178" s="0" t="s">
        <x:v>1365</x:v>
      </x:c>
      <x:c r="G178" s="0" t="s">
        <x:v>1320</x:v>
      </x:c>
      <x:c r="M178" s="0">
        <x:v>0</x:v>
      </x:c>
      <x:c r="N178" s="0">
        <x:v>2023</x:v>
      </x:c>
      <x:c r="S178" s="0">
        <x:v>770</x:v>
      </x:c>
      <x:c r="T178" s="0">
        <x:v>0</x:v>
      </x:c>
      <x:c r="V178" s="0">
        <x:v>0</x:v>
      </x:c>
      <x:c r="W178" s="21">
        <x:v>0</x:v>
      </x:c>
      <x:c r="X178" s="0">
        <x:v>37500</x:v>
      </x:c>
      <x:c r="Y178" s="21">
        <x:v>0</x:v>
      </x:c>
    </x:row>
    <x:row r="179" spans="1:37" x14ac:dyDescent="0.25">
      <x:c r="A179" s="0">
        <x:f>ROW(A179)-1</x:f>
      </x:c>
      <x:c r="B179" s="0">
        <x:v>181</x:v>
      </x:c>
      <x:c r="C179" s="0">
        <x:v>839</x:v>
      </x:c>
      <x:c r="D179" s="0" t="s">
        <x:v>833</x:v>
      </x:c>
      <x:c r="E179" s="0" t="s">
        <x:v>834</x:v>
      </x:c>
      <x:c r="F179" s="0" t="s">
        <x:v>1365</x:v>
      </x:c>
      <x:c r="G179" s="0" t="s">
        <x:v>1320</x:v>
      </x:c>
      <x:c r="M179" s="0">
        <x:v>0</x:v>
      </x:c>
      <x:c r="N179" s="0">
        <x:v>2023</x:v>
      </x:c>
      <x:c r="O179" s="0" t="s">
        <x:v>1342</x:v>
      </x:c>
      <x:c r="S179" s="0">
        <x:v>0</x:v>
      </x:c>
      <x:c r="T179" s="0">
        <x:v>0</x:v>
      </x:c>
      <x:c r="V179" s="0">
        <x:v>0</x:v>
      </x:c>
      <x:c r="W179" s="21">
        <x:v>0</x:v>
      </x:c>
      <x:c r="X179" s="0">
        <x:v>8000</x:v>
      </x:c>
      <x:c r="Y179" s="21">
        <x:v>0</x:v>
      </x:c>
    </x:row>
    <x:row r="180" spans="1:37" x14ac:dyDescent="0.25">
      <x:c r="A180" s="0">
        <x:f>ROW(A180)-1</x:f>
      </x:c>
      <x:c r="B180" s="0">
        <x:v>182</x:v>
      </x:c>
      <x:c r="C180" s="0">
        <x:v>838</x:v>
      </x:c>
      <x:c r="D180" s="0" t="s">
        <x:v>837</x:v>
      </x:c>
      <x:c r="E180" s="0" t="s">
        <x:v>838</x:v>
      </x:c>
      <x:c r="F180" s="0" t="s">
        <x:v>1365</x:v>
      </x:c>
      <x:c r="G180" s="0" t="s">
        <x:v>1320</x:v>
      </x:c>
      <x:c r="M180" s="0">
        <x:v>0</x:v>
      </x:c>
      <x:c r="N180" s="0">
        <x:v>2024</x:v>
      </x:c>
      <x:c r="O180" s="0" t="s">
        <x:v>1326</x:v>
      </x:c>
      <x:c r="S180" s="0">
        <x:v>450</x:v>
      </x:c>
      <x:c r="T180" s="0">
        <x:v>0</x:v>
      </x:c>
      <x:c r="V180" s="0">
        <x:v>0</x:v>
      </x:c>
      <x:c r="W180" s="21">
        <x:v>0</x:v>
      </x:c>
      <x:c r="X180" s="0">
        <x:v>11500</x:v>
      </x:c>
      <x:c r="Y180" s="21">
        <x:v>0</x:v>
      </x:c>
    </x:row>
    <x:row r="181" spans="1:37" x14ac:dyDescent="0.25">
      <x:c r="A181" s="0">
        <x:f>ROW(A181)-1</x:f>
      </x:c>
      <x:c r="B181" s="0">
        <x:v>183</x:v>
      </x:c>
      <x:c r="D181" s="0" t="s">
        <x:v>841</x:v>
      </x:c>
      <x:c r="E181" s="0" t="s">
        <x:v>842</x:v>
      </x:c>
      <x:c r="F181" s="0" t="s">
        <x:v>1365</x:v>
      </x:c>
      <x:c r="G181" s="0" t="s">
        <x:v>1320</x:v>
      </x:c>
      <x:c r="M181" s="0">
        <x:v>0</x:v>
      </x:c>
      <x:c r="N181" s="0">
        <x:v>2023</x:v>
      </x:c>
      <x:c r="O181" s="0" t="s">
        <x:v>1342</x:v>
      </x:c>
      <x:c r="S181" s="0">
        <x:v>0</x:v>
      </x:c>
      <x:c r="T181" s="0">
        <x:v>0</x:v>
      </x:c>
      <x:c r="V181" s="0">
        <x:v>0</x:v>
      </x:c>
      <x:c r="W181" s="21">
        <x:v>0</x:v>
      </x:c>
      <x:c r="X181" s="0">
        <x:v>0</x:v>
      </x:c>
      <x:c r="Y181" s="21">
        <x:v>0</x:v>
      </x:c>
    </x:row>
    <x:row r="182" spans="1:37" x14ac:dyDescent="0.25">
      <x:c r="A182" s="0">
        <x:f>ROW(A182)-1</x:f>
      </x:c>
      <x:c r="B182" s="0">
        <x:v>184</x:v>
      </x:c>
      <x:c r="C182" s="0">
        <x:v>828</x:v>
      </x:c>
      <x:c r="D182" s="0" t="s">
        <x:v>844</x:v>
      </x:c>
      <x:c r="E182" s="0" t="s">
        <x:v>845</x:v>
      </x:c>
      <x:c r="F182" s="0" t="s">
        <x:v>1365</x:v>
      </x:c>
      <x:c r="G182" s="0" t="s">
        <x:v>1320</x:v>
      </x:c>
      <x:c r="M182" s="0">
        <x:v>0</x:v>
      </x:c>
      <x:c r="N182" s="0">
        <x:v>2023</x:v>
      </x:c>
      <x:c r="O182" s="0" t="s">
        <x:v>1342</x:v>
      </x:c>
      <x:c r="S182" s="0">
        <x:v>0</x:v>
      </x:c>
      <x:c r="T182" s="0">
        <x:v>0</x:v>
      </x:c>
      <x:c r="V182" s="0">
        <x:v>0</x:v>
      </x:c>
      <x:c r="W182" s="21">
        <x:v>0</x:v>
      </x:c>
      <x:c r="X182" s="0">
        <x:v>0</x:v>
      </x:c>
      <x:c r="Y182" s="21">
        <x:v>0</x:v>
      </x:c>
    </x:row>
    <x:row r="183" spans="1:37" x14ac:dyDescent="0.25">
      <x:c r="A183" s="0">
        <x:f>ROW(A183)-1</x:f>
      </x:c>
      <x:c r="B183" s="0">
        <x:v>185</x:v>
      </x:c>
      <x:c r="C183" s="0">
        <x:v>819</x:v>
      </x:c>
      <x:c r="E183" s="0" t="s">
        <x:v>848</x:v>
      </x:c>
      <x:c r="G183" s="0" t="s">
        <x:v>1320</x:v>
      </x:c>
      <x:c r="M183" s="0">
        <x:v>0</x:v>
      </x:c>
      <x:c r="N183" s="0">
        <x:v>2021</x:v>
      </x:c>
      <x:c r="S183" s="0">
        <x:v>0</x:v>
      </x:c>
      <x:c r="T183" s="0">
        <x:v>0</x:v>
      </x:c>
      <x:c r="V183" s="0">
        <x:v>0</x:v>
      </x:c>
      <x:c r="W183" s="21">
        <x:v>0</x:v>
      </x:c>
      <x:c r="X183" s="0">
        <x:v>0</x:v>
      </x:c>
      <x:c r="Y183" s="21">
        <x:v>0</x:v>
      </x:c>
    </x:row>
    <x:row r="184" spans="1:37" x14ac:dyDescent="0.25">
      <x:c r="A184" s="0">
        <x:f>ROW(A184)-1</x:f>
      </x:c>
      <x:c r="B184" s="0">
        <x:v>186</x:v>
      </x:c>
      <x:c r="C184" s="0">
        <x:v>813</x:v>
      </x:c>
      <x:c r="D184" s="0" t="s">
        <x:v>852</x:v>
      </x:c>
      <x:c r="G184" s="0" t="s">
        <x:v>1320</x:v>
      </x:c>
      <x:c r="M184" s="0">
        <x:v>0</x:v>
      </x:c>
      <x:c r="N184" s="0">
        <x:v>2021</x:v>
      </x:c>
      <x:c r="S184" s="0">
        <x:v>0</x:v>
      </x:c>
      <x:c r="T184" s="0">
        <x:v>0</x:v>
      </x:c>
      <x:c r="V184" s="0">
        <x:v>0</x:v>
      </x:c>
      <x:c r="W184" s="21">
        <x:v>0</x:v>
      </x:c>
      <x:c r="X184" s="0">
        <x:v>0</x:v>
      </x:c>
      <x:c r="Y184" s="21">
        <x:v>0</x:v>
      </x:c>
    </x:row>
    <x:row r="185" spans="1:37" x14ac:dyDescent="0.25">
      <x:c r="A185" s="0">
        <x:f>ROW(A185)-1</x:f>
      </x:c>
      <x:c r="B185" s="0">
        <x:v>187</x:v>
      </x:c>
      <x:c r="C185" s="0">
        <x:v>802</x:v>
      </x:c>
      <x:c r="D185" s="0" t="s">
        <x:v>855</x:v>
      </x:c>
      <x:c r="E185" s="0" t="s">
        <x:v>856</x:v>
      </x:c>
      <x:c r="G185" s="0" t="s">
        <x:v>1320</x:v>
      </x:c>
      <x:c r="M185" s="0">
        <x:v>0</x:v>
      </x:c>
      <x:c r="N185" s="0">
        <x:v>2019</x:v>
      </x:c>
      <x:c r="S185" s="0">
        <x:v>0</x:v>
      </x:c>
      <x:c r="T185" s="0">
        <x:v>0</x:v>
      </x:c>
      <x:c r="V185" s="0">
        <x:v>0</x:v>
      </x:c>
      <x:c r="W185" s="21">
        <x:v>0</x:v>
      </x:c>
      <x:c r="X185" s="0">
        <x:v>0</x:v>
      </x:c>
      <x:c r="Y185" s="21">
        <x:v>0</x:v>
      </x:c>
    </x:row>
    <x:row r="186" spans="1:37" x14ac:dyDescent="0.25">
      <x:c r="A186" s="0">
        <x:f>ROW(A186)-1</x:f>
      </x:c>
      <x:c r="B186" s="0">
        <x:v>188</x:v>
      </x:c>
      <x:c r="E186" s="0" t="s">
        <x:v>859</x:v>
      </x:c>
      <x:c r="G186" s="0" t="s">
        <x:v>1320</x:v>
      </x:c>
      <x:c r="M186" s="0">
        <x:v>0</x:v>
      </x:c>
      <x:c r="N186" s="0">
        <x:v>2019</x:v>
      </x:c>
      <x:c r="S186" s="0">
        <x:v>0</x:v>
      </x:c>
      <x:c r="T186" s="0">
        <x:v>0</x:v>
      </x:c>
      <x:c r="V186" s="0">
        <x:v>0</x:v>
      </x:c>
      <x:c r="W186" s="21">
        <x:v>0</x:v>
      </x:c>
      <x:c r="X186" s="0">
        <x:v>0</x:v>
      </x:c>
      <x:c r="Y186" s="21">
        <x:v>0</x:v>
      </x:c>
    </x:row>
    <x:row r="187" spans="1:37" x14ac:dyDescent="0.25">
      <x:c r="A187" s="0">
        <x:f>ROW(A187)-1</x:f>
      </x:c>
      <x:c r="B187" s="0">
        <x:v>189</x:v>
      </x:c>
      <x:c r="C187" s="0">
        <x:v>792</x:v>
      </x:c>
      <x:c r="D187" s="0" t="s">
        <x:v>863</x:v>
      </x:c>
      <x:c r="E187" s="0" t="s">
        <x:v>864</x:v>
      </x:c>
      <x:c r="F187" s="0" t="s">
        <x:v>1495</x:v>
      </x:c>
      <x:c r="G187" s="0" t="s">
        <x:v>1320</x:v>
      </x:c>
      <x:c r="M187" s="0">
        <x:v>0</x:v>
      </x:c>
      <x:c r="N187" s="0">
        <x:v>2017</x:v>
      </x:c>
      <x:c r="O187" s="0" t="s">
        <x:v>1342</x:v>
      </x:c>
      <x:c r="S187" s="0">
        <x:v>0</x:v>
      </x:c>
      <x:c r="T187" s="0">
        <x:v>0</x:v>
      </x:c>
      <x:c r="V187" s="0">
        <x:v>0</x:v>
      </x:c>
      <x:c r="W187" s="21">
        <x:v>0</x:v>
      </x:c>
      <x:c r="X187" s="0">
        <x:v>17150</x:v>
      </x:c>
      <x:c r="Y187" s="21">
        <x:v>0</x:v>
      </x:c>
    </x:row>
    <x:row r="188" spans="1:37" x14ac:dyDescent="0.25">
      <x:c r="A188" s="0">
        <x:f>ROW(A188)-1</x:f>
      </x:c>
      <x:c r="B188" s="0">
        <x:v>190</x:v>
      </x:c>
      <x:c r="C188" s="0">
        <x:v>791</x:v>
      </x:c>
      <x:c r="D188" s="0" t="s">
        <x:v>867</x:v>
      </x:c>
      <x:c r="E188" s="0" t="s">
        <x:v>868</x:v>
      </x:c>
      <x:c r="F188" s="0" t="s">
        <x:v>1365</x:v>
      </x:c>
      <x:c r="G188" s="0" t="s">
        <x:v>1320</x:v>
      </x:c>
      <x:c r="M188" s="0">
        <x:v>0</x:v>
      </x:c>
      <x:c r="N188" s="0">
        <x:v>2019</x:v>
      </x:c>
      <x:c r="O188" s="0" t="s">
        <x:v>1342</x:v>
      </x:c>
      <x:c r="S188" s="0">
        <x:v>0</x:v>
      </x:c>
      <x:c r="T188" s="0">
        <x:v>0</x:v>
      </x:c>
      <x:c r="V188" s="0">
        <x:v>0</x:v>
      </x:c>
      <x:c r="W188" s="21">
        <x:v>0</x:v>
      </x:c>
      <x:c r="X188" s="0">
        <x:v>0</x:v>
      </x:c>
      <x:c r="Y188" s="21">
        <x:v>0</x:v>
      </x:c>
    </x:row>
    <x:row r="189" spans="1:37" x14ac:dyDescent="0.25">
      <x:c r="A189" s="0">
        <x:f>ROW(A189)-1</x:f>
      </x:c>
      <x:c r="B189" s="0">
        <x:v>191</x:v>
      </x:c>
      <x:c r="C189" s="0">
        <x:v>789</x:v>
      </x:c>
      <x:c r="D189" s="0" t="s">
        <x:v>872</x:v>
      </x:c>
      <x:c r="E189" s="0" t="s">
        <x:v>331</x:v>
      </x:c>
      <x:c r="G189" s="0" t="s">
        <x:v>1320</x:v>
      </x:c>
      <x:c r="M189" s="0">
        <x:v>0</x:v>
      </x:c>
      <x:c r="N189" s="0">
        <x:v>2018</x:v>
      </x:c>
      <x:c r="S189" s="0">
        <x:v>0</x:v>
      </x:c>
      <x:c r="T189" s="0">
        <x:v>0</x:v>
      </x:c>
      <x:c r="V189" s="0">
        <x:v>0</x:v>
      </x:c>
      <x:c r="W189" s="21">
        <x:v>0</x:v>
      </x:c>
      <x:c r="X189" s="0">
        <x:v>0</x:v>
      </x:c>
      <x:c r="Y189" s="21">
        <x:v>0</x:v>
      </x:c>
    </x:row>
    <x:row r="190" spans="1:37" x14ac:dyDescent="0.25">
      <x:c r="A190" s="0">
        <x:f>ROW(A190)-1</x:f>
      </x:c>
      <x:c r="B190" s="0">
        <x:v>192</x:v>
      </x:c>
      <x:c r="C190" s="0">
        <x:v>782</x:v>
      </x:c>
      <x:c r="D190" s="0" t="s">
        <x:v>874</x:v>
      </x:c>
      <x:c r="E190" s="0" t="s">
        <x:v>875</x:v>
      </x:c>
      <x:c r="F190" s="0" t="s">
        <x:v>1496</x:v>
      </x:c>
      <x:c r="G190" s="0" t="s">
        <x:v>1320</x:v>
      </x:c>
      <x:c r="M190" s="0">
        <x:v>0</x:v>
      </x:c>
      <x:c r="N190" s="0">
        <x:v>2018</x:v>
      </x:c>
      <x:c r="O190" s="0" t="s">
        <x:v>1342</x:v>
      </x:c>
      <x:c r="S190" s="0">
        <x:v>0</x:v>
      </x:c>
      <x:c r="T190" s="0">
        <x:v>0</x:v>
      </x:c>
      <x:c r="V190" s="0">
        <x:v>0</x:v>
      </x:c>
      <x:c r="W190" s="21">
        <x:v>0</x:v>
      </x:c>
      <x:c r="X190" s="0">
        <x:v>0</x:v>
      </x:c>
      <x:c r="Y190" s="21">
        <x:v>0</x:v>
      </x:c>
    </x:row>
    <x:row r="191" spans="1:37" x14ac:dyDescent="0.25">
      <x:c r="A191" s="0">
        <x:f>ROW(A191)-1</x:f>
      </x:c>
      <x:c r="B191" s="0">
        <x:v>193</x:v>
      </x:c>
      <x:c r="C191" s="0">
        <x:v>779</x:v>
      </x:c>
      <x:c r="D191" s="0" t="s">
        <x:v>878</x:v>
      </x:c>
      <x:c r="E191" s="0" t="s">
        <x:v>879</x:v>
      </x:c>
      <x:c r="F191" s="0" t="s">
        <x:v>1497</x:v>
      </x:c>
      <x:c r="G191" s="0" t="s">
        <x:v>1320</x:v>
      </x:c>
      <x:c r="M191" s="0">
        <x:v>0</x:v>
      </x:c>
      <x:c r="N191" s="0">
        <x:v>2018</x:v>
      </x:c>
      <x:c r="O191" s="0" t="s">
        <x:v>1476</x:v>
      </x:c>
      <x:c r="S191" s="0">
        <x:v>0</x:v>
      </x:c>
      <x:c r="T191" s="0">
        <x:v>0</x:v>
      </x:c>
      <x:c r="V191" s="0">
        <x:v>0</x:v>
      </x:c>
      <x:c r="W191" s="21">
        <x:v>0</x:v>
      </x:c>
      <x:c r="X191" s="0">
        <x:v>0</x:v>
      </x:c>
      <x:c r="Y191" s="21">
        <x:v>0</x:v>
      </x:c>
    </x:row>
    <x:row r="192" spans="1:37" x14ac:dyDescent="0.25">
      <x:c r="A192" s="0">
        <x:f>ROW(A192)-1</x:f>
      </x:c>
      <x:c r="B192" s="0">
        <x:v>194</x:v>
      </x:c>
      <x:c r="C192" s="0">
        <x:v>777</x:v>
      </x:c>
      <x:c r="D192" s="0" t="s">
        <x:v>881</x:v>
      </x:c>
      <x:c r="E192" s="0" t="s">
        <x:v>882</x:v>
      </x:c>
      <x:c r="F192" s="0" t="s">
        <x:v>1498</x:v>
      </x:c>
      <x:c r="G192" s="0" t="s">
        <x:v>1320</x:v>
      </x:c>
      <x:c r="M192" s="0">
        <x:v>0</x:v>
      </x:c>
      <x:c r="N192" s="0">
        <x:v>2019</x:v>
      </x:c>
      <x:c r="O192" s="0" t="s">
        <x:v>1342</x:v>
      </x:c>
      <x:c r="S192" s="0">
        <x:v>0</x:v>
      </x:c>
      <x:c r="T192" s="0">
        <x:v>0</x:v>
      </x:c>
      <x:c r="V192" s="0">
        <x:v>0</x:v>
      </x:c>
      <x:c r="W192" s="21">
        <x:v>0</x:v>
      </x:c>
      <x:c r="X192" s="0">
        <x:v>0</x:v>
      </x:c>
      <x:c r="Y192" s="21">
        <x:v>0</x:v>
      </x:c>
    </x:row>
    <x:row r="193" spans="1:37" x14ac:dyDescent="0.25">
      <x:c r="A193" s="0">
        <x:f>ROW(A193)-1</x:f>
      </x:c>
      <x:c r="B193" s="0">
        <x:v>195</x:v>
      </x:c>
      <x:c r="C193" s="0">
        <x:v>776</x:v>
      </x:c>
      <x:c r="D193" s="0" t="s">
        <x:v>885</x:v>
      </x:c>
      <x:c r="E193" s="0" t="s">
        <x:v>886</x:v>
      </x:c>
      <x:c r="F193" s="0" t="s">
        <x:v>1499</x:v>
      </x:c>
      <x:c r="G193" s="0" t="s">
        <x:v>1320</x:v>
      </x:c>
      <x:c r="M193" s="0">
        <x:v>0</x:v>
      </x:c>
      <x:c r="N193" s="0">
        <x:v>2020</x:v>
      </x:c>
      <x:c r="O193" s="0" t="s">
        <x:v>1342</x:v>
      </x:c>
      <x:c r="S193" s="0">
        <x:v>0</x:v>
      </x:c>
      <x:c r="T193" s="0">
        <x:v>0</x:v>
      </x:c>
      <x:c r="V193" s="0">
        <x:v>0</x:v>
      </x:c>
      <x:c r="W193" s="21">
        <x:v>0</x:v>
      </x:c>
      <x:c r="X193" s="0">
        <x:v>0</x:v>
      </x:c>
      <x:c r="Y193" s="21">
        <x:v>0</x:v>
      </x:c>
    </x:row>
    <x:row r="194" spans="1:37" x14ac:dyDescent="0.25">
      <x:c r="A194" s="0">
        <x:f>ROW(A194)-1</x:f>
      </x:c>
      <x:c r="B194" s="0">
        <x:v>196</x:v>
      </x:c>
      <x:c r="C194" s="0">
        <x:v>774</x:v>
      </x:c>
      <x:c r="D194" s="0" t="s">
        <x:v>889</x:v>
      </x:c>
      <x:c r="E194" s="0" t="s">
        <x:v>890</x:v>
      </x:c>
      <x:c r="G194" s="0" t="s">
        <x:v>1320</x:v>
      </x:c>
      <x:c r="M194" s="0">
        <x:v>0</x:v>
      </x:c>
      <x:c r="N194" s="0">
        <x:v>2018</x:v>
      </x:c>
      <x:c r="S194" s="0">
        <x:v>0</x:v>
      </x:c>
      <x:c r="T194" s="0">
        <x:v>0</x:v>
      </x:c>
      <x:c r="V194" s="0">
        <x:v>0</x:v>
      </x:c>
      <x:c r="W194" s="21">
        <x:v>0</x:v>
      </x:c>
      <x:c r="X194" s="0">
        <x:v>0</x:v>
      </x:c>
      <x:c r="Y194" s="21">
        <x:v>0</x:v>
      </x:c>
    </x:row>
    <x:row r="195" spans="1:37" x14ac:dyDescent="0.25">
      <x:c r="A195" s="0">
        <x:f>ROW(A195)-1</x:f>
      </x:c>
      <x:c r="B195" s="0">
        <x:v>197</x:v>
      </x:c>
      <x:c r="C195" s="0">
        <x:v>771</x:v>
      </x:c>
      <x:c r="D195" s="0" t="s">
        <x:v>892</x:v>
      </x:c>
      <x:c r="E195" s="0" t="s">
        <x:v>893</x:v>
      </x:c>
      <x:c r="F195" s="0" t="s">
        <x:v>1500</x:v>
      </x:c>
      <x:c r="G195" s="0" t="s">
        <x:v>1320</x:v>
      </x:c>
      <x:c r="M195" s="0">
        <x:v>0</x:v>
      </x:c>
      <x:c r="N195" s="0">
        <x:v>2021</x:v>
      </x:c>
      <x:c r="O195" s="0" t="s">
        <x:v>1342</x:v>
      </x:c>
      <x:c r="S195" s="0">
        <x:v>0</x:v>
      </x:c>
      <x:c r="T195" s="0">
        <x:v>0</x:v>
      </x:c>
      <x:c r="V195" s="0">
        <x:v>0</x:v>
      </x:c>
      <x:c r="W195" s="21">
        <x:v>0</x:v>
      </x:c>
      <x:c r="X195" s="0">
        <x:v>0</x:v>
      </x:c>
      <x:c r="Y195" s="21">
        <x:v>0</x:v>
      </x:c>
    </x:row>
    <x:row r="196" spans="1:37" x14ac:dyDescent="0.25">
      <x:c r="A196" s="0">
        <x:f>ROW(A196)-1</x:f>
      </x:c>
      <x:c r="B196" s="0">
        <x:v>198</x:v>
      </x:c>
      <x:c r="C196" s="0">
        <x:v>770</x:v>
      </x:c>
      <x:c r="E196" s="0" t="s">
        <x:v>896</x:v>
      </x:c>
      <x:c r="F196" s="0" t="s">
        <x:v>1500</x:v>
      </x:c>
      <x:c r="G196" s="0" t="s">
        <x:v>1320</x:v>
      </x:c>
      <x:c r="M196" s="0">
        <x:v>0</x:v>
      </x:c>
      <x:c r="N196" s="0">
        <x:v>2015</x:v>
      </x:c>
      <x:c r="O196" s="0" t="s">
        <x:v>1342</x:v>
      </x:c>
      <x:c r="S196" s="0">
        <x:v>0</x:v>
      </x:c>
      <x:c r="T196" s="0">
        <x:v>0</x:v>
      </x:c>
      <x:c r="V196" s="0">
        <x:v>0</x:v>
      </x:c>
      <x:c r="W196" s="21">
        <x:v>0</x:v>
      </x:c>
      <x:c r="X196" s="0">
        <x:v>0</x:v>
      </x:c>
      <x:c r="Y196" s="21">
        <x:v>0</x:v>
      </x:c>
    </x:row>
    <x:row r="197" spans="1:37" x14ac:dyDescent="0.25">
      <x:c r="A197" s="0">
        <x:f>ROW(A197)-1</x:f>
      </x:c>
      <x:c r="B197" s="0">
        <x:v>199</x:v>
      </x:c>
      <x:c r="C197" s="0">
        <x:v>721</x:v>
      </x:c>
      <x:c r="D197" s="0" t="s">
        <x:v>899</x:v>
      </x:c>
      <x:c r="E197" s="0" t="s">
        <x:v>900</x:v>
      </x:c>
      <x:c r="G197" s="0" t="s">
        <x:v>1320</x:v>
      </x:c>
      <x:c r="H197" s="0" t="s">
        <x:v>1501</x:v>
      </x:c>
      <x:c r="I197" s="0" t="s">
        <x:v>494</x:v>
      </x:c>
      <x:c r="J197" s="0" t="s">
        <x:v>1502</x:v>
      </x:c>
      <x:c r="K197" s="0" t="s">
        <x:v>1339</x:v>
      </x:c>
      <x:c r="M197" s="0">
        <x:v>0</x:v>
      </x:c>
      <x:c r="N197" s="0">
        <x:v>2020</x:v>
      </x:c>
      <x:c r="O197" s="0" t="s">
        <x:v>1342</x:v>
      </x:c>
      <x:c r="S197" s="0">
        <x:v>0</x:v>
      </x:c>
      <x:c r="T197" s="0">
        <x:v>0</x:v>
      </x:c>
      <x:c r="V197" s="0">
        <x:v>0</x:v>
      </x:c>
      <x:c r="W197" s="21">
        <x:v>0</x:v>
      </x:c>
      <x:c r="X197" s="0">
        <x:v>0</x:v>
      </x:c>
      <x:c r="Y197" s="21">
        <x:v>0</x:v>
      </x:c>
    </x:row>
    <x:row r="198" spans="1:37" x14ac:dyDescent="0.25">
      <x:c r="A198" s="0">
        <x:f>ROW(A198)-1</x:f>
      </x:c>
      <x:c r="B198" s="0">
        <x:v>200</x:v>
      </x:c>
      <x:c r="C198" s="0">
        <x:v>719</x:v>
      </x:c>
      <x:c r="D198" s="0" t="s">
        <x:v>903</x:v>
      </x:c>
      <x:c r="E198" s="0" t="s">
        <x:v>240</x:v>
      </x:c>
      <x:c r="F198" s="0" t="s">
        <x:v>1503</x:v>
      </x:c>
      <x:c r="G198" s="0" t="s">
        <x:v>1320</x:v>
      </x:c>
      <x:c r="M198" s="0">
        <x:v>0</x:v>
      </x:c>
      <x:c r="N198" s="0">
        <x:v>2023</x:v>
      </x:c>
      <x:c r="O198" s="0" t="s">
        <x:v>1342</x:v>
      </x:c>
      <x:c r="S198" s="0">
        <x:v>0</x:v>
      </x:c>
      <x:c r="T198" s="0">
        <x:v>0</x:v>
      </x:c>
      <x:c r="V198" s="0">
        <x:v>0</x:v>
      </x:c>
      <x:c r="W198" s="21">
        <x:v>0</x:v>
      </x:c>
      <x:c r="X198" s="0">
        <x:v>0</x:v>
      </x:c>
      <x:c r="Y198" s="21">
        <x:v>0</x:v>
      </x:c>
    </x:row>
    <x:row r="199" spans="1:37" x14ac:dyDescent="0.25">
      <x:c r="A199" s="0">
        <x:f>ROW(A199)-1</x:f>
      </x:c>
      <x:c r="B199" s="0">
        <x:v>201</x:v>
      </x:c>
      <x:c r="C199" s="0">
        <x:v>768</x:v>
      </x:c>
      <x:c r="D199" s="0" t="s">
        <x:v>114</x:v>
      </x:c>
      <x:c r="E199" s="0" t="s">
        <x:v>904</x:v>
      </x:c>
      <x:c r="F199" s="0" t="s">
        <x:v>1504</x:v>
      </x:c>
      <x:c r="G199" s="0" t="s">
        <x:v>1320</x:v>
      </x:c>
      <x:c r="M199" s="0">
        <x:v>0</x:v>
      </x:c>
      <x:c r="N199" s="0">
        <x:v>2014</x:v>
      </x:c>
      <x:c r="O199" s="0" t="s">
        <x:v>1342</x:v>
      </x:c>
      <x:c r="S199" s="0">
        <x:v>0</x:v>
      </x:c>
      <x:c r="T199" s="0">
        <x:v>0</x:v>
      </x:c>
      <x:c r="V199" s="0">
        <x:v>0</x:v>
      </x:c>
      <x:c r="W199" s="21">
        <x:v>0</x:v>
      </x:c>
      <x:c r="X199" s="0">
        <x:v>0</x:v>
      </x:c>
      <x:c r="Y199" s="21">
        <x:v>0</x:v>
      </x:c>
    </x:row>
    <x:row r="200" spans="1:37" x14ac:dyDescent="0.25">
      <x:c r="A200" s="0">
        <x:f>ROW(A200)-1</x:f>
      </x:c>
      <x:c r="B200" s="0">
        <x:v>202</x:v>
      </x:c>
      <x:c r="C200" s="0">
        <x:v>767</x:v>
      </x:c>
      <x:c r="D200" s="0" t="s">
        <x:v>907</x:v>
      </x:c>
      <x:c r="E200" s="0" t="s">
        <x:v>908</x:v>
      </x:c>
      <x:c r="F200" s="0" t="s">
        <x:v>910</x:v>
      </x:c>
      <x:c r="G200" s="0" t="s">
        <x:v>1320</x:v>
      </x:c>
      <x:c r="M200" s="0">
        <x:v>0</x:v>
      </x:c>
      <x:c r="N200" s="0">
        <x:v>2015</x:v>
      </x:c>
      <x:c r="O200" s="0" t="s">
        <x:v>1342</x:v>
      </x:c>
      <x:c r="S200" s="0">
        <x:v>0</x:v>
      </x:c>
      <x:c r="T200" s="0">
        <x:v>0</x:v>
      </x:c>
      <x:c r="V200" s="0">
        <x:v>0</x:v>
      </x:c>
      <x:c r="W200" s="21">
        <x:v>0</x:v>
      </x:c>
      <x:c r="X200" s="0">
        <x:v>0</x:v>
      </x:c>
      <x:c r="Y200" s="21">
        <x:v>0</x:v>
      </x:c>
    </x:row>
    <x:row r="201" spans="1:37" x14ac:dyDescent="0.25">
      <x:c r="A201" s="0">
        <x:f>ROW(A201)-1</x:f>
      </x:c>
      <x:c r="B201" s="0">
        <x:v>203</x:v>
      </x:c>
      <x:c r="C201" s="0">
        <x:v>764</x:v>
      </x:c>
      <x:c r="D201" s="0" t="s">
        <x:v>911</x:v>
      </x:c>
      <x:c r="E201" s="0" t="s">
        <x:v>912</x:v>
      </x:c>
      <x:c r="F201" s="0" t="s">
        <x:v>1365</x:v>
      </x:c>
      <x:c r="G201" s="0" t="s">
        <x:v>1320</x:v>
      </x:c>
      <x:c r="M201" s="0">
        <x:v>0</x:v>
      </x:c>
      <x:c r="N201" s="0">
        <x:v>2014</x:v>
      </x:c>
      <x:c r="O201" s="0" t="s">
        <x:v>1342</x:v>
      </x:c>
      <x:c r="S201" s="0">
        <x:v>0</x:v>
      </x:c>
      <x:c r="T201" s="0">
        <x:v>0</x:v>
      </x:c>
      <x:c r="V201" s="0">
        <x:v>0</x:v>
      </x:c>
      <x:c r="W201" s="21">
        <x:v>0</x:v>
      </x:c>
      <x:c r="X201" s="0">
        <x:v>0</x:v>
      </x:c>
      <x:c r="Y201" s="21">
        <x:v>0</x:v>
      </x:c>
    </x:row>
    <x:row r="202" spans="1:37" x14ac:dyDescent="0.25">
      <x:c r="A202" s="0">
        <x:f>ROW(A202)-1</x:f>
      </x:c>
      <x:c r="B202" s="0">
        <x:v>204</x:v>
      </x:c>
      <x:c r="C202" s="0">
        <x:v>762</x:v>
      </x:c>
      <x:c r="E202" s="0" t="s">
        <x:v>914</x:v>
      </x:c>
      <x:c r="F202" s="0" t="s">
        <x:v>1505</x:v>
      </x:c>
      <x:c r="G202" s="0" t="s">
        <x:v>1320</x:v>
      </x:c>
      <x:c r="M202" s="0">
        <x:v>0</x:v>
      </x:c>
      <x:c r="N202" s="0">
        <x:v>2014</x:v>
      </x:c>
      <x:c r="O202" s="0" t="s">
        <x:v>1476</x:v>
      </x:c>
      <x:c r="S202" s="0">
        <x:v>0</x:v>
      </x:c>
      <x:c r="T202" s="0">
        <x:v>0</x:v>
      </x:c>
      <x:c r="V202" s="0">
        <x:v>0</x:v>
      </x:c>
      <x:c r="W202" s="21">
        <x:v>0</x:v>
      </x:c>
      <x:c r="X202" s="0">
        <x:v>0</x:v>
      </x:c>
      <x:c r="Y202" s="21">
        <x:v>0</x:v>
      </x:c>
    </x:row>
    <x:row r="203" spans="1:37" x14ac:dyDescent="0.25">
      <x:c r="A203" s="0">
        <x:f>ROW(A203)-1</x:f>
      </x:c>
      <x:c r="B203" s="0">
        <x:v>205</x:v>
      </x:c>
      <x:c r="C203" s="0">
        <x:v>761</x:v>
      </x:c>
      <x:c r="D203" s="0" t="s">
        <x:v>918</x:v>
      </x:c>
      <x:c r="E203" s="0" t="s">
        <x:v>919</x:v>
      </x:c>
      <x:c r="F203" s="0" t="s">
        <x:v>1365</x:v>
      </x:c>
      <x:c r="G203" s="0" t="s">
        <x:v>1320</x:v>
      </x:c>
      <x:c r="M203" s="0">
        <x:v>0</x:v>
      </x:c>
      <x:c r="N203" s="0">
        <x:v>2013</x:v>
      </x:c>
      <x:c r="O203" s="0" t="s">
        <x:v>1342</x:v>
      </x:c>
      <x:c r="S203" s="0">
        <x:v>0</x:v>
      </x:c>
      <x:c r="T203" s="0">
        <x:v>0</x:v>
      </x:c>
      <x:c r="V203" s="0">
        <x:v>0</x:v>
      </x:c>
      <x:c r="W203" s="21">
        <x:v>0</x:v>
      </x:c>
      <x:c r="X203" s="0">
        <x:v>0</x:v>
      </x:c>
      <x:c r="Y203" s="21">
        <x:v>0</x:v>
      </x:c>
    </x:row>
    <x:row r="204" spans="1:37" x14ac:dyDescent="0.25">
      <x:c r="A204" s="0">
        <x:f>ROW(A204)-1</x:f>
      </x:c>
      <x:c r="B204" s="0">
        <x:v>206</x:v>
      </x:c>
      <x:c r="C204" s="0">
        <x:v>759</x:v>
      </x:c>
      <x:c r="D204" s="0" t="s">
        <x:v>922</x:v>
      </x:c>
      <x:c r="E204" s="0" t="s">
        <x:v>923</x:v>
      </x:c>
      <x:c r="F204" s="0" t="s">
        <x:v>1365</x:v>
      </x:c>
      <x:c r="G204" s="0" t="s">
        <x:v>1320</x:v>
      </x:c>
      <x:c r="M204" s="0">
        <x:v>0</x:v>
      </x:c>
      <x:c r="N204" s="0">
        <x:v>2014</x:v>
      </x:c>
      <x:c r="O204" s="0" t="s">
        <x:v>1342</x:v>
      </x:c>
      <x:c r="S204" s="0">
        <x:v>0</x:v>
      </x:c>
      <x:c r="T204" s="0">
        <x:v>0</x:v>
      </x:c>
      <x:c r="V204" s="0">
        <x:v>0</x:v>
      </x:c>
      <x:c r="W204" s="21">
        <x:v>0</x:v>
      </x:c>
      <x:c r="X204" s="0">
        <x:v>0</x:v>
      </x:c>
      <x:c r="Y204" s="21">
        <x:v>0</x:v>
      </x:c>
    </x:row>
    <x:row r="205" spans="1:37" x14ac:dyDescent="0.25">
      <x:c r="A205" s="0">
        <x:f>ROW(A205)-1</x:f>
      </x:c>
      <x:c r="B205" s="0">
        <x:v>207</x:v>
      </x:c>
      <x:c r="C205" s="0">
        <x:v>739</x:v>
      </x:c>
      <x:c r="D205" s="0" t="s">
        <x:v>903</x:v>
      </x:c>
      <x:c r="E205" s="0" t="s">
        <x:v>926</x:v>
      </x:c>
      <x:c r="G205" s="0" t="s">
        <x:v>1320</x:v>
      </x:c>
      <x:c r="M205" s="0">
        <x:v>0</x:v>
      </x:c>
      <x:c r="N205" s="0">
        <x:v>2020</x:v>
      </x:c>
      <x:c r="S205" s="0">
        <x:v>0</x:v>
      </x:c>
      <x:c r="T205" s="0">
        <x:v>0</x:v>
      </x:c>
      <x:c r="V205" s="0">
        <x:v>0</x:v>
      </x:c>
      <x:c r="W205" s="21">
        <x:v>0</x:v>
      </x:c>
      <x:c r="X205" s="0">
        <x:v>0</x:v>
      </x:c>
      <x:c r="Y205" s="21">
        <x:v>0</x:v>
      </x:c>
    </x:row>
    <x:row r="206" spans="1:37" x14ac:dyDescent="0.25">
      <x:c r="A206" s="0">
        <x:f>ROW(A206)-1</x:f>
      </x:c>
      <x:c r="B206" s="0">
        <x:v>208</x:v>
      </x:c>
      <x:c r="E206" s="0" t="s">
        <x:v>1506</x:v>
      </x:c>
      <x:c r="F206" s="0" t="s">
        <x:v>1321</x:v>
      </x:c>
      <x:c r="G206" s="0" t="s">
        <x:v>1320</x:v>
      </x:c>
      <x:c r="M206" s="0">
        <x:v>0</x:v>
      </x:c>
      <x:c r="N206" s="0">
        <x:v>0</x:v>
      </x:c>
      <x:c r="O206" s="0" t="s">
        <x:v>1321</x:v>
      </x:c>
      <x:c r="S206" s="0">
        <x:v>0</x:v>
      </x:c>
      <x:c r="T206" s="0">
        <x:v>0</x:v>
      </x:c>
      <x:c r="V206" s="0">
        <x:v>0</x:v>
      </x:c>
      <x:c r="W206" s="21">
        <x:v>0</x:v>
      </x:c>
      <x:c r="X206" s="0">
        <x:v>0</x:v>
      </x:c>
      <x:c r="Y206" s="21">
        <x:v>0</x:v>
      </x:c>
      <x:c r="AK206" s="0" t="s">
        <x:v>1327</x:v>
      </x:c>
    </x:row>
    <x:row r="207" spans="1:37" x14ac:dyDescent="0.25">
      <x:c r="A207" s="0">
        <x:f>ROW(A207)-1</x:f>
      </x:c>
      <x:c r="B207" s="0">
        <x:v>209</x:v>
      </x:c>
      <x:c r="E207" s="0" t="s">
        <x:v>1507</x:v>
      </x:c>
      <x:c r="F207" s="0" t="s">
        <x:v>1377</x:v>
      </x:c>
      <x:c r="G207" s="0" t="s">
        <x:v>1320</x:v>
      </x:c>
      <x:c r="M207" s="0">
        <x:v>0</x:v>
      </x:c>
      <x:c r="N207" s="0">
        <x:v>0</x:v>
      </x:c>
      <x:c r="O207" s="0" t="s">
        <x:v>1368</x:v>
      </x:c>
      <x:c r="S207" s="0">
        <x:v>0</x:v>
      </x:c>
      <x:c r="T207" s="0">
        <x:v>0</x:v>
      </x:c>
      <x:c r="V207" s="0">
        <x:v>0</x:v>
      </x:c>
      <x:c r="W207" s="21">
        <x:v>0</x:v>
      </x:c>
      <x:c r="X207" s="0">
        <x:v>0</x:v>
      </x:c>
      <x:c r="Y207" s="21">
        <x:v>0</x:v>
      </x:c>
      <x:c r="AK207" s="0" t="s">
        <x:v>1327</x:v>
      </x:c>
    </x:row>
    <x:row r="208" spans="1:37" x14ac:dyDescent="0.25">
      <x:c r="A208" s="0">
        <x:f>ROW(A208)-1</x:f>
      </x:c>
      <x:c r="B208" s="0">
        <x:v>210</x:v>
      </x:c>
      <x:c r="E208" s="0" t="s">
        <x:v>1508</x:v>
      </x:c>
      <x:c r="F208" s="0" t="s">
        <x:v>1509</x:v>
      </x:c>
      <x:c r="G208" s="0" t="s">
        <x:v>1320</x:v>
      </x:c>
      <x:c r="M208" s="0">
        <x:v>0</x:v>
      </x:c>
      <x:c r="N208" s="0">
        <x:v>0</x:v>
      </x:c>
      <x:c r="O208" s="0" t="s">
        <x:v>1476</x:v>
      </x:c>
      <x:c r="S208" s="0">
        <x:v>0</x:v>
      </x:c>
      <x:c r="T208" s="0">
        <x:v>0</x:v>
      </x:c>
      <x:c r="V208" s="0">
        <x:v>0</x:v>
      </x:c>
      <x:c r="W208" s="21">
        <x:v>0</x:v>
      </x:c>
      <x:c r="X208" s="0">
        <x:v>0</x:v>
      </x:c>
      <x:c r="Y208" s="21">
        <x:v>0</x:v>
      </x:c>
      <x:c r="AK208" s="0" t="s">
        <x:v>1327</x:v>
      </x:c>
    </x:row>
    <x:row r="209" spans="1:37" x14ac:dyDescent="0.25">
      <x:c r="A209" s="0">
        <x:f>ROW(A209)-1</x:f>
      </x:c>
      <x:c r="B209" s="0">
        <x:v>211</x:v>
      </x:c>
      <x:c r="E209" s="0" t="s">
        <x:v>1510</x:v>
      </x:c>
      <x:c r="F209" s="0" t="s">
        <x:v>1511</x:v>
      </x:c>
      <x:c r="G209" s="0" t="s">
        <x:v>1320</x:v>
      </x:c>
      <x:c r="M209" s="0">
        <x:v>1961</x:v>
      </x:c>
      <x:c r="N209" s="0">
        <x:v>2002</x:v>
      </x:c>
      <x:c r="O209" s="0" t="s">
        <x:v>1331</x:v>
      </x:c>
      <x:c r="S209" s="0">
        <x:v>1300</x:v>
      </x:c>
      <x:c r="T209" s="0">
        <x:v>0</x:v>
      </x:c>
      <x:c r="V209" s="0">
        <x:v>267000</x:v>
      </x:c>
      <x:c r="W209" s="21">
        <x:v>0</x:v>
      </x:c>
      <x:c r="X209" s="0">
        <x:v>28000</x:v>
      </x:c>
      <x:c r="Y209" s="21">
        <x:v>0</x:v>
      </x:c>
      <x:c r="AK209" s="0" t="s">
        <x:v>1327</x:v>
      </x:c>
    </x:row>
    <x:row r="210" spans="1:37" x14ac:dyDescent="0.25">
      <x:c r="A210" s="0">
        <x:f>ROW(A210)-1</x:f>
      </x:c>
      <x:c r="B210" s="0">
        <x:v>212</x:v>
      </x:c>
      <x:c r="E210" s="0" t="s">
        <x:v>1512</x:v>
      </x:c>
      <x:c r="F210" s="0" t="s">
        <x:v>1513</x:v>
      </x:c>
      <x:c r="G210" s="0" t="s">
        <x:v>1320</x:v>
      </x:c>
      <x:c r="M210" s="0">
        <x:v>2017</x:v>
      </x:c>
      <x:c r="N210" s="0">
        <x:v>2018</x:v>
      </x:c>
      <x:c r="O210" s="0" t="s">
        <x:v>1326</x:v>
      </x:c>
      <x:c r="S210" s="0">
        <x:v>970</x:v>
      </x:c>
      <x:c r="T210" s="0">
        <x:v>0</x:v>
      </x:c>
      <x:c r="W210" s="21">
        <x:v>0</x:v>
      </x:c>
      <x:c r="X210" s="0">
        <x:v>12900</x:v>
      </x:c>
      <x:c r="Y210" s="21">
        <x:v>0</x:v>
      </x:c>
      <x:c r="AK210" s="0" t="s">
        <x:v>1327</x:v>
      </x:c>
    </x:row>
    <x:row r="211" spans="1:37" x14ac:dyDescent="0.25">
      <x:c r="A211" s="0">
        <x:f>ROW(A211)-1</x:f>
      </x:c>
      <x:c r="B211" s="0">
        <x:v>213</x:v>
      </x:c>
      <x:c r="E211" s="0" t="s">
        <x:v>1514</x:v>
      </x:c>
      <x:c r="G211" s="0" t="s">
        <x:v>1320</x:v>
      </x:c>
      <x:c r="M211" s="0">
        <x:v>2011</x:v>
      </x:c>
      <x:c r="N211" s="0">
        <x:v>0</x:v>
      </x:c>
      <x:c r="S211" s="0">
        <x:v>0</x:v>
      </x:c>
      <x:c r="T211" s="0">
        <x:v>0</x:v>
      </x:c>
      <x:c r="V211" s="0">
        <x:v>15210</x:v>
      </x:c>
      <x:c r="W211" s="21">
        <x:v>0</x:v>
      </x:c>
      <x:c r="X211" s="0">
        <x:v>14872</x:v>
      </x:c>
      <x:c r="Y211" s="21">
        <x:v>0</x:v>
      </x:c>
      <x:c r="AK211" s="0" t="s">
        <x:v>1327</x:v>
      </x:c>
    </x:row>
    <x:row r="212" spans="1:37" x14ac:dyDescent="0.25">
      <x:c r="A212" s="0">
        <x:f>ROW(A212)-1</x:f>
      </x:c>
      <x:c r="B212" s="0">
        <x:v>214</x:v>
      </x:c>
      <x:c r="E212" s="0" t="s">
        <x:v>1515</x:v>
      </x:c>
      <x:c r="F212" s="0" t="s">
        <x:v>1516</x:v>
      </x:c>
      <x:c r="G212" s="0" t="s">
        <x:v>1320</x:v>
      </x:c>
      <x:c r="M212" s="0">
        <x:v>2012</x:v>
      </x:c>
      <x:c r="N212" s="0">
        <x:v>0</x:v>
      </x:c>
      <x:c r="S212" s="0">
        <x:v>0</x:v>
      </x:c>
      <x:c r="T212" s="0">
        <x:v>0</x:v>
      </x:c>
      <x:c r="V212" s="0">
        <x:v>0</x:v>
      </x:c>
      <x:c r="W212" s="21">
        <x:v>0</x:v>
      </x:c>
      <x:c r="X212" s="0">
        <x:v>74500</x:v>
      </x:c>
      <x:c r="Y212" s="21">
        <x:v>0</x:v>
      </x:c>
      <x:c r="AK212" s="0" t="s">
        <x:v>1327</x:v>
      </x:c>
    </x:row>
    <x:row r="213" spans="1:37" x14ac:dyDescent="0.25">
      <x:c r="A213" s="0">
        <x:f>ROW(A213)-1</x:f>
      </x:c>
      <x:c r="B213" s="0">
        <x:v>215</x:v>
      </x:c>
      <x:c r="E213" s="0" t="s">
        <x:v>1517</x:v>
      </x:c>
      <x:c r="G213" s="0" t="s">
        <x:v>1320</x:v>
      </x:c>
      <x:c r="M213" s="0">
        <x:v>2014</x:v>
      </x:c>
      <x:c r="N213" s="0">
        <x:v>0</x:v>
      </x:c>
      <x:c r="S213" s="0">
        <x:v>0</x:v>
      </x:c>
      <x:c r="T213" s="0">
        <x:v>0</x:v>
      </x:c>
      <x:c r="V213" s="0">
        <x:v>0</x:v>
      </x:c>
      <x:c r="W213" s="21">
        <x:v>0</x:v>
      </x:c>
      <x:c r="X213" s="0">
        <x:v>4625</x:v>
      </x:c>
      <x:c r="Y213" s="21">
        <x:v>0</x:v>
      </x:c>
      <x:c r="AK213" s="0" t="s">
        <x:v>1327</x:v>
      </x:c>
    </x:row>
    <x:row r="214" spans="1:37" x14ac:dyDescent="0.25">
      <x:c r="A214" s="0">
        <x:f>ROW(A214)-1</x:f>
      </x:c>
      <x:c r="B214" s="0">
        <x:v>216</x:v>
      </x:c>
      <x:c r="E214" s="0" t="s">
        <x:v>1518</x:v>
      </x:c>
      <x:c r="F214" s="0" t="s">
        <x:v>1519</x:v>
      </x:c>
      <x:c r="G214" s="0" t="s">
        <x:v>1320</x:v>
      </x:c>
      <x:c r="M214" s="0">
        <x:v>2015</x:v>
      </x:c>
      <x:c r="N214" s="0">
        <x:v>0</x:v>
      </x:c>
      <x:c r="O214" s="0" t="s">
        <x:v>1373</x:v>
      </x:c>
      <x:c r="S214" s="0">
        <x:v>0</x:v>
      </x:c>
      <x:c r="T214" s="0">
        <x:v>0</x:v>
      </x:c>
      <x:c r="V214" s="0">
        <x:v>0</x:v>
      </x:c>
      <x:c r="W214" s="21">
        <x:v>0</x:v>
      </x:c>
      <x:c r="X214" s="0">
        <x:v>11400</x:v>
      </x:c>
      <x:c r="Y214" s="21">
        <x:v>0</x:v>
      </x:c>
      <x:c r="AK214" s="0" t="s">
        <x:v>1327</x:v>
      </x:c>
    </x:row>
    <x:row r="215" spans="1:37" x14ac:dyDescent="0.25">
      <x:c r="A215" s="0">
        <x:f>ROW(A215)-1</x:f>
      </x:c>
      <x:c r="B215" s="0">
        <x:v>217</x:v>
      </x:c>
      <x:c r="E215" s="0" t="s">
        <x:v>1520</x:v>
      </x:c>
      <x:c r="F215" s="0" t="s">
        <x:v>1521</x:v>
      </x:c>
      <x:c r="G215" s="0" t="s">
        <x:v>1320</x:v>
      </x:c>
      <x:c r="M215" s="0">
        <x:v>2015</x:v>
      </x:c>
      <x:c r="N215" s="0">
        <x:v>0</x:v>
      </x:c>
      <x:c r="O215" s="0" t="s">
        <x:v>1326</x:v>
      </x:c>
      <x:c r="S215" s="0">
        <x:v>0</x:v>
      </x:c>
      <x:c r="T215" s="0">
        <x:v>0</x:v>
      </x:c>
      <x:c r="V215" s="0">
        <x:v>0</x:v>
      </x:c>
      <x:c r="W215" s="21">
        <x:v>0</x:v>
      </x:c>
      <x:c r="X215" s="0">
        <x:v>253622</x:v>
      </x:c>
      <x:c r="Y215" s="21">
        <x:v>0</x:v>
      </x:c>
      <x:c r="AK215" s="0" t="s">
        <x:v>1327</x:v>
      </x:c>
    </x:row>
    <x:row r="216" spans="1:37" x14ac:dyDescent="0.25">
      <x:c r="A216" s="0">
        <x:f>ROW(A216)-1</x:f>
      </x:c>
      <x:c r="B216" s="0">
        <x:v>218</x:v>
      </x:c>
      <x:c r="E216" s="0" t="s">
        <x:v>1522</x:v>
      </x:c>
      <x:c r="F216" s="0" t="s">
        <x:v>1523</x:v>
      </x:c>
      <x:c r="G216" s="0" t="s">
        <x:v>1320</x:v>
      </x:c>
      <x:c r="M216" s="0">
        <x:v>0</x:v>
      </x:c>
      <x:c r="N216" s="0">
        <x:v>0</x:v>
      </x:c>
      <x:c r="O216" s="0" t="s">
        <x:v>1326</x:v>
      </x:c>
      <x:c r="S216" s="0">
        <x:v>0</x:v>
      </x:c>
      <x:c r="T216" s="0">
        <x:v>0</x:v>
      </x:c>
      <x:c r="V216" s="0">
        <x:v>0</x:v>
      </x:c>
      <x:c r="W216" s="21">
        <x:v>0</x:v>
      </x:c>
      <x:c r="X216" s="0">
        <x:v>45000</x:v>
      </x:c>
      <x:c r="Y216" s="21">
        <x:v>0</x:v>
      </x:c>
      <x:c r="AK216" s="0" t="s">
        <x:v>1327</x:v>
      </x:c>
    </x:row>
    <x:row r="217" spans="1:37" x14ac:dyDescent="0.25">
      <x:c r="A217" s="0">
        <x:f>ROW(A217)-1</x:f>
      </x:c>
      <x:c r="B217" s="0">
        <x:v>219</x:v>
      </x:c>
      <x:c r="G217" s="0" t="s">
        <x:v>1320</x:v>
      </x:c>
      <x:c r="M217" s="0">
        <x:v>0</x:v>
      </x:c>
      <x:c r="N217" s="0">
        <x:v>0</x:v>
      </x:c>
      <x:c r="S217" s="0">
        <x:v>0</x:v>
      </x:c>
      <x:c r="T217" s="0">
        <x:v>0</x:v>
      </x:c>
      <x:c r="V217" s="0">
        <x:v>0</x:v>
      </x:c>
      <x:c r="W217" s="21">
        <x:v>0</x:v>
      </x:c>
      <x:c r="X217" s="0">
        <x:v>0</x:v>
      </x:c>
      <x:c r="Y217" s="21">
        <x:v>0</x:v>
      </x:c>
      <x:c r="AK217" s="0" t="s">
        <x:v>1327</x:v>
      </x:c>
    </x:row>
    <x:row r="218" spans="1:37" x14ac:dyDescent="0.25">
      <x:c r="A218" s="0">
        <x:f>ROW(A218)-1</x:f>
      </x:c>
      <x:c r="B218" s="0">
        <x:v>220</x:v>
      </x:c>
      <x:c r="G218" s="0" t="s">
        <x:v>1320</x:v>
      </x:c>
      <x:c r="M218" s="0">
        <x:v>2017</x:v>
      </x:c>
      <x:c r="N218" s="0">
        <x:v>0</x:v>
      </x:c>
      <x:c r="S218" s="0">
        <x:v>0</x:v>
      </x:c>
      <x:c r="T218" s="0">
        <x:v>0</x:v>
      </x:c>
      <x:c r="V218" s="0">
        <x:v>0</x:v>
      </x:c>
      <x:c r="W218" s="21">
        <x:v>0</x:v>
      </x:c>
      <x:c r="X218" s="0">
        <x:v>0</x:v>
      </x:c>
      <x:c r="Y218" s="21">
        <x:v>0</x:v>
      </x:c>
      <x:c r="AK218" s="0" t="s">
        <x:v>1327</x:v>
      </x:c>
    </x:row>
    <x:row r="219" spans="1:37" x14ac:dyDescent="0.25">
      <x:c r="A219" s="0">
        <x:f>ROW(A219)-1</x:f>
      </x:c>
      <x:c r="B219" s="0">
        <x:v>221</x:v>
      </x:c>
      <x:c r="G219" s="0" t="s">
        <x:v>1320</x:v>
      </x:c>
      <x:c r="M219" s="0">
        <x:v>0</x:v>
      </x:c>
      <x:c r="N219" s="0">
        <x:v>0</x:v>
      </x:c>
      <x:c r="S219" s="0">
        <x:v>0</x:v>
      </x:c>
      <x:c r="T219" s="0">
        <x:v>0</x:v>
      </x:c>
      <x:c r="V219" s="0">
        <x:v>0</x:v>
      </x:c>
      <x:c r="W219" s="21">
        <x:v>0</x:v>
      </x:c>
      <x:c r="X219" s="0">
        <x:v>0</x:v>
      </x:c>
      <x:c r="Y219" s="21">
        <x:v>0</x:v>
      </x:c>
      <x:c r="AK219" s="0" t="s">
        <x:v>1327</x:v>
      </x:c>
    </x:row>
    <x:row r="220" spans="1:37" x14ac:dyDescent="0.25">
      <x:c r="A220" s="0">
        <x:f>ROW(A220)-1</x:f>
      </x:c>
      <x:c r="B220" s="0">
        <x:v>222</x:v>
      </x:c>
      <x:c r="E220" s="0" t="s">
        <x:v>1524</x:v>
      </x:c>
      <x:c r="F220" s="0" t="s">
        <x:v>1365</x:v>
      </x:c>
      <x:c r="G220" s="0" t="s">
        <x:v>1320</x:v>
      </x:c>
      <x:c r="M220" s="0">
        <x:v>2022</x:v>
      </x:c>
      <x:c r="N220" s="0">
        <x:v>0</x:v>
      </x:c>
      <x:c r="O220" s="0" t="s">
        <x:v>1342</x:v>
      </x:c>
      <x:c r="S220" s="0">
        <x:v>0</x:v>
      </x:c>
      <x:c r="T220" s="0">
        <x:v>0</x:v>
      </x:c>
      <x:c r="V220" s="0">
        <x:v>0</x:v>
      </x:c>
      <x:c r="W220" s="21">
        <x:v>0</x:v>
      </x:c>
      <x:c r="X220" s="0">
        <x:v>0</x:v>
      </x:c>
      <x:c r="Y220" s="21">
        <x:v>0</x:v>
      </x:c>
      <x:c r="AK220" s="0" t="s">
        <x:v>1327</x:v>
      </x:c>
    </x:row>
    <x:row r="221" spans="1:37" x14ac:dyDescent="0.25">
      <x:c r="A221" s="0">
        <x:f>ROW(A221)-1</x:f>
      </x:c>
      <x:c r="B221" s="0">
        <x:v>223</x:v>
      </x:c>
      <x:c r="E221" s="0" t="s">
        <x:v>1525</x:v>
      </x:c>
      <x:c r="F221" s="0" t="s">
        <x:v>1526</x:v>
      </x:c>
      <x:c r="G221" s="0" t="s">
        <x:v>1320</x:v>
      </x:c>
      <x:c r="M221" s="0">
        <x:v>0</x:v>
      </x:c>
      <x:c r="N221" s="0">
        <x:v>0</x:v>
      </x:c>
      <x:c r="O221" s="0" t="s">
        <x:v>1342</x:v>
      </x:c>
      <x:c r="S221" s="0">
        <x:v>1591</x:v>
      </x:c>
      <x:c r="T221" s="0">
        <x:v>0</x:v>
      </x:c>
      <x:c r="V221" s="0">
        <x:v>0</x:v>
      </x:c>
      <x:c r="W221" s="21">
        <x:v>0</x:v>
      </x:c>
      <x:c r="X221" s="0">
        <x:v>0</x:v>
      </x:c>
      <x:c r="Y221" s="21">
        <x:v>0</x:v>
      </x:c>
    </x:row>
    <x:row r="222" spans="1:37" x14ac:dyDescent="0.25">
      <x:c r="A222" s="0">
        <x:f>ROW(A222)-1</x:f>
      </x:c>
      <x:c r="B222" s="0">
        <x:v>224</x:v>
      </x:c>
      <x:c r="E222" s="0" t="s">
        <x:v>1527</x:v>
      </x:c>
      <x:c r="F222" s="0" t="s">
        <x:v>1334</x:v>
      </x:c>
      <x:c r="G222" s="0" t="s">
        <x:v>1320</x:v>
      </x:c>
      <x:c r="H222" s="0" t="s">
        <x:v>1360</x:v>
      </x:c>
      <x:c r="I222" s="0" t="s">
        <x:v>1528</x:v>
      </x:c>
      <x:c r="J222" s="0" t="s">
        <x:v>413</x:v>
      </x:c>
      <x:c r="K222" s="0" t="s">
        <x:v>1441</x:v>
      </x:c>
      <x:c r="M222" s="0">
        <x:v>0</x:v>
      </x:c>
      <x:c r="N222" s="0">
        <x:v>0</x:v>
      </x:c>
      <x:c r="O222" s="0" t="s">
        <x:v>1476</x:v>
      </x:c>
      <x:c r="S222" s="0">
        <x:v>564</x:v>
      </x:c>
      <x:c r="T222" s="0">
        <x:v>0</x:v>
      </x:c>
      <x:c r="V222" s="0">
        <x:v>0</x:v>
      </x:c>
      <x:c r="W222" s="21">
        <x:v>0</x:v>
      </x:c>
      <x:c r="X222" s="0">
        <x:v>0</x:v>
      </x:c>
      <x:c r="Y222" s="21">
        <x:v>0</x:v>
      </x:c>
    </x:row>
    <x:row r="223" spans="1:37" x14ac:dyDescent="0.25">
      <x:c r="A223" s="0">
        <x:f>ROW(A223)-1</x:f>
      </x:c>
      <x:c r="B223" s="0">
        <x:v>225</x:v>
      </x:c>
      <x:c r="E223" s="0" t="s">
        <x:v>1527</x:v>
      </x:c>
      <x:c r="F223" s="0" t="s">
        <x:v>1334</x:v>
      </x:c>
      <x:c r="G223" s="0" t="s">
        <x:v>1320</x:v>
      </x:c>
      <x:c r="H223" s="0" t="s">
        <x:v>1360</x:v>
      </x:c>
      <x:c r="I223" s="0" t="s">
        <x:v>1361</x:v>
      </x:c>
      <x:c r="J223" s="0" t="s">
        <x:v>1529</x:v>
      </x:c>
      <x:c r="K223" s="0" t="s">
        <x:v>1477</x:v>
      </x:c>
      <x:c r="M223" s="0">
        <x:v>0</x:v>
      </x:c>
      <x:c r="N223" s="0">
        <x:v>0</x:v>
      </x:c>
      <x:c r="O223" s="0" t="s">
        <x:v>1476</x:v>
      </x:c>
      <x:c r="S223" s="0">
        <x:v>348</x:v>
      </x:c>
      <x:c r="T223" s="0">
        <x:v>0</x:v>
      </x:c>
      <x:c r="V223" s="0">
        <x:v>0</x:v>
      </x:c>
      <x:c r="W223" s="21">
        <x:v>0</x:v>
      </x:c>
      <x:c r="X223" s="0">
        <x:v>0</x:v>
      </x:c>
      <x:c r="Y223" s="21">
        <x:v>0</x:v>
      </x:c>
    </x:row>
    <x:row r="224" spans="1:37" x14ac:dyDescent="0.25">
      <x:c r="A224" s="0">
        <x:f>ROW(A224)-1</x:f>
      </x:c>
      <x:c r="B224" s="0">
        <x:v>226</x:v>
      </x:c>
      <x:c r="E224" s="0" t="s">
        <x:v>1530</x:v>
      </x:c>
      <x:c r="F224" s="0" t="s">
        <x:v>1531</x:v>
      </x:c>
      <x:c r="G224" s="0" t="s">
        <x:v>1320</x:v>
      </x:c>
      <x:c r="H224" s="0" t="s">
        <x:v>1360</x:v>
      </x:c>
      <x:c r="I224" s="0" t="s">
        <x:v>201</x:v>
      </x:c>
      <x:c r="J224" s="0" t="s">
        <x:v>1532</x:v>
      </x:c>
      <x:c r="K224" s="0" t="s">
        <x:v>1533</x:v>
      </x:c>
      <x:c r="M224" s="0">
        <x:v>0</x:v>
      </x:c>
      <x:c r="N224" s="0">
        <x:v>0</x:v>
      </x:c>
      <x:c r="O224" s="0" t="s">
        <x:v>1342</x:v>
      </x:c>
      <x:c r="S224" s="0">
        <x:v>447</x:v>
      </x:c>
      <x:c r="T224" s="0">
        <x:v>0</x:v>
      </x:c>
      <x:c r="V224" s="0">
        <x:v>0</x:v>
      </x:c>
      <x:c r="W224" s="21">
        <x:v>0</x:v>
      </x:c>
      <x:c r="X224" s="0">
        <x:v>0</x:v>
      </x:c>
      <x:c r="Y224" s="21">
        <x:v>0</x:v>
      </x:c>
    </x:row>
    <x:row r="225" spans="1:37" x14ac:dyDescent="0.25">
      <x:c r="A225" s="0">
        <x:f>ROW(A225)-1</x:f>
      </x:c>
      <x:c r="B225" s="0">
        <x:v>227</x:v>
      </x:c>
      <x:c r="E225" s="0" t="s">
        <x:v>1530</x:v>
      </x:c>
      <x:c r="F225" s="0" t="s">
        <x:v>1534</x:v>
      </x:c>
      <x:c r="G225" s="0" t="s">
        <x:v>1320</x:v>
      </x:c>
      <x:c r="H225" s="0" t="s">
        <x:v>1360</x:v>
      </x:c>
      <x:c r="I225" s="0" t="s">
        <x:v>201</x:v>
      </x:c>
      <x:c r="J225" s="0" t="s">
        <x:v>1535</x:v>
      </x:c>
      <x:c r="K225" s="0" t="s">
        <x:v>1478</x:v>
      </x:c>
      <x:c r="M225" s="0">
        <x:v>0</x:v>
      </x:c>
      <x:c r="N225" s="0">
        <x:v>0</x:v>
      </x:c>
      <x:c r="O225" s="0" t="s">
        <x:v>1476</x:v>
      </x:c>
      <x:c r="S225" s="0">
        <x:v>393</x:v>
      </x:c>
      <x:c r="T225" s="0">
        <x:v>0</x:v>
      </x:c>
      <x:c r="V225" s="0">
        <x:v>0</x:v>
      </x:c>
      <x:c r="W225" s="21">
        <x:v>0</x:v>
      </x:c>
      <x:c r="X225" s="0">
        <x:v>0</x:v>
      </x:c>
      <x:c r="Y225" s="21">
        <x:v>0</x:v>
      </x:c>
    </x:row>
    <x:row r="226" spans="1:37" x14ac:dyDescent="0.25">
      <x:c r="A226" s="0">
        <x:f>ROW(A226)-1</x:f>
      </x:c>
      <x:c r="B226" s="0">
        <x:v>228</x:v>
      </x:c>
      <x:c r="E226" s="0" t="s">
        <x:v>1530</x:v>
      </x:c>
      <x:c r="F226" s="0" t="s">
        <x:v>1536</x:v>
      </x:c>
      <x:c r="G226" s="0" t="s">
        <x:v>1320</x:v>
      </x:c>
      <x:c r="H226" s="0" t="s">
        <x:v>1360</x:v>
      </x:c>
      <x:c r="I226" s="0" t="s">
        <x:v>201</x:v>
      </x:c>
      <x:c r="J226" s="0" t="s">
        <x:v>1537</x:v>
      </x:c>
      <x:c r="K226" s="0" t="s">
        <x:v>1538</x:v>
      </x:c>
      <x:c r="M226" s="0">
        <x:v>0</x:v>
      </x:c>
      <x:c r="N226" s="0">
        <x:v>0</x:v>
      </x:c>
      <x:c r="S226" s="0">
        <x:v>779</x:v>
      </x:c>
      <x:c r="T226" s="0">
        <x:v>0</x:v>
      </x:c>
      <x:c r="V226" s="0">
        <x:v>0</x:v>
      </x:c>
      <x:c r="W226" s="21">
        <x:v>0</x:v>
      </x:c>
      <x:c r="X226" s="0">
        <x:v>0</x:v>
      </x:c>
      <x:c r="Y226" s="21">
        <x:v>0</x:v>
      </x:c>
    </x:row>
    <x:row r="227" spans="1:37" x14ac:dyDescent="0.25">
      <x:c r="A227" s="0">
        <x:f>ROW(A227)-1</x:f>
      </x:c>
      <x:c r="B227" s="0">
        <x:v>229</x:v>
      </x:c>
      <x:c r="E227" s="0" t="s">
        <x:v>1530</x:v>
      </x:c>
      <x:c r="F227" s="0" t="s">
        <x:v>1539</x:v>
      </x:c>
      <x:c r="G227" s="0" t="s">
        <x:v>1320</x:v>
      </x:c>
      <x:c r="H227" s="0" t="s">
        <x:v>1360</x:v>
      </x:c>
      <x:c r="I227" s="0" t="s">
        <x:v>201</x:v>
      </x:c>
      <x:c r="J227" s="0" t="s">
        <x:v>1532</x:v>
      </x:c>
      <x:c r="K227" s="0" t="s">
        <x:v>1339</x:v>
      </x:c>
      <x:c r="M227" s="0">
        <x:v>0</x:v>
      </x:c>
      <x:c r="N227" s="0">
        <x:v>0</x:v>
      </x:c>
      <x:c r="S227" s="0">
        <x:v>2019</x:v>
      </x:c>
      <x:c r="T227" s="0">
        <x:v>0</x:v>
      </x:c>
      <x:c r="V227" s="0">
        <x:v>0</x:v>
      </x:c>
      <x:c r="W227" s="21">
        <x:v>0</x:v>
      </x:c>
      <x:c r="X227" s="0">
        <x:v>0</x:v>
      </x:c>
      <x:c r="Y227" s="21">
        <x:v>0</x:v>
      </x:c>
    </x:row>
    <x:row r="228" spans="1:37" x14ac:dyDescent="0.25">
      <x:c r="A228" s="0">
        <x:f>ROW(A228)-1</x:f>
      </x:c>
      <x:c r="B228" s="0">
        <x:v>230</x:v>
      </x:c>
      <x:c r="E228" s="0" t="s">
        <x:v>1530</x:v>
      </x:c>
      <x:c r="F228" s="0" t="s">
        <x:v>1540</x:v>
      </x:c>
      <x:c r="G228" s="0" t="s">
        <x:v>1320</x:v>
      </x:c>
      <x:c r="H228" s="0" t="s">
        <x:v>1360</x:v>
      </x:c>
      <x:c r="I228" s="0" t="s">
        <x:v>201</x:v>
      </x:c>
      <x:c r="J228" s="0" t="s">
        <x:v>1541</x:v>
      </x:c>
      <x:c r="K228" s="0" t="s">
        <x:v>1542</x:v>
      </x:c>
      <x:c r="M228" s="0">
        <x:v>0</x:v>
      </x:c>
      <x:c r="N228" s="0">
        <x:v>0</x:v>
      </x:c>
      <x:c r="O228" s="0" t="s">
        <x:v>1476</x:v>
      </x:c>
      <x:c r="S228" s="0">
        <x:v>1077</x:v>
      </x:c>
      <x:c r="T228" s="0">
        <x:v>0</x:v>
      </x:c>
      <x:c r="V228" s="0">
        <x:v>0</x:v>
      </x:c>
      <x:c r="W228" s="21">
        <x:v>0</x:v>
      </x:c>
      <x:c r="X228" s="0">
        <x:v>0</x:v>
      </x:c>
      <x:c r="Y228" s="21">
        <x:v>0</x:v>
      </x:c>
    </x:row>
    <x:row r="229" spans="1:37" x14ac:dyDescent="0.25">
      <x:c r="A229" s="0">
        <x:f>ROW(A229)-1</x:f>
      </x:c>
      <x:c r="B229" s="0">
        <x:v>231</x:v>
      </x:c>
      <x:c r="E229" s="0" t="s">
        <x:v>1543</x:v>
      </x:c>
      <x:c r="F229" s="0" t="s">
        <x:v>1544</x:v>
      </x:c>
      <x:c r="G229" s="0" t="s">
        <x:v>1320</x:v>
      </x:c>
      <x:c r="H229" s="0" t="s">
        <x:v>1360</x:v>
      </x:c>
      <x:c r="I229" s="0" t="s">
        <x:v>201</x:v>
      </x:c>
      <x:c r="J229" s="0" t="s">
        <x:v>1541</x:v>
      </x:c>
      <x:c r="K229" s="0" t="s">
        <x:v>1545</x:v>
      </x:c>
      <x:c r="M229" s="0">
        <x:v>0</x:v>
      </x:c>
      <x:c r="N229" s="0">
        <x:v>0</x:v>
      </x:c>
      <x:c r="O229" s="0" t="s">
        <x:v>1342</x:v>
      </x:c>
      <x:c r="S229" s="0">
        <x:v>530</x:v>
      </x:c>
      <x:c r="T229" s="0">
        <x:v>0</x:v>
      </x:c>
      <x:c r="V229" s="0">
        <x:v>0</x:v>
      </x:c>
      <x:c r="W229" s="21">
        <x:v>0</x:v>
      </x:c>
      <x:c r="X229" s="0">
        <x:v>0</x:v>
      </x:c>
      <x:c r="Y229" s="21">
        <x:v>0</x:v>
      </x:c>
    </x:row>
    <x:row r="230" spans="1:37" x14ac:dyDescent="0.25">
      <x:c r="A230" s="0">
        <x:f>ROW(A230)-1</x:f>
      </x:c>
      <x:c r="B230" s="0">
        <x:v>232</x:v>
      </x:c>
      <x:c r="E230" s="0" t="s">
        <x:v>1530</x:v>
      </x:c>
      <x:c r="F230" s="0" t="s">
        <x:v>1546</x:v>
      </x:c>
      <x:c r="G230" s="0" t="s">
        <x:v>1320</x:v>
      </x:c>
      <x:c r="H230" s="0" t="s">
        <x:v>1360</x:v>
      </x:c>
      <x:c r="I230" s="0" t="s">
        <x:v>201</x:v>
      </x:c>
      <x:c r="J230" s="0" t="s">
        <x:v>1547</x:v>
      </x:c>
      <x:c r="K230" s="0" t="s">
        <x:v>1533</x:v>
      </x:c>
      <x:c r="M230" s="0">
        <x:v>0</x:v>
      </x:c>
      <x:c r="N230" s="0">
        <x:v>0</x:v>
      </x:c>
      <x:c r="O230" s="0" t="s">
        <x:v>1476</x:v>
      </x:c>
      <x:c r="S230" s="0">
        <x:v>403</x:v>
      </x:c>
      <x:c r="T230" s="0">
        <x:v>0</x:v>
      </x:c>
      <x:c r="V230" s="0">
        <x:v>0</x:v>
      </x:c>
      <x:c r="W230" s="21">
        <x:v>0</x:v>
      </x:c>
      <x:c r="X230" s="0">
        <x:v>0</x:v>
      </x:c>
      <x:c r="Y230" s="21">
        <x:v>0</x:v>
      </x:c>
    </x:row>
    <x:row r="231" spans="1:37" x14ac:dyDescent="0.25">
      <x:c r="A231" s="0">
        <x:f>ROW(A231)-1</x:f>
      </x:c>
      <x:c r="B231" s="0">
        <x:v>233</x:v>
      </x:c>
      <x:c r="E231" s="0" t="s">
        <x:v>1530</x:v>
      </x:c>
      <x:c r="F231" s="0" t="s">
        <x:v>1548</x:v>
      </x:c>
      <x:c r="G231" s="0" t="s">
        <x:v>1320</x:v>
      </x:c>
      <x:c r="H231" s="0" t="s">
        <x:v>1360</x:v>
      </x:c>
      <x:c r="I231" s="0" t="s">
        <x:v>201</x:v>
      </x:c>
      <x:c r="J231" s="0" t="s">
        <x:v>1549</x:v>
      </x:c>
      <x:c r="K231" s="0" t="s">
        <x:v>1550</x:v>
      </x:c>
      <x:c r="M231" s="0">
        <x:v>0</x:v>
      </x:c>
      <x:c r="N231" s="0">
        <x:v>0</x:v>
      </x:c>
      <x:c r="O231" s="0" t="s">
        <x:v>1476</x:v>
      </x:c>
      <x:c r="S231" s="0">
        <x:v>548</x:v>
      </x:c>
      <x:c r="T231" s="0">
        <x:v>0</x:v>
      </x:c>
      <x:c r="V231" s="0">
        <x:v>0</x:v>
      </x:c>
      <x:c r="W231" s="21">
        <x:v>0</x:v>
      </x:c>
      <x:c r="X231" s="0">
        <x:v>0</x:v>
      </x:c>
      <x:c r="Y231" s="21">
        <x:v>0</x:v>
      </x:c>
    </x:row>
    <x:row r="232" spans="1:37" x14ac:dyDescent="0.25">
      <x:c r="A232" s="0">
        <x:f>ROW(A232)-1</x:f>
      </x:c>
      <x:c r="B232" s="0">
        <x:v>234</x:v>
      </x:c>
      <x:c r="E232" s="0" t="s">
        <x:v>1530</x:v>
      </x:c>
      <x:c r="F232" s="0" t="s">
        <x:v>1551</x:v>
      </x:c>
      <x:c r="G232" s="0" t="s">
        <x:v>1320</x:v>
      </x:c>
      <x:c r="H232" s="0" t="s">
        <x:v>1360</x:v>
      </x:c>
      <x:c r="I232" s="0" t="s">
        <x:v>201</x:v>
      </x:c>
      <x:c r="J232" s="0" t="s">
        <x:v>1552</x:v>
      </x:c>
      <x:c r="K232" s="0" t="s">
        <x:v>1477</x:v>
      </x:c>
      <x:c r="M232" s="0">
        <x:v>0</x:v>
      </x:c>
      <x:c r="N232" s="0">
        <x:v>0</x:v>
      </x:c>
      <x:c r="S232" s="0">
        <x:v>336</x:v>
      </x:c>
      <x:c r="T232" s="0">
        <x:v>0</x:v>
      </x:c>
      <x:c r="V232" s="0">
        <x:v>0</x:v>
      </x:c>
      <x:c r="W232" s="21">
        <x:v>0</x:v>
      </x:c>
      <x:c r="X232" s="0">
        <x:v>0</x:v>
      </x:c>
      <x:c r="Y232" s="21">
        <x:v>0</x:v>
      </x:c>
    </x:row>
    <x:row r="233" spans="1:37" x14ac:dyDescent="0.25">
      <x:c r="A233" s="0">
        <x:f>ROW(A233)-1</x:f>
      </x:c>
      <x:c r="B233" s="0">
        <x:v>235</x:v>
      </x:c>
      <x:c r="E233" s="0" t="s">
        <x:v>1530</x:v>
      </x:c>
      <x:c r="F233" s="0" t="s">
        <x:v>1553</x:v>
      </x:c>
      <x:c r="G233" s="0" t="s">
        <x:v>1320</x:v>
      </x:c>
      <x:c r="H233" s="0" t="s">
        <x:v>1360</x:v>
      </x:c>
      <x:c r="I233" s="0" t="s">
        <x:v>201</x:v>
      </x:c>
      <x:c r="J233" s="0" t="s">
        <x:v>413</x:v>
      </x:c>
      <x:c r="K233" s="0" t="s">
        <x:v>1441</x:v>
      </x:c>
      <x:c r="M233" s="0">
        <x:v>0</x:v>
      </x:c>
      <x:c r="N233" s="0">
        <x:v>0</x:v>
      </x:c>
      <x:c r="S233" s="0">
        <x:v>420</x:v>
      </x:c>
      <x:c r="T233" s="0">
        <x:v>0</x:v>
      </x:c>
      <x:c r="V233" s="0">
        <x:v>0</x:v>
      </x:c>
      <x:c r="W233" s="21">
        <x:v>0</x:v>
      </x:c>
      <x:c r="X233" s="0">
        <x:v>0</x:v>
      </x:c>
      <x:c r="Y233" s="21">
        <x:v>0</x:v>
      </x:c>
    </x:row>
    <x:row r="234" spans="1:37" x14ac:dyDescent="0.25">
      <x:c r="A234" s="0">
        <x:f>ROW(A234)-1</x:f>
      </x:c>
      <x:c r="B234" s="0">
        <x:v>236</x:v>
      </x:c>
      <x:c r="E234" s="0" t="s">
        <x:v>1554</x:v>
      </x:c>
      <x:c r="F234" s="0" t="s">
        <x:v>1555</x:v>
      </x:c>
      <x:c r="G234" s="0" t="s">
        <x:v>1320</x:v>
      </x:c>
      <x:c r="H234" s="0" t="s">
        <x:v>1360</x:v>
      </x:c>
      <x:c r="I234" s="0" t="s">
        <x:v>1361</x:v>
      </x:c>
      <x:c r="J234" s="0" t="s">
        <x:v>1556</x:v>
      </x:c>
      <x:c r="K234" s="0" t="s">
        <x:v>1478</x:v>
      </x:c>
      <x:c r="M234" s="0">
        <x:v>0</x:v>
      </x:c>
      <x:c r="N234" s="0">
        <x:v>0</x:v>
      </x:c>
      <x:c r="O234" s="0" t="s">
        <x:v>1345</x:v>
      </x:c>
      <x:c r="S234" s="0">
        <x:v>2788</x:v>
      </x:c>
      <x:c r="T234" s="0">
        <x:v>0</x:v>
      </x:c>
      <x:c r="V234" s="0">
        <x:v>0</x:v>
      </x:c>
      <x:c r="W234" s="21">
        <x:v>0</x:v>
      </x:c>
      <x:c r="X234" s="0">
        <x:v>0</x:v>
      </x:c>
      <x:c r="Y234" s="21">
        <x:v>0</x:v>
      </x:c>
    </x:row>
    <x:row r="235" spans="1:37" x14ac:dyDescent="0.25">
      <x:c r="A235" s="0">
        <x:f>ROW(A235)-1</x:f>
      </x:c>
      <x:c r="B235" s="0">
        <x:v>237</x:v>
      </x:c>
      <x:c r="E235" s="0" t="s">
        <x:v>1557</x:v>
      </x:c>
      <x:c r="F235" s="0" t="s">
        <x:v>1558</x:v>
      </x:c>
      <x:c r="G235" s="0" t="s">
        <x:v>1320</x:v>
      </x:c>
      <x:c r="H235" s="0" t="s">
        <x:v>1559</x:v>
      </x:c>
      <x:c r="I235" s="0" t="s">
        <x:v>1560</x:v>
      </x:c>
      <x:c r="J235" s="0" t="s">
        <x:v>1561</x:v>
      </x:c>
      <x:c r="K235" s="0" t="s">
        <x:v>1482</x:v>
      </x:c>
      <x:c r="M235" s="0">
        <x:v>0</x:v>
      </x:c>
      <x:c r="N235" s="0">
        <x:v>0</x:v>
      </x:c>
      <x:c r="O235" s="0" t="s">
        <x:v>1342</x:v>
      </x:c>
      <x:c r="S235" s="0">
        <x:v>202</x:v>
      </x:c>
      <x:c r="T235" s="0">
        <x:v>0</x:v>
      </x:c>
      <x:c r="V235" s="0">
        <x:v>0</x:v>
      </x:c>
      <x:c r="W235" s="21">
        <x:v>0</x:v>
      </x:c>
      <x:c r="X235" s="0">
        <x:v>0</x:v>
      </x:c>
      <x:c r="Y235" s="21">
        <x:v>0</x:v>
      </x:c>
    </x:row>
    <x:row r="236" spans="1:37" x14ac:dyDescent="0.25">
      <x:c r="A236" s="0">
        <x:f>ROW(A236)-1</x:f>
      </x:c>
      <x:c r="B236" s="0">
        <x:v>238</x:v>
      </x:c>
      <x:c r="E236" s="0" t="s">
        <x:v>1562</x:v>
      </x:c>
      <x:c r="F236" s="0" t="s">
        <x:v>1558</x:v>
      </x:c>
      <x:c r="G236" s="0" t="s">
        <x:v>1320</x:v>
      </x:c>
      <x:c r="H236" s="0" t="s">
        <x:v>1360</x:v>
      </x:c>
      <x:c r="I236" s="0" t="s">
        <x:v>1361</x:v>
      </x:c>
      <x:c r="J236" s="0" t="s">
        <x:v>1563</x:v>
      </x:c>
      <x:c r="K236" s="0" t="s">
        <x:v>1564</x:v>
      </x:c>
      <x:c r="M236" s="0">
        <x:v>0</x:v>
      </x:c>
      <x:c r="N236" s="0">
        <x:v>0</x:v>
      </x:c>
      <x:c r="S236" s="0">
        <x:v>255</x:v>
      </x:c>
      <x:c r="T236" s="0">
        <x:v>0</x:v>
      </x:c>
      <x:c r="V236" s="0">
        <x:v>0</x:v>
      </x:c>
      <x:c r="W236" s="21">
        <x:v>0</x:v>
      </x:c>
      <x:c r="X236" s="0">
        <x:v>0</x:v>
      </x:c>
      <x:c r="Y236" s="21">
        <x:v>0</x:v>
      </x:c>
    </x:row>
    <x:row r="237" spans="1:37" x14ac:dyDescent="0.25">
      <x:c r="A237" s="0">
        <x:f>ROW(A237)-1</x:f>
      </x:c>
      <x:c r="B237" s="0">
        <x:v>239</x:v>
      </x:c>
      <x:c r="E237" s="0" t="s">
        <x:v>1562</x:v>
      </x:c>
      <x:c r="F237" s="0" t="s">
        <x:v>1558</x:v>
      </x:c>
      <x:c r="G237" s="0" t="s">
        <x:v>1320</x:v>
      </x:c>
      <x:c r="H237" s="0" t="s">
        <x:v>1360</x:v>
      </x:c>
      <x:c r="I237" s="0" t="s">
        <x:v>1565</x:v>
      </x:c>
      <x:c r="J237" s="0" t="s">
        <x:v>1566</x:v>
      </x:c>
      <x:c r="K237" s="0" t="s">
        <x:v>1477</x:v>
      </x:c>
      <x:c r="M237" s="0">
        <x:v>0</x:v>
      </x:c>
      <x:c r="N237" s="0">
        <x:v>0</x:v>
      </x:c>
      <x:c r="S237" s="0">
        <x:v>500</x:v>
      </x:c>
      <x:c r="T237" s="0">
        <x:v>0</x:v>
      </x:c>
      <x:c r="V237" s="0">
        <x:v>0</x:v>
      </x:c>
      <x:c r="W237" s="21">
        <x:v>0</x:v>
      </x:c>
      <x:c r="X237" s="0">
        <x:v>0</x:v>
      </x:c>
      <x:c r="Y237" s="21">
        <x:v>0</x:v>
      </x:c>
    </x:row>
    <x:row r="238" spans="1:37" x14ac:dyDescent="0.25">
      <x:c r="A238" s="0">
        <x:f>ROW(A238)-1</x:f>
      </x:c>
      <x:c r="B238" s="0">
        <x:v>240</x:v>
      </x:c>
      <x:c r="E238" s="0" t="s">
        <x:v>1567</x:v>
      </x:c>
      <x:c r="F238" s="0" t="s">
        <x:v>1558</x:v>
      </x:c>
      <x:c r="G238" s="0" t="s">
        <x:v>1320</x:v>
      </x:c>
      <x:c r="H238" s="0" t="s">
        <x:v>1360</x:v>
      </x:c>
      <x:c r="I238" s="0" t="s">
        <x:v>1361</x:v>
      </x:c>
      <x:c r="J238" s="0" t="s">
        <x:v>1568</x:v>
      </x:c>
      <x:c r="K238" s="0" t="s">
        <x:v>1458</x:v>
      </x:c>
      <x:c r="M238" s="0">
        <x:v>0</x:v>
      </x:c>
      <x:c r="N238" s="0">
        <x:v>0</x:v>
      </x:c>
      <x:c r="S238" s="0">
        <x:v>363</x:v>
      </x:c>
      <x:c r="T238" s="0">
        <x:v>0</x:v>
      </x:c>
      <x:c r="V238" s="0">
        <x:v>0</x:v>
      </x:c>
      <x:c r="W238" s="21">
        <x:v>0</x:v>
      </x:c>
      <x:c r="X238" s="0">
        <x:v>0</x:v>
      </x:c>
      <x:c r="Y238" s="21">
        <x:v>0</x:v>
      </x:c>
    </x:row>
    <x:row r="239" spans="1:37" x14ac:dyDescent="0.25">
      <x:c r="A239" s="0">
        <x:f>ROW(A239)-1</x:f>
      </x:c>
      <x:c r="B239" s="0">
        <x:v>241</x:v>
      </x:c>
      <x:c r="E239" s="0" t="s">
        <x:v>1567</x:v>
      </x:c>
      <x:c r="F239" s="0" t="s">
        <x:v>1569</x:v>
      </x:c>
      <x:c r="G239" s="0" t="s">
        <x:v>1320</x:v>
      </x:c>
      <x:c r="H239" s="0" t="s">
        <x:v>1360</x:v>
      </x:c>
      <x:c r="I239" s="0" t="s">
        <x:v>1570</x:v>
      </x:c>
      <x:c r="J239" s="0" t="s">
        <x:v>216</x:v>
      </x:c>
      <x:c r="K239" s="0" t="s">
        <x:v>1362</x:v>
      </x:c>
      <x:c r="M239" s="0">
        <x:v>0</x:v>
      </x:c>
      <x:c r="N239" s="0">
        <x:v>0</x:v>
      </x:c>
      <x:c r="S239" s="0">
        <x:v>264</x:v>
      </x:c>
      <x:c r="T239" s="0">
        <x:v>0</x:v>
      </x:c>
      <x:c r="V239" s="0">
        <x:v>0</x:v>
      </x:c>
      <x:c r="W239" s="21">
        <x:v>0</x:v>
      </x:c>
      <x:c r="X239" s="0">
        <x:v>0</x:v>
      </x:c>
      <x:c r="Y239" s="21">
        <x:v>0</x:v>
      </x:c>
    </x:row>
    <x:row r="240" spans="1:37" x14ac:dyDescent="0.25">
      <x:c r="A240" s="0">
        <x:f>ROW(A240)-1</x:f>
      </x:c>
      <x:c r="B240" s="0">
        <x:v>242</x:v>
      </x:c>
      <x:c r="E240" s="0" t="s">
        <x:v>1571</x:v>
      </x:c>
      <x:c r="F240" s="0" t="s">
        <x:v>1558</x:v>
      </x:c>
      <x:c r="G240" s="0" t="s">
        <x:v>1320</x:v>
      </x:c>
      <x:c r="H240" s="0" t="s">
        <x:v>1360</x:v>
      </x:c>
      <x:c r="I240" s="0" t="s">
        <x:v>1361</x:v>
      </x:c>
      <x:c r="J240" s="0" t="s">
        <x:v>1572</x:v>
      </x:c>
      <x:c r="K240" s="0" t="s">
        <x:v>1441</x:v>
      </x:c>
      <x:c r="M240" s="0">
        <x:v>0</x:v>
      </x:c>
      <x:c r="N240" s="0">
        <x:v>0</x:v>
      </x:c>
      <x:c r="S240" s="0">
        <x:v>527</x:v>
      </x:c>
      <x:c r="T240" s="0">
        <x:v>0</x:v>
      </x:c>
      <x:c r="V240" s="0">
        <x:v>0</x:v>
      </x:c>
      <x:c r="W240" s="21">
        <x:v>0</x:v>
      </x:c>
      <x:c r="X240" s="0">
        <x:v>0</x:v>
      </x:c>
      <x:c r="Y240" s="21">
        <x:v>0</x:v>
      </x:c>
    </x:row>
    <x:row r="241" spans="1:37" x14ac:dyDescent="0.25">
      <x:c r="A241" s="0">
        <x:f>ROW(A241)-1</x:f>
      </x:c>
      <x:c r="B241" s="0">
        <x:v>243</x:v>
      </x:c>
      <x:c r="E241" s="0" t="s">
        <x:v>1573</x:v>
      </x:c>
      <x:c r="F241" s="0" t="s">
        <x:v>606</x:v>
      </x:c>
      <x:c r="G241" s="0" t="s">
        <x:v>1320</x:v>
      </x:c>
      <x:c r="H241" s="0" t="s">
        <x:v>1574</x:v>
      </x:c>
      <x:c r="I241" s="0" t="s">
        <x:v>544</x:v>
      </x:c>
      <x:c r="J241" s="0" t="s">
        <x:v>544</x:v>
      </x:c>
      <x:c r="K241" s="0" t="s">
        <x:v>1575</x:v>
      </x:c>
      <x:c r="M241" s="0">
        <x:v>0</x:v>
      </x:c>
      <x:c r="N241" s="0">
        <x:v>0</x:v>
      </x:c>
      <x:c r="O241" s="0" t="s">
        <x:v>1321</x:v>
      </x:c>
      <x:c r="S241" s="0">
        <x:v>143</x:v>
      </x:c>
      <x:c r="T241" s="0">
        <x:v>0</x:v>
      </x:c>
      <x:c r="V241" s="0">
        <x:v>0</x:v>
      </x:c>
      <x:c r="W241" s="21">
        <x:v>0</x:v>
      </x:c>
      <x:c r="X241" s="0">
        <x:v>8371</x:v>
      </x:c>
      <x:c r="Y241" s="21">
        <x:v>1942.48</x:v>
      </x:c>
    </x:row>
    <x:row r="242" spans="1:37" x14ac:dyDescent="0.25">
      <x:c r="A242" s="0">
        <x:f>ROW(A242)-1</x:f>
      </x:c>
      <x:c r="B242" s="0">
        <x:v>244</x:v>
      </x:c>
      <x:c r="F242" s="0" t="s">
        <x:v>1576</x:v>
      </x:c>
      <x:c r="G242" s="0" t="s">
        <x:v>1320</x:v>
      </x:c>
      <x:c r="H242" s="0" t="s">
        <x:v>1577</x:v>
      </x:c>
      <x:c r="I242" s="0" t="s">
        <x:v>905</x:v>
      </x:c>
      <x:c r="J242" s="0" t="s">
        <x:v>1578</x:v>
      </x:c>
      <x:c r="K242" s="0" t="s">
        <x:v>1579</x:v>
      </x:c>
      <x:c r="M242" s="0">
        <x:v>0</x:v>
      </x:c>
      <x:c r="N242" s="0">
        <x:v>0</x:v>
      </x:c>
      <x:c r="S242" s="0">
        <x:v>1132</x:v>
      </x:c>
      <x:c r="T242" s="0">
        <x:v>0</x:v>
      </x:c>
      <x:c r="V242" s="0">
        <x:v>0</x:v>
      </x:c>
      <x:c r="W242" s="21">
        <x:v>0</x:v>
      </x:c>
      <x:c r="X242" s="0">
        <x:v>34866</x:v>
      </x:c>
      <x:c r="Y242" s="21">
        <x:v>4000</x:v>
      </x:c>
    </x:row>
    <x:row r="243" spans="1:37" x14ac:dyDescent="0.25">
      <x:c r="A243" s="0">
        <x:f>ROW(A243)-1</x:f>
      </x:c>
      <x:c r="B243" s="0" t="s">
        <x:v>1580</x:v>
      </x:c>
      <x:c r="C243" s="0">
        <x:v>1047</x:v>
      </x:c>
      <x:c r="D243" s="0" t="s">
        <x:v>928</x:v>
      </x:c>
      <x:c r="E243" s="0" t="s">
        <x:v>1581</x:v>
      </x:c>
      <x:c r="F243" s="0" t="s">
        <x:v>1582</x:v>
      </x:c>
      <x:c r="G243" s="0" t="s">
        <x:v>1320</x:v>
      </x:c>
      <x:c r="M243" s="0">
        <x:v>1894</x:v>
      </x:c>
      <x:c r="N243" s="0">
        <x:v>2022</x:v>
      </x:c>
      <x:c r="S243" s="0">
        <x:v>545</x:v>
      </x:c>
      <x:c r="W243" s="21"/>
      <x:c r="Y243" s="21"/>
    </x:row>
    <x:row r="244" spans="1:37" x14ac:dyDescent="0.25">
      <x:c r="A244" s="0">
        <x:f>ROW(A244)-1</x:f>
      </x:c>
      <x:c r="C244" s="0">
        <x:v>836</x:v>
      </x:c>
      <x:c r="D244" s="0" t="s">
        <x:v>44</x:v>
      </x:c>
      <x:c r="E244" s="0" t="s">
        <x:v>45</x:v>
      </x:c>
      <x:c r="F244" s="0" t="s">
        <x:v>1319</x:v>
      </x:c>
      <x:c r="G244" s="0" t="s">
        <x:v>1320</x:v>
      </x:c>
      <x:c r="M244" s="0">
        <x:v>2025</x:v>
      </x:c>
      <x:c r="N244" s="0">
        <x:v>2025</x:v>
      </x:c>
      <x:c r="O244" s="0" t="s">
        <x:v>1533</x:v>
      </x:c>
      <x:c r="S244" s="0">
        <x:v>787</x:v>
      </x:c>
      <x:c r="W244" s="21"/>
      <x:c r="X244" s="0">
        <x:v>16674</x:v>
      </x:c>
      <x:c r="Y244" s="21">
        <x:v>133340</x:v>
      </x:c>
    </x:row>
    <x:row r="245" spans="1:37" x14ac:dyDescent="0.25">
      <x:c r="A245" s="0">
        <x:f>ROW(A245)-1</x:f>
      </x:c>
      <x:c r="C245" s="0">
        <x:v>609</x:v>
      </x:c>
      <x:c r="D245" s="0" t="s">
        <x:v>52</x:v>
      </x:c>
      <x:c r="E245" s="0" t="s">
        <x:v>53</x:v>
      </x:c>
      <x:c r="F245" s="0" t="s">
        <x:v>1322</x:v>
      </x:c>
      <x:c r="G245" s="0" t="s">
        <x:v>1320</x:v>
      </x:c>
      <x:c r="H245" s="0" t="s">
        <x:v>1323</x:v>
      </x:c>
      <x:c r="I245" s="0" t="s">
        <x:v>58</x:v>
      </x:c>
      <x:c r="J245" s="0" t="s">
        <x:v>1324</x:v>
      </x:c>
      <x:c r="K245" s="0" t="s">
        <x:v>1325</x:v>
      </x:c>
      <x:c r="M245" s="0">
        <x:v>2016</x:v>
      </x:c>
      <x:c r="N245" s="0">
        <x:v>2023</x:v>
      </x:c>
      <x:c r="O245" s="0" t="s">
        <x:v>1583</x:v>
      </x:c>
      <x:c r="S245" s="0">
        <x:v>5700</x:v>
      </x:c>
      <x:c r="W245" s="21"/>
      <x:c r="X245" s="0">
        <x:v>90000</x:v>
      </x:c>
      <x:c r="Y245" s="21"/>
      <x:c r="AK245" s="0" t="s">
        <x:v>1584</x:v>
      </x:c>
    </x:row>
    <x:row r="246" spans="1:37" x14ac:dyDescent="0.25">
      <x:c r="A246" s="0">
        <x:f>ROW(A246)-1</x:f>
      </x:c>
      <x:c r="C246" s="0">
        <x:v>1106</x:v>
      </x:c>
      <x:c r="D246" s="0" t="s">
        <x:v>60</x:v>
      </x:c>
      <x:c r="E246" s="0" t="s">
        <x:v>61</x:v>
      </x:c>
      <x:c r="F246" s="0" t="s">
        <x:v>1328</x:v>
      </x:c>
      <x:c r="G246" s="0" t="s">
        <x:v>1320</x:v>
      </x:c>
      <x:c r="I246" s="0" t="s">
        <x:v>66</x:v>
      </x:c>
      <x:c r="N246" s="0">
        <x:v>2025</x:v>
      </x:c>
      <x:c r="O246" s="0" t="s">
        <x:v>1585</x:v>
      </x:c>
      <x:c r="S246" s="0">
        <x:v>530</x:v>
      </x:c>
      <x:c r="V246" s="0">
        <x:v>18907</x:v>
      </x:c>
      <x:c r="W246" s="21"/>
      <x:c r="X246" s="0">
        <x:v>12500</x:v>
      </x:c>
      <x:c r="Y246" s="21"/>
    </x:row>
    <x:row r="247" spans="1:37" x14ac:dyDescent="0.25">
      <x:c r="A247" s="0">
        <x:f>ROW(A247)-1</x:f>
      </x:c>
      <x:c r="C247" s="0">
        <x:v>3148</x:v>
      </x:c>
      <x:c r="D247" s="0" t="s">
        <x:v>68</x:v>
      </x:c>
      <x:c r="E247" s="0" t="s">
        <x:v>69</x:v>
      </x:c>
      <x:c r="F247" s="0" t="s">
        <x:v>1330</x:v>
      </x:c>
      <x:c r="G247" s="0" t="s">
        <x:v>1320</x:v>
      </x:c>
      <x:c r="N247" s="0">
        <x:v>2024</x:v>
      </x:c>
      <x:c r="O247" s="0" t="s">
        <x:v>1586</x:v>
      </x:c>
      <x:c r="W247" s="21"/>
      <x:c r="Y247" s="21"/>
    </x:row>
    <x:row r="248" spans="1:37" x14ac:dyDescent="0.25">
      <x:c r="A248" s="0">
        <x:f>ROW(A248)-1</x:f>
      </x:c>
      <x:c r="C248" s="0">
        <x:v>3151</x:v>
      </x:c>
      <x:c r="D248" s="0" t="s">
        <x:v>76</x:v>
      </x:c>
      <x:c r="E248" s="0" t="s">
        <x:v>77</x:v>
      </x:c>
      <x:c r="F248" s="0" t="s">
        <x:v>1332</x:v>
      </x:c>
      <x:c r="G248" s="0" t="s">
        <x:v>1320</x:v>
      </x:c>
      <x:c r="N248" s="0">
        <x:v>2025</x:v>
      </x:c>
      <x:c r="O248" s="0" t="s">
        <x:v>1533</x:v>
      </x:c>
      <x:c r="W248" s="21"/>
      <x:c r="X248" s="0">
        <x:v>232000</x:v>
      </x:c>
      <x:c r="Y248" s="21"/>
    </x:row>
    <x:row r="249" spans="1:37" x14ac:dyDescent="0.25">
      <x:c r="A249" s="0">
        <x:f>ROW(A249)-1</x:f>
      </x:c>
      <x:c r="C249" s="0">
        <x:v>1115</x:v>
      </x:c>
      <x:c r="D249" s="0" t="s">
        <x:v>83</x:v>
      </x:c>
      <x:c r="E249" s="0" t="s">
        <x:v>84</x:v>
      </x:c>
      <x:c r="F249" s="0" t="s">
        <x:v>1333</x:v>
      </x:c>
      <x:c r="G249" s="0" t="s">
        <x:v>1320</x:v>
      </x:c>
      <x:c r="N249" s="0">
        <x:v>2024</x:v>
      </x:c>
      <x:c r="W249" s="21"/>
      <x:c r="Y249" s="21"/>
    </x:row>
    <x:row r="250" spans="1:37" x14ac:dyDescent="0.25">
      <x:c r="A250" s="0">
        <x:f>ROW(A250)-1</x:f>
      </x:c>
      <x:c r="C250" s="0">
        <x:v>1118</x:v>
      </x:c>
      <x:c r="D250" s="0" t="s">
        <x:v>90</x:v>
      </x:c>
      <x:c r="E250" s="0" t="s">
        <x:v>91</x:v>
      </x:c>
      <x:c r="F250" s="0" t="s">
        <x:v>1334</x:v>
      </x:c>
      <x:c r="G250" s="0" t="s">
        <x:v>1320</x:v>
      </x:c>
      <x:c r="N250" s="0">
        <x:v>2024</x:v>
      </x:c>
      <x:c r="W250" s="21"/>
      <x:c r="Y250" s="21"/>
    </x:row>
    <x:row r="251" spans="1:37" x14ac:dyDescent="0.25">
      <x:c r="A251" s="0">
        <x:f>ROW(A251)-1</x:f>
      </x:c>
      <x:c r="C251" s="0">
        <x:v>350</x:v>
      </x:c>
      <x:c r="D251" s="0" t="s">
        <x:v>98</x:v>
      </x:c>
      <x:c r="E251" s="0" t="s">
        <x:v>99</x:v>
      </x:c>
      <x:c r="F251" s="0" t="s">
        <x:v>1335</x:v>
      </x:c>
      <x:c r="G251" s="0" t="s">
        <x:v>1320</x:v>
      </x:c>
      <x:c r="I251" s="0" t="s">
        <x:v>104</x:v>
      </x:c>
      <x:c r="M251" s="0">
        <x:v>1957</x:v>
      </x:c>
      <x:c r="N251" s="0">
        <x:v>2014</x:v>
      </x:c>
      <x:c r="O251" s="0" t="s">
        <x:v>1533</x:v>
      </x:c>
      <x:c r="S251" s="0">
        <x:v>355</x:v>
      </x:c>
      <x:c r="V251" s="0">
        <x:v>48000</x:v>
      </x:c>
      <x:c r="W251" s="21"/>
      <x:c r="X251" s="0">
        <x:v>17800</x:v>
      </x:c>
      <x:c r="Y251" s="21"/>
    </x:row>
    <x:row r="252" spans="1:37" x14ac:dyDescent="0.25">
      <x:c r="A252" s="0">
        <x:f>ROW(A252)-1</x:f>
      </x:c>
      <x:c r="C252" s="0">
        <x:v>3156</x:v>
      </x:c>
      <x:c r="D252" s="0" t="s">
        <x:v>106</x:v>
      </x:c>
      <x:c r="E252" s="0" t="s">
        <x:v>107</x:v>
      </x:c>
      <x:c r="F252" s="0" t="s">
        <x:v>1336</x:v>
      </x:c>
      <x:c r="G252" s="0" t="s">
        <x:v>1320</x:v>
      </x:c>
      <x:c r="N252" s="0">
        <x:v>2025</x:v>
      </x:c>
      <x:c r="S252" s="0">
        <x:v>9000</x:v>
      </x:c>
      <x:c r="W252" s="21"/>
      <x:c r="Y252" s="21"/>
    </x:row>
    <x:row r="253" spans="1:37" x14ac:dyDescent="0.25">
      <x:c r="A253" s="0">
        <x:f>ROW(A253)-1</x:f>
      </x:c>
      <x:c r="C253" s="0">
        <x:v>1126</x:v>
      </x:c>
      <x:c r="D253" s="0" t="s">
        <x:v>114</x:v>
      </x:c>
      <x:c r="E253" s="0" t="s">
        <x:v>115</x:v>
      </x:c>
      <x:c r="F253" s="0" t="s">
        <x:v>1337</x:v>
      </x:c>
      <x:c r="G253" s="0" t="s">
        <x:v>1320</x:v>
      </x:c>
      <x:c r="N253" s="0">
        <x:v>2024</x:v>
      </x:c>
      <x:c r="W253" s="21"/>
      <x:c r="Y253" s="21"/>
    </x:row>
    <x:row r="254" spans="1:37" x14ac:dyDescent="0.25">
      <x:c r="A254" s="0">
        <x:f>ROW(A254)-1</x:f>
      </x:c>
      <x:c r="C254" s="0">
        <x:v>630</x:v>
      </x:c>
      <x:c r="D254" s="0" t="s">
        <x:v>117</x:v>
      </x:c>
      <x:c r="E254" s="0" t="s">
        <x:v>118</x:v>
      </x:c>
      <x:c r="F254" s="0" t="s">
        <x:v>1335</x:v>
      </x:c>
      <x:c r="G254" s="0" t="s">
        <x:v>1320</x:v>
      </x:c>
      <x:c r="H254" s="0" t="s">
        <x:v>1338</x:v>
      </x:c>
      <x:c r="I254" s="0" t="s">
        <x:v>123</x:v>
      </x:c>
      <x:c r="J254" s="0" t="s">
        <x:v>124</x:v>
      </x:c>
      <x:c r="K254" s="0" t="s">
        <x:v>1339</x:v>
      </x:c>
      <x:c r="M254" s="0">
        <x:v>1900</x:v>
      </x:c>
      <x:c r="N254" s="0">
        <x:v>2025</x:v>
      </x:c>
      <x:c r="O254" s="0" t="s">
        <x:v>1533</x:v>
      </x:c>
      <x:c r="S254" s="0">
        <x:v>622</x:v>
      </x:c>
      <x:c r="W254" s="21"/>
      <x:c r="X254" s="0">
        <x:v>33200</x:v>
      </x:c>
      <x:c r="Y254" s="21"/>
    </x:row>
    <x:row r="255" spans="1:37" x14ac:dyDescent="0.25">
      <x:c r="A255" s="0">
        <x:f>ROW(A255)-1</x:f>
      </x:c>
      <x:c r="C255" s="0">
        <x:v>1131</x:v>
      </x:c>
      <x:c r="D255" s="0" t="s">
        <x:v>114</x:v>
      </x:c>
      <x:c r="E255" s="0" t="s">
        <x:v>125</x:v>
      </x:c>
      <x:c r="F255" s="0" t="s">
        <x:v>1340</x:v>
      </x:c>
      <x:c r="G255" s="0" t="s">
        <x:v>1320</x:v>
      </x:c>
      <x:c r="N255" s="0">
        <x:v>2025</x:v>
      </x:c>
      <x:c r="W255" s="21"/>
      <x:c r="Y255" s="21"/>
    </x:row>
    <x:row r="256" spans="1:37" x14ac:dyDescent="0.25">
      <x:c r="A256" s="0">
        <x:f>ROW(A256)-1</x:f>
      </x:c>
      <x:c r="C256" s="0">
        <x:v>3117</x:v>
      </x:c>
      <x:c r="D256" s="0" t="s">
        <x:v>132</x:v>
      </x:c>
      <x:c r="E256" s="0" t="s">
        <x:v>133</x:v>
      </x:c>
      <x:c r="F256" s="0" t="s">
        <x:v>1341</x:v>
      </x:c>
      <x:c r="G256" s="0" t="s">
        <x:v>1320</x:v>
      </x:c>
      <x:c r="I256" s="0" t="s">
        <x:v>136</x:v>
      </x:c>
      <x:c r="N256" s="0">
        <x:v>2022</x:v>
      </x:c>
      <x:c r="O256" s="0" t="s">
        <x:v>1482</x:v>
      </x:c>
      <x:c r="S256" s="0">
        <x:v>832</x:v>
      </x:c>
      <x:c r="W256" s="21"/>
      <x:c r="X256" s="0">
        <x:v>17645</x:v>
      </x:c>
      <x:c r="Y256" s="21"/>
    </x:row>
    <x:row r="257" spans="1:37" x14ac:dyDescent="0.25">
      <x:c r="A257" s="0">
        <x:f>ROW(A257)-1</x:f>
      </x:c>
      <x:c r="C257" s="0">
        <x:v>3169</x:v>
      </x:c>
      <x:c r="D257" s="0" t="s">
        <x:v>138</x:v>
      </x:c>
      <x:c r="E257" s="0" t="s">
        <x:v>139</x:v>
      </x:c>
      <x:c r="F257" s="0" t="s">
        <x:v>1343</x:v>
      </x:c>
      <x:c r="G257" s="0" t="s">
        <x:v>1320</x:v>
      </x:c>
      <x:c r="H257" s="0" t="s">
        <x:v>1323</x:v>
      </x:c>
      <x:c r="I257" s="0" t="s">
        <x:v>143</x:v>
      </x:c>
      <x:c r="J257" s="0" t="s">
        <x:v>662</x:v>
      </x:c>
      <x:c r="K257" s="0" t="s">
        <x:v>1344</x:v>
      </x:c>
      <x:c r="M257" s="0">
        <x:v>1994</x:v>
      </x:c>
      <x:c r="N257" s="0">
        <x:v>2025</x:v>
      </x:c>
      <x:c r="O257" s="0" t="s">
        <x:v>1467</x:v>
      </x:c>
      <x:c r="W257" s="21"/>
      <x:c r="Y257" s="21"/>
    </x:row>
    <x:row r="258" spans="1:37" x14ac:dyDescent="0.25">
      <x:c r="A258" s="0">
        <x:f>ROW(A258)-1</x:f>
      </x:c>
      <x:c r="C258" s="0">
        <x:v>1128</x:v>
      </x:c>
      <x:c r="D258" s="0" t="s">
        <x:v>144</x:v>
      </x:c>
      <x:c r="E258" s="0" t="s">
        <x:v>145</x:v>
      </x:c>
      <x:c r="F258" s="0" t="s">
        <x:v>1346</x:v>
      </x:c>
      <x:c r="G258" s="0" t="s">
        <x:v>1320</x:v>
      </x:c>
      <x:c r="H258" s="0" t="s">
        <x:v>1347</x:v>
      </x:c>
      <x:c r="I258" s="0" t="s">
        <x:v>150</x:v>
      </x:c>
      <x:c r="J258" s="0" t="s">
        <x:v>1348</x:v>
      </x:c>
      <x:c r="K258" s="0" t="s">
        <x:v>1349</x:v>
      </x:c>
      <x:c r="M258" s="0">
        <x:v>1822</x:v>
      </x:c>
      <x:c r="N258" s="0">
        <x:v>2025</x:v>
      </x:c>
      <x:c r="W258" s="21"/>
      <x:c r="Y258" s="21"/>
    </x:row>
    <x:row r="259" spans="1:37" x14ac:dyDescent="0.25">
      <x:c r="A259" s="0">
        <x:f>ROW(A259)-1</x:f>
      </x:c>
      <x:c r="D259" s="0" t="s">
        <x:v>935</x:v>
      </x:c>
      <x:c r="E259" s="0" t="s">
        <x:v>1587</x:v>
      </x:c>
      <x:c r="G259" s="0" t="s">
        <x:v>1320</x:v>
      </x:c>
      <x:c r="I259" s="0" t="s">
        <x:v>1361</x:v>
      </x:c>
      <x:c r="N259" s="0">
        <x:v>2025</x:v>
      </x:c>
      <x:c r="W259" s="21"/>
      <x:c r="Y259" s="21"/>
    </x:row>
    <x:row r="260" spans="1:37" x14ac:dyDescent="0.25">
      <x:c r="A260" s="0">
        <x:f>ROW(A260)-1</x:f>
      </x:c>
      <x:c r="C260" s="0">
        <x:v>3069</x:v>
      </x:c>
      <x:c r="D260" s="0" t="s">
        <x:v>152</x:v>
      </x:c>
      <x:c r="E260" s="0" t="s">
        <x:v>153</x:v>
      </x:c>
      <x:c r="F260" s="0" t="s">
        <x:v>1350</x:v>
      </x:c>
      <x:c r="G260" s="0" t="s">
        <x:v>1320</x:v>
      </x:c>
      <x:c r="H260" s="0" t="s">
        <x:v>1323</x:v>
      </x:c>
      <x:c r="I260" s="0" t="s">
        <x:v>157</x:v>
      </x:c>
      <x:c r="N260" s="0">
        <x:v>2020</x:v>
      </x:c>
      <x:c r="O260" s="0" t="s">
        <x:v>1586</x:v>
      </x:c>
      <x:c r="S260" s="0">
        <x:v>11000</x:v>
      </x:c>
      <x:c r="V260" s="0">
        <x:v>445480</x:v>
      </x:c>
      <x:c r="W260" s="21"/>
      <x:c r="X260" s="0">
        <x:v>1077119</x:v>
      </x:c>
      <x:c r="Y260" s="21"/>
    </x:row>
    <x:row r="261" spans="1:37" x14ac:dyDescent="0.25">
      <x:c r="A261" s="0">
        <x:f>ROW(A261)-1</x:f>
      </x:c>
      <x:c r="C261" s="0">
        <x:v>3016</x:v>
      </x:c>
      <x:c r="D261" s="0" t="s">
        <x:v>477</x:v>
      </x:c>
      <x:c r="E261" s="0" t="s">
        <x:v>1588</x:v>
      </x:c>
      <x:c r="F261" s="0" t="s">
        <x:v>1589</x:v>
      </x:c>
      <x:c r="G261" s="0" t="s">
        <x:v>1320</x:v>
      </x:c>
      <x:c r="H261" s="0" t="s">
        <x:v>1465</x:v>
      </x:c>
      <x:c r="I261" s="0" t="s">
        <x:v>329</x:v>
      </x:c>
      <x:c r="J261" s="0" t="s">
        <x:v>97</x:v>
      </x:c>
      <x:c r="N261" s="0">
        <x:v>2018</x:v>
      </x:c>
      <x:c r="O261" s="0" t="s">
        <x:v>1586</x:v>
      </x:c>
      <x:c r="S261" s="0">
        <x:v>120</x:v>
      </x:c>
      <x:c r="W261" s="21"/>
      <x:c r="X261" s="0">
        <x:v>373668</x:v>
      </x:c>
      <x:c r="Y261" s="21"/>
      <x:c r="AK261" s="0" t="s">
        <x:v>1584</x:v>
      </x:c>
    </x:row>
    <x:row r="262" spans="1:37" x14ac:dyDescent="0.25">
      <x:c r="A262" s="0">
        <x:f>ROW(A262)-1</x:f>
      </x:c>
      <x:c r="C262" s="0">
        <x:v>855</x:v>
      </x:c>
      <x:c r="E262" s="0" t="s">
        <x:v>159</x:v>
      </x:c>
      <x:c r="F262" s="0" t="s">
        <x:v>1351</x:v>
      </x:c>
      <x:c r="G262" s="0" t="s">
        <x:v>1320</x:v>
      </x:c>
      <x:c r="H262" s="0" t="s">
        <x:v>1352</x:v>
      </x:c>
      <x:c r="I262" s="0" t="s">
        <x:v>1353</x:v>
      </x:c>
      <x:c r="J262" s="0" t="s">
        <x:v>1354</x:v>
      </x:c>
      <x:c r="K262" s="0" t="s">
        <x:v>1355</x:v>
      </x:c>
      <x:c r="N262" s="0">
        <x:v>2025</x:v>
      </x:c>
      <x:c r="W262" s="21"/>
      <x:c r="Y262" s="21"/>
    </x:row>
    <x:row r="263" spans="1:37" x14ac:dyDescent="0.25">
      <x:c r="A263" s="0">
        <x:f>ROW(A263)-1</x:f>
      </x:c>
      <x:c r="C263" s="0">
        <x:v>304</x:v>
      </x:c>
      <x:c r="E263" s="0" t="s">
        <x:v>166</x:v>
      </x:c>
      <x:c r="G263" s="0" t="s">
        <x:v>1320</x:v>
      </x:c>
      <x:c r="I263" s="0" t="s">
        <x:v>50</x:v>
      </x:c>
      <x:c r="N263" s="0">
        <x:v>2011</x:v>
      </x:c>
      <x:c r="W263" s="21"/>
      <x:c r="Y263" s="21"/>
    </x:row>
    <x:row r="264" spans="1:37" x14ac:dyDescent="0.25">
      <x:c r="A264" s="0">
        <x:f>ROW(A264)-1</x:f>
      </x:c>
      <x:c r="C264" s="0">
        <x:v>321</x:v>
      </x:c>
      <x:c r="E264" s="0" t="s">
        <x:v>171</x:v>
      </x:c>
      <x:c r="G264" s="0" t="s">
        <x:v>1320</x:v>
      </x:c>
      <x:c r="I264" s="0" t="s">
        <x:v>1356</x:v>
      </x:c>
      <x:c r="N264" s="0">
        <x:v>2008</x:v>
      </x:c>
      <x:c r="W264" s="21"/>
      <x:c r="Y264" s="21"/>
    </x:row>
    <x:row r="265" spans="1:37" x14ac:dyDescent="0.25">
      <x:c r="A265" s="0">
        <x:f>ROW(A265)-1</x:f>
      </x:c>
      <x:c r="C265" s="0">
        <x:v>329</x:v>
      </x:c>
      <x:c r="E265" s="0" t="s">
        <x:v>178</x:v>
      </x:c>
      <x:c r="F265" s="0" t="s">
        <x:v>1357</x:v>
      </x:c>
      <x:c r="G265" s="0" t="s">
        <x:v>1320</x:v>
      </x:c>
      <x:c r="I265" s="0" t="s">
        <x:v>183</x:v>
      </x:c>
      <x:c r="N265" s="0">
        <x:v>2011</x:v>
      </x:c>
      <x:c r="W265" s="21"/>
      <x:c r="X265" s="0">
        <x:v>330500</x:v>
      </x:c>
      <x:c r="Y265" s="21"/>
    </x:row>
    <x:row r="266" spans="1:37" x14ac:dyDescent="0.25">
      <x:c r="A266" s="0">
        <x:f>ROW(A266)-1</x:f>
      </x:c>
      <x:c r="C266" s="0">
        <x:v>370</x:v>
      </x:c>
      <x:c r="E266" s="0" t="s">
        <x:v>185</x:v>
      </x:c>
      <x:c r="F266" s="0" t="s">
        <x:v>1358</x:v>
      </x:c>
      <x:c r="G266" s="0" t="s">
        <x:v>1320</x:v>
      </x:c>
      <x:c r="I266" s="0" t="s">
        <x:v>190</x:v>
      </x:c>
      <x:c r="N266" s="0">
        <x:v>2009</x:v>
      </x:c>
      <x:c r="W266" s="21"/>
      <x:c r="Y266" s="21"/>
    </x:row>
    <x:row r="267" spans="1:37" x14ac:dyDescent="0.25">
      <x:c r="A267" s="0">
        <x:f>ROW(A267)-1</x:f>
      </x:c>
      <x:c r="C267" s="0">
        <x:v>3033</x:v>
      </x:c>
      <x:c r="D267" s="0" t="s">
        <x:v>477</x:v>
      </x:c>
      <x:c r="E267" s="0" t="s">
        <x:v>1590</x:v>
      </x:c>
      <x:c r="F267" s="0" t="s">
        <x:v>1377</x:v>
      </x:c>
      <x:c r="G267" s="0" t="s">
        <x:v>1320</x:v>
      </x:c>
      <x:c r="I267" s="0" t="s">
        <x:v>364</x:v>
      </x:c>
      <x:c r="N267" s="0">
        <x:v>2019</x:v>
      </x:c>
      <x:c r="O267" s="0" t="s">
        <x:v>1591</x:v>
      </x:c>
      <x:c r="W267" s="21"/>
      <x:c r="Y267" s="21"/>
    </x:row>
    <x:row r="268" spans="1:37" x14ac:dyDescent="0.25">
      <x:c r="A268" s="0">
        <x:f>ROW(A268)-1</x:f>
      </x:c>
      <x:c r="C268" s="0">
        <x:v>3051</x:v>
      </x:c>
      <x:c r="E268" s="0" t="s">
        <x:v>192</x:v>
      </x:c>
      <x:c r="F268" s="0" t="s">
        <x:v>1358</x:v>
      </x:c>
      <x:c r="G268" s="0" t="s">
        <x:v>1320</x:v>
      </x:c>
      <x:c r="I268" s="0" t="s">
        <x:v>197</x:v>
      </x:c>
      <x:c r="N268" s="0">
        <x:v>2020</x:v>
      </x:c>
      <x:c r="W268" s="21"/>
      <x:c r="Y268" s="21"/>
    </x:row>
    <x:row r="269" spans="1:37" x14ac:dyDescent="0.25">
      <x:c r="A269" s="0">
        <x:f>ROW(A269)-1</x:f>
      </x:c>
      <x:c r="D269" s="0" t="s">
        <x:v>198</x:v>
      </x:c>
      <x:c r="F269" s="0" t="s">
        <x:v>1359</x:v>
      </x:c>
      <x:c r="G269" s="0" t="s">
        <x:v>1320</x:v>
      </x:c>
      <x:c r="H269" s="0" t="s">
        <x:v>1360</x:v>
      </x:c>
      <x:c r="I269" s="0" t="s">
        <x:v>1361</x:v>
      </x:c>
      <x:c r="J269" s="0" t="s">
        <x:v>202</x:v>
      </x:c>
      <x:c r="K269" s="0" t="s">
        <x:v>1362</x:v>
      </x:c>
      <x:c r="O269" s="0" t="s">
        <x:v>1482</x:v>
      </x:c>
      <x:c r="S269" s="0">
        <x:v>1820</x:v>
      </x:c>
      <x:c r="W269" s="21"/>
      <x:c r="X269" s="0">
        <x:v>540000</x:v>
      </x:c>
      <x:c r="Y269" s="21"/>
    </x:row>
    <x:row r="270" spans="1:37" x14ac:dyDescent="0.25">
      <x:c r="A270" s="0">
        <x:f>ROW(A270)-1</x:f>
      </x:c>
      <x:c r="C270" s="0">
        <x:v>837</x:v>
      </x:c>
      <x:c r="D270" s="0" t="s">
        <x:v>203</x:v>
      </x:c>
      <x:c r="E270" s="0" t="s">
        <x:v>204</x:v>
      </x:c>
      <x:c r="F270" s="0" t="s">
        <x:v>1358</x:v>
      </x:c>
      <x:c r="G270" s="0" t="s">
        <x:v>1320</x:v>
      </x:c>
      <x:c r="I270" s="0" t="s">
        <x:v>208</x:v>
      </x:c>
      <x:c r="J270" s="0" t="s">
        <x:v>209</x:v>
      </x:c>
      <x:c r="N270" s="0">
        <x:v>2022</x:v>
      </x:c>
      <x:c r="S270" s="0">
        <x:v>7000</x:v>
      </x:c>
      <x:c r="W270" s="21"/>
      <x:c r="X270" s="0">
        <x:v>4500000</x:v>
      </x:c>
      <x:c r="Y270" s="21"/>
    </x:row>
    <x:row r="271" spans="1:37" x14ac:dyDescent="0.25">
      <x:c r="A271" s="0">
        <x:f>ROW(A271)-1</x:f>
      </x:c>
      <x:c r="C271" s="0">
        <x:v>3124</x:v>
      </x:c>
      <x:c r="D271" s="0" t="s">
        <x:v>210</x:v>
      </x:c>
      <x:c r="E271" s="0" t="s">
        <x:v>211</x:v>
      </x:c>
      <x:c r="F271" s="0" t="s">
        <x:v>1358</x:v>
      </x:c>
      <x:c r="G271" s="0" t="s">
        <x:v>1320</x:v>
      </x:c>
      <x:c r="I271" s="0" t="s">
        <x:v>1361</x:v>
      </x:c>
      <x:c r="N271" s="0">
        <x:v>2023</x:v>
      </x:c>
      <x:c r="S271" s="0">
        <x:v>896</x:v>
      </x:c>
      <x:c r="W271" s="21"/>
      <x:c r="X271" s="0">
        <x:v>18944</x:v>
      </x:c>
      <x:c r="Y271" s="21"/>
    </x:row>
    <x:row r="272" spans="1:37" x14ac:dyDescent="0.25">
      <x:c r="A272" s="0">
        <x:f>ROW(A272)-1</x:f>
      </x:c>
      <x:c r="C272" s="0">
        <x:v>3138</x:v>
      </x:c>
      <x:c r="D272" s="0" t="s">
        <x:v>217</x:v>
      </x:c>
      <x:c r="E272" s="0" t="s">
        <x:v>218</x:v>
      </x:c>
      <x:c r="F272" s="0" t="s">
        <x:v>1358</x:v>
      </x:c>
      <x:c r="G272" s="0" t="s">
        <x:v>1320</x:v>
      </x:c>
      <x:c r="I272" s="0" t="s">
        <x:v>1361</x:v>
      </x:c>
      <x:c r="N272" s="0">
        <x:v>2024</x:v>
      </x:c>
      <x:c r="W272" s="21"/>
      <x:c r="Y272" s="21"/>
    </x:row>
    <x:row r="273" spans="1:37" x14ac:dyDescent="0.25">
      <x:c r="A273" s="0">
        <x:f>ROW(A273)-1</x:f>
      </x:c>
      <x:c r="C273" s="0">
        <x:v>3145</x:v>
      </x:c>
      <x:c r="D273" s="0" t="s">
        <x:v>224</x:v>
      </x:c>
      <x:c r="E273" s="0" t="s">
        <x:v>225</x:v>
      </x:c>
      <x:c r="F273" s="0" t="s">
        <x:v>1363</x:v>
      </x:c>
      <x:c r="G273" s="0" t="s">
        <x:v>1320</x:v>
      </x:c>
      <x:c r="I273" s="0" t="s">
        <x:v>1361</x:v>
      </x:c>
      <x:c r="N273" s="0">
        <x:v>2024</x:v>
      </x:c>
      <x:c r="O273" s="0" t="s">
        <x:v>1482</x:v>
      </x:c>
      <x:c r="W273" s="21"/>
      <x:c r="Y273" s="21"/>
    </x:row>
    <x:row r="274" spans="1:37" x14ac:dyDescent="0.25">
      <x:c r="A274" s="0">
        <x:f>ROW(A274)-1</x:f>
      </x:c>
      <x:c r="C274" s="0">
        <x:v>1132</x:v>
      </x:c>
      <x:c r="E274" s="0" t="s">
        <x:v>231</x:v>
      </x:c>
      <x:c r="G274" s="0" t="s">
        <x:v>1320</x:v>
      </x:c>
      <x:c r="N274" s="0">
        <x:v>2025</x:v>
      </x:c>
      <x:c r="W274" s="21"/>
      <x:c r="Y274" s="21"/>
    </x:row>
    <x:row r="275" spans="1:37" x14ac:dyDescent="0.25">
      <x:c r="A275" s="0">
        <x:f>ROW(A275)-1</x:f>
      </x:c>
      <x:c r="C275" s="0">
        <x:v>337</x:v>
      </x:c>
      <x:c r="D275" s="0" t="s">
        <x:v>117</x:v>
      </x:c>
      <x:c r="E275" s="0" t="s">
        <x:v>237</x:v>
      </x:c>
      <x:c r="F275" s="0" t="s">
        <x:v>1364</x:v>
      </x:c>
      <x:c r="G275" s="0" t="s">
        <x:v>1320</x:v>
      </x:c>
      <x:c r="I275" s="0" t="s">
        <x:v>1361</x:v>
      </x:c>
      <x:c r="M275" s="0">
        <x:v>1960</x:v>
      </x:c>
      <x:c r="N275" s="0">
        <x:v>2012</x:v>
      </x:c>
      <x:c r="O275" s="0" t="s">
        <x:v>1482</x:v>
      </x:c>
      <x:c r="S275" s="0">
        <x:v>12000</x:v>
      </x:c>
      <x:c r="T275" s="0">
        <x:v>0</x:v>
      </x:c>
      <x:c r="V275" s="0">
        <x:v>16246770</x:v>
      </x:c>
      <x:c r="W275" s="21">
        <x:v>0</x:v>
      </x:c>
      <x:c r="X275" s="0">
        <x:v>2016000</x:v>
      </x:c>
      <x:c r="Y275" s="21">
        <x:v>0</x:v>
      </x:c>
    </x:row>
    <x:row r="276" spans="1:37" x14ac:dyDescent="0.25">
      <x:c r="A276" s="0">
        <x:f>ROW(A276)-1</x:f>
      </x:c>
      <x:c r="C276" s="0">
        <x:v>386</x:v>
      </x:c>
      <x:c r="D276" s="0" t="s">
        <x:v>951</x:v>
      </x:c>
      <x:c r="E276" s="0" t="s">
        <x:v>1592</x:v>
      </x:c>
      <x:c r="F276" s="0" t="s">
        <x:v>1365</x:v>
      </x:c>
      <x:c r="G276" s="0" t="s">
        <x:v>1320</x:v>
      </x:c>
      <x:c r="I276" s="0" t="s">
        <x:v>956</x:v>
      </x:c>
      <x:c r="M276" s="0">
        <x:v>1983</x:v>
      </x:c>
      <x:c r="N276" s="0">
        <x:v>2025</x:v>
      </x:c>
      <x:c r="O276" s="0" t="s">
        <x:v>1586</x:v>
      </x:c>
      <x:c r="S276" s="0">
        <x:v>720</x:v>
      </x:c>
      <x:c r="T276" s="0">
        <x:v>0</x:v>
      </x:c>
      <x:c r="W276" s="21">
        <x:v>0</x:v>
      </x:c>
      <x:c r="X276" s="0">
        <x:v>107000</x:v>
      </x:c>
      <x:c r="Y276" s="21">
        <x:v>0</x:v>
      </x:c>
    </x:row>
    <x:row r="277" spans="1:37" x14ac:dyDescent="0.25">
      <x:c r="A277" s="0">
        <x:f>ROW(A277)-1</x:f>
      </x:c>
      <x:c r="C277" s="0">
        <x:v>3021</x:v>
      </x:c>
      <x:c r="D277" s="0" t="s">
        <x:v>239</x:v>
      </x:c>
      <x:c r="E277" s="0" t="s">
        <x:v>240</x:v>
      </x:c>
      <x:c r="F277" s="0" t="s">
        <x:v>1365</x:v>
      </x:c>
      <x:c r="G277" s="0" t="s">
        <x:v>1320</x:v>
      </x:c>
      <x:c r="I277" s="0" t="s">
        <x:v>245</x:v>
      </x:c>
      <x:c r="M277" s="0">
        <x:v>1700</x:v>
      </x:c>
      <x:c r="N277" s="0">
        <x:v>2025</x:v>
      </x:c>
      <x:c r="O277" s="0" t="s">
        <x:v>1585</x:v>
      </x:c>
      <x:c r="S277" s="0">
        <x:v>600</x:v>
      </x:c>
      <x:c r="T277" s="0">
        <x:v>0</x:v>
      </x:c>
      <x:c r="V277" s="0">
        <x:v>50000</x:v>
      </x:c>
      <x:c r="W277" s="21">
        <x:v>0</x:v>
      </x:c>
      <x:c r="X277" s="0">
        <x:v>17000</x:v>
      </x:c>
      <x:c r="Y277" s="21">
        <x:v>0</x:v>
      </x:c>
      <x:c r="AK277" s="0" t="s">
        <x:v>1366</x:v>
      </x:c>
    </x:row>
    <x:row r="278" spans="1:37" x14ac:dyDescent="0.25">
      <x:c r="A278" s="0">
        <x:f>ROW(A278)-1</x:f>
      </x:c>
      <x:c r="C278" s="0">
        <x:v>3143</x:v>
      </x:c>
      <x:c r="E278" s="0" t="s">
        <x:v>246</x:v>
      </x:c>
      <x:c r="G278" s="0" t="s">
        <x:v>1320</x:v>
      </x:c>
      <x:c r="M278" s="0">
        <x:v>0</x:v>
      </x:c>
      <x:c r="N278" s="0">
        <x:v>2025</x:v>
      </x:c>
      <x:c r="S278" s="0">
        <x:v>0</x:v>
      </x:c>
      <x:c r="T278" s="0">
        <x:v>0</x:v>
      </x:c>
      <x:c r="V278" s="0">
        <x:v>0</x:v>
      </x:c>
      <x:c r="W278" s="21">
        <x:v>0</x:v>
      </x:c>
      <x:c r="X278" s="0">
        <x:v>0</x:v>
      </x:c>
      <x:c r="Y278" s="21">
        <x:v>0</x:v>
      </x:c>
      <x:c r="AK278" s="0" t="s">
        <x:v>1367</x:v>
      </x:c>
    </x:row>
    <x:row r="279" spans="1:37" x14ac:dyDescent="0.25">
      <x:c r="A279" s="0">
        <x:f>ROW(A279)-1</x:f>
      </x:c>
      <x:c r="C279" s="0">
        <x:v>3166</x:v>
      </x:c>
      <x:c r="D279" s="0" t="s">
        <x:v>203</x:v>
      </x:c>
      <x:c r="E279" s="0" t="s">
        <x:v>247</x:v>
      </x:c>
      <x:c r="F279" s="0" t="s">
        <x:v>1365</x:v>
      </x:c>
      <x:c r="G279" s="0" t="s">
        <x:v>1320</x:v>
      </x:c>
      <x:c r="I279" s="0" t="s">
        <x:v>58</x:v>
      </x:c>
      <x:c r="M279" s="0">
        <x:v>1910</x:v>
      </x:c>
      <x:c r="N279" s="0">
        <x:v>2025</x:v>
      </x:c>
      <x:c r="O279" s="0" t="s">
        <x:v>1591</x:v>
      </x:c>
      <x:c r="S279" s="0">
        <x:v>1200</x:v>
      </x:c>
      <x:c r="T279" s="0">
        <x:v>0</x:v>
      </x:c>
      <x:c r="V279" s="0">
        <x:v>0</x:v>
      </x:c>
      <x:c r="W279" s="21">
        <x:v>0</x:v>
      </x:c>
      <x:c r="X279" s="0">
        <x:v>0</x:v>
      </x:c>
      <x:c r="Y279" s="21">
        <x:v>0</x:v>
      </x:c>
    </x:row>
    <x:row r="280" spans="1:37" x14ac:dyDescent="0.25">
      <x:c r="A280" s="0">
        <x:f>ROW(A280)-1</x:f>
      </x:c>
      <x:c r="C280" s="0">
        <x:v>3168</x:v>
      </x:c>
      <x:c r="E280" s="0" t="s">
        <x:v>1593</x:v>
      </x:c>
      <x:c r="G280" s="0" t="s">
        <x:v>1320</x:v>
      </x:c>
      <x:c r="M280" s="0">
        <x:v>0</x:v>
      </x:c>
      <x:c r="N280" s="0">
        <x:v>2024</x:v>
      </x:c>
      <x:c r="S280" s="0">
        <x:v>0</x:v>
      </x:c>
      <x:c r="T280" s="0">
        <x:v>0</x:v>
      </x:c>
      <x:c r="V280" s="0">
        <x:v>0</x:v>
      </x:c>
      <x:c r="W280" s="21">
        <x:v>0</x:v>
      </x:c>
      <x:c r="X280" s="0">
        <x:v>0</x:v>
      </x:c>
      <x:c r="Y280" s="21">
        <x:v>0</x:v>
      </x:c>
    </x:row>
    <x:row r="281" spans="1:37" x14ac:dyDescent="0.25">
      <x:c r="A281" s="0">
        <x:f>ROW(A281)-1</x:f>
      </x:c>
      <x:c r="C281" s="0">
        <x:v>3152</x:v>
      </x:c>
      <x:c r="E281" s="0" t="s">
        <x:v>1594</x:v>
      </x:c>
      <x:c r="G281" s="0" t="s">
        <x:v>1320</x:v>
      </x:c>
      <x:c r="M281" s="0">
        <x:v>0</x:v>
      </x:c>
      <x:c r="N281" s="0">
        <x:v>2024</x:v>
      </x:c>
      <x:c r="S281" s="0">
        <x:v>0</x:v>
      </x:c>
      <x:c r="T281" s="0">
        <x:v>0</x:v>
      </x:c>
      <x:c r="V281" s="0">
        <x:v>0</x:v>
      </x:c>
      <x:c r="W281" s="21">
        <x:v>0</x:v>
      </x:c>
      <x:c r="X281" s="0">
        <x:v>0</x:v>
      </x:c>
      <x:c r="Y281" s="21">
        <x:v>0</x:v>
      </x:c>
    </x:row>
    <x:row r="282" spans="1:37" x14ac:dyDescent="0.25">
      <x:c r="A282" s="0">
        <x:f>ROW(A282)-1</x:f>
      </x:c>
      <x:c r="C282" s="0">
        <x:v>3158</x:v>
      </x:c>
      <x:c r="E282" s="0" t="s">
        <x:v>1595</x:v>
      </x:c>
      <x:c r="G282" s="0" t="s">
        <x:v>1320</x:v>
      </x:c>
      <x:c r="M282" s="0">
        <x:v>0</x:v>
      </x:c>
      <x:c r="N282" s="0">
        <x:v>2024</x:v>
      </x:c>
      <x:c r="S282" s="0">
        <x:v>0</x:v>
      </x:c>
      <x:c r="T282" s="0">
        <x:v>0</x:v>
      </x:c>
      <x:c r="V282" s="0">
        <x:v>0</x:v>
      </x:c>
      <x:c r="W282" s="21">
        <x:v>0</x:v>
      </x:c>
      <x:c r="X282" s="0">
        <x:v>0</x:v>
      </x:c>
      <x:c r="Y282" s="21">
        <x:v>0</x:v>
      </x:c>
    </x:row>
    <x:row r="283" spans="1:37" x14ac:dyDescent="0.25">
      <x:c r="A283" s="0">
        <x:f>ROW(A283)-1</x:f>
      </x:c>
      <x:c r="C283" s="0">
        <x:v>3163</x:v>
      </x:c>
      <x:c r="E283" s="0" t="s">
        <x:v>1596</x:v>
      </x:c>
      <x:c r="G283" s="0" t="s">
        <x:v>1320</x:v>
      </x:c>
      <x:c r="M283" s="0">
        <x:v>0</x:v>
      </x:c>
      <x:c r="N283" s="0">
        <x:v>2024</x:v>
      </x:c>
      <x:c r="S283" s="0">
        <x:v>0</x:v>
      </x:c>
      <x:c r="T283" s="0">
        <x:v>0</x:v>
      </x:c>
      <x:c r="V283" s="0">
        <x:v>0</x:v>
      </x:c>
      <x:c r="W283" s="21">
        <x:v>0</x:v>
      </x:c>
      <x:c r="X283" s="0">
        <x:v>0</x:v>
      </x:c>
      <x:c r="Y283" s="21">
        <x:v>0</x:v>
      </x:c>
    </x:row>
    <x:row r="284" spans="1:37" x14ac:dyDescent="0.25">
      <x:c r="A284" s="0">
        <x:f>ROW(A284)-1</x:f>
      </x:c>
      <x:c r="C284" s="0">
        <x:v>3165</x:v>
      </x:c>
      <x:c r="E284" s="0" t="s">
        <x:v>1597</x:v>
      </x:c>
      <x:c r="G284" s="0" t="s">
        <x:v>1320</x:v>
      </x:c>
      <x:c r="M284" s="0">
        <x:v>0</x:v>
      </x:c>
      <x:c r="N284" s="0">
        <x:v>2024</x:v>
      </x:c>
      <x:c r="S284" s="0">
        <x:v>0</x:v>
      </x:c>
      <x:c r="T284" s="0">
        <x:v>0</x:v>
      </x:c>
      <x:c r="V284" s="0">
        <x:v>0</x:v>
      </x:c>
      <x:c r="W284" s="21">
        <x:v>0</x:v>
      </x:c>
      <x:c r="X284" s="0">
        <x:v>0</x:v>
      </x:c>
      <x:c r="Y284" s="21">
        <x:v>0</x:v>
      </x:c>
    </x:row>
    <x:row r="285" spans="1:37" x14ac:dyDescent="0.25">
      <x:c r="A285" s="0">
        <x:f>ROW(A285)-1</x:f>
      </x:c>
      <x:c r="C285" s="0">
        <x:v>3167</x:v>
      </x:c>
      <x:c r="E285" s="0" t="s">
        <x:v>1598</x:v>
      </x:c>
      <x:c r="G285" s="0" t="s">
        <x:v>1320</x:v>
      </x:c>
      <x:c r="M285" s="0">
        <x:v>0</x:v>
      </x:c>
      <x:c r="N285" s="0">
        <x:v>2024</x:v>
      </x:c>
      <x:c r="S285" s="0">
        <x:v>0</x:v>
      </x:c>
      <x:c r="T285" s="0">
        <x:v>0</x:v>
      </x:c>
      <x:c r="V285" s="0">
        <x:v>0</x:v>
      </x:c>
      <x:c r="W285" s="21">
        <x:v>0</x:v>
      </x:c>
      <x:c r="X285" s="0">
        <x:v>0</x:v>
      </x:c>
      <x:c r="Y285" s="21">
        <x:v>0</x:v>
      </x:c>
    </x:row>
    <x:row r="286" spans="1:37" x14ac:dyDescent="0.25">
      <x:c r="A286" s="0">
        <x:f>ROW(A286)-1</x:f>
      </x:c>
      <x:c r="C286" s="0">
        <x:v>737</x:v>
      </x:c>
      <x:c r="E286" s="0" t="s">
        <x:v>252</x:v>
      </x:c>
      <x:c r="G286" s="0" t="s">
        <x:v>1320</x:v>
      </x:c>
      <x:c r="M286" s="0">
        <x:v>0</x:v>
      </x:c>
      <x:c r="N286" s="0">
        <x:v>2021</x:v>
      </x:c>
      <x:c r="S286" s="0">
        <x:v>0</x:v>
      </x:c>
      <x:c r="T286" s="0">
        <x:v>0</x:v>
      </x:c>
      <x:c r="V286" s="0">
        <x:v>0</x:v>
      </x:c>
      <x:c r="W286" s="21">
        <x:v>0</x:v>
      </x:c>
      <x:c r="X286" s="0">
        <x:v>0</x:v>
      </x:c>
      <x:c r="Y286" s="21">
        <x:v>0</x:v>
      </x:c>
    </x:row>
    <x:row r="287" spans="1:37" x14ac:dyDescent="0.25">
      <x:c r="A287" s="0">
        <x:f>ROW(A287)-1</x:f>
      </x:c>
      <x:c r="C287" s="0">
        <x:v>851</x:v>
      </x:c>
      <x:c r="E287" s="0" t="s">
        <x:v>253</x:v>
      </x:c>
      <x:c r="G287" s="0" t="s">
        <x:v>1320</x:v>
      </x:c>
      <x:c r="M287" s="0">
        <x:v>0</x:v>
      </x:c>
      <x:c r="N287" s="0">
        <x:v>2023</x:v>
      </x:c>
      <x:c r="S287" s="0">
        <x:v>0</x:v>
      </x:c>
      <x:c r="T287" s="0">
        <x:v>0</x:v>
      </x:c>
      <x:c r="V287" s="0">
        <x:v>0</x:v>
      </x:c>
      <x:c r="W287" s="21">
        <x:v>0</x:v>
      </x:c>
      <x:c r="X287" s="0">
        <x:v>0</x:v>
      </x:c>
      <x:c r="Y287" s="21">
        <x:v>0</x:v>
      </x:c>
    </x:row>
    <x:row r="288" spans="1:37" x14ac:dyDescent="0.25">
      <x:c r="A288" s="0">
        <x:f>ROW(A288)-1</x:f>
      </x:c>
      <x:c r="C288" s="0">
        <x:v>856</x:v>
      </x:c>
      <x:c r="E288" s="0" t="s">
        <x:v>255</x:v>
      </x:c>
      <x:c r="G288" s="0" t="s">
        <x:v>1320</x:v>
      </x:c>
      <x:c r="M288" s="0">
        <x:v>0</x:v>
      </x:c>
      <x:c r="N288" s="0">
        <x:v>2025</x:v>
      </x:c>
      <x:c r="S288" s="0">
        <x:v>0</x:v>
      </x:c>
      <x:c r="T288" s="0">
        <x:v>0</x:v>
      </x:c>
      <x:c r="V288" s="0">
        <x:v>0</x:v>
      </x:c>
      <x:c r="W288" s="21">
        <x:v>0</x:v>
      </x:c>
      <x:c r="X288" s="0">
        <x:v>0</x:v>
      </x:c>
      <x:c r="Y288" s="21">
        <x:v>0</x:v>
      </x:c>
    </x:row>
    <x:row r="289" spans="1:37" x14ac:dyDescent="0.25">
      <x:c r="A289" s="0">
        <x:f>ROW(A289)-1</x:f>
      </x:c>
      <x:c r="C289" s="0">
        <x:v>774</x:v>
      </x:c>
      <x:c r="D289" s="0" t="s">
        <x:v>256</x:v>
      </x:c>
      <x:c r="E289" s="0" t="s">
        <x:v>257</x:v>
      </x:c>
      <x:c r="G289" s="0" t="s">
        <x:v>1320</x:v>
      </x:c>
      <x:c r="M289" s="0">
        <x:v>0</x:v>
      </x:c>
      <x:c r="N289" s="0">
        <x:v>2025</x:v>
      </x:c>
      <x:c r="S289" s="0">
        <x:v>0</x:v>
      </x:c>
      <x:c r="T289" s="0">
        <x:v>0</x:v>
      </x:c>
      <x:c r="V289" s="0">
        <x:v>0</x:v>
      </x:c>
      <x:c r="W289" s="21">
        <x:v>0</x:v>
      </x:c>
      <x:c r="X289" s="0">
        <x:v>0</x:v>
      </x:c>
      <x:c r="Y289" s="21">
        <x:v>0</x:v>
      </x:c>
      <x:c r="AK289" s="0" t="s">
        <x:v>1369</x:v>
      </x:c>
    </x:row>
    <x:row r="290" spans="1:37" x14ac:dyDescent="0.25">
      <x:c r="A290" s="0">
        <x:f>ROW(A290)-1</x:f>
      </x:c>
      <x:c r="C290" s="0">
        <x:v>814</x:v>
      </x:c>
      <x:c r="E290" s="0" t="s">
        <x:v>258</x:v>
      </x:c>
      <x:c r="G290" s="0" t="s">
        <x:v>1320</x:v>
      </x:c>
      <x:c r="M290" s="0">
        <x:v>0</x:v>
      </x:c>
      <x:c r="N290" s="0">
        <x:v>2021</x:v>
      </x:c>
      <x:c r="S290" s="0">
        <x:v>0</x:v>
      </x:c>
      <x:c r="T290" s="0">
        <x:v>0</x:v>
      </x:c>
      <x:c r="V290" s="0">
        <x:v>0</x:v>
      </x:c>
      <x:c r="W290" s="21">
        <x:v>0</x:v>
      </x:c>
      <x:c r="X290" s="0">
        <x:v>0</x:v>
      </x:c>
      <x:c r="Y290" s="21">
        <x:v>0</x:v>
      </x:c>
      <x:c r="AK290" s="0" t="s">
        <x:v>1370</x:v>
      </x:c>
    </x:row>
    <x:row r="291" spans="1:37" x14ac:dyDescent="0.25">
      <x:c r="A291" s="0">
        <x:f>ROW(A291)-1</x:f>
      </x:c>
      <x:c r="C291" s="0">
        <x:v>594</x:v>
      </x:c>
      <x:c r="D291" s="0" t="s">
        <x:v>203</x:v>
      </x:c>
      <x:c r="E291" s="0" t="s">
        <x:v>1599</x:v>
      </x:c>
      <x:c r="F291" s="0" t="s">
        <x:v>1600</x:v>
      </x:c>
      <x:c r="G291" s="0" t="s">
        <x:v>1320</x:v>
      </x:c>
      <x:c r="H291" s="0" t="s">
        <x:v>1465</x:v>
      </x:c>
      <x:c r="I291" s="0" t="s">
        <x:v>329</x:v>
      </x:c>
      <x:c r="J291" s="0" t="s">
        <x:v>960</x:v>
      </x:c>
      <x:c r="K291" s="0" t="s">
        <x:v>1482</x:v>
      </x:c>
      <x:c r="M291" s="0">
        <x:v>2015</x:v>
      </x:c>
      <x:c r="N291" s="0">
        <x:v>2016</x:v>
      </x:c>
      <x:c r="O291" s="0" t="s">
        <x:v>1441</x:v>
      </x:c>
      <x:c r="S291" s="0">
        <x:v>0</x:v>
      </x:c>
      <x:c r="T291" s="0">
        <x:v>0</x:v>
      </x:c>
      <x:c r="W291" s="21">
        <x:v>0</x:v>
      </x:c>
      <x:c r="X291" s="0">
        <x:v>28000</x:v>
      </x:c>
      <x:c r="Y291" s="21">
        <x:v>0</x:v>
      </x:c>
      <x:c r="AK291" s="0" t="s">
        <x:v>1584</x:v>
      </x:c>
    </x:row>
    <x:row r="292" spans="1:37" x14ac:dyDescent="0.25">
      <x:c r="A292" s="0">
        <x:f>ROW(A292)-1</x:f>
      </x:c>
      <x:c r="C292" s="0">
        <x:v>837</x:v>
      </x:c>
      <x:c r="E292" s="0" t="s">
        <x:v>204</x:v>
      </x:c>
      <x:c r="G292" s="0" t="s">
        <x:v>1320</x:v>
      </x:c>
      <x:c r="M292" s="0">
        <x:v>0</x:v>
      </x:c>
      <x:c r="N292" s="0">
        <x:v>2023</x:v>
      </x:c>
      <x:c r="S292" s="0">
        <x:v>0</x:v>
      </x:c>
      <x:c r="T292" s="0">
        <x:v>0</x:v>
      </x:c>
      <x:c r="V292" s="0">
        <x:v>0</x:v>
      </x:c>
      <x:c r="W292" s="21">
        <x:v>0</x:v>
      </x:c>
      <x:c r="X292" s="0">
        <x:v>0</x:v>
      </x:c>
      <x:c r="Y292" s="21">
        <x:v>0</x:v>
      </x:c>
      <x:c r="AK292" s="0" t="s">
        <x:v>1370</x:v>
      </x:c>
    </x:row>
    <x:row r="293" spans="1:37" x14ac:dyDescent="0.25">
      <x:c r="A293" s="0">
        <x:f>ROW(A293)-1</x:f>
      </x:c>
      <x:c r="C293" s="0">
        <x:v>3136</x:v>
      </x:c>
      <x:c r="D293" s="0" t="s">
        <x:v>780</x:v>
      </x:c>
      <x:c r="E293" s="0" t="s">
        <x:v>1601</x:v>
      </x:c>
      <x:c r="G293" s="0" t="s">
        <x:v>1320</x:v>
      </x:c>
      <x:c r="M293" s="0">
        <x:v>0</x:v>
      </x:c>
      <x:c r="N293" s="0">
        <x:v>2023</x:v>
      </x:c>
      <x:c r="S293" s="0">
        <x:v>0</x:v>
      </x:c>
      <x:c r="T293" s="0">
        <x:v>0</x:v>
      </x:c>
      <x:c r="V293" s="0">
        <x:v>0</x:v>
      </x:c>
      <x:c r="W293" s="21">
        <x:v>0</x:v>
      </x:c>
      <x:c r="X293" s="0">
        <x:v>135000</x:v>
      </x:c>
      <x:c r="Y293" s="21">
        <x:v>0</x:v>
      </x:c>
    </x:row>
    <x:row r="294" spans="1:37" x14ac:dyDescent="0.25">
      <x:c r="A294" s="0">
        <x:f>ROW(A294)-1</x:f>
      </x:c>
      <x:c r="C294" s="0">
        <x:v>495</x:v>
      </x:c>
      <x:c r="D294" s="0" t="s">
        <x:v>962</x:v>
      </x:c>
      <x:c r="E294" s="0" t="s">
        <x:v>1602</x:v>
      </x:c>
      <x:c r="F294" s="0" t="s">
        <x:v>1365</x:v>
      </x:c>
      <x:c r="G294" s="0" t="s">
        <x:v>1320</x:v>
      </x:c>
      <x:c r="I294" s="0" t="s">
        <x:v>270</x:v>
      </x:c>
      <x:c r="M294" s="0">
        <x:v>0</x:v>
      </x:c>
      <x:c r="N294" s="0">
        <x:v>2025</x:v>
      </x:c>
      <x:c r="S294" s="0">
        <x:v>0</x:v>
      </x:c>
      <x:c r="T294" s="0">
        <x:v>0</x:v>
      </x:c>
      <x:c r="V294" s="0">
        <x:v>0</x:v>
      </x:c>
      <x:c r="W294" s="21">
        <x:v>0</x:v>
      </x:c>
      <x:c r="X294" s="0">
        <x:v>45000</x:v>
      </x:c>
      <x:c r="Y294" s="21">
        <x:v>0</x:v>
      </x:c>
    </x:row>
    <x:row r="295" spans="1:37" x14ac:dyDescent="0.25">
      <x:c r="A295" s="0">
        <x:f>ROW(A295)-1</x:f>
      </x:c>
      <x:c r="C295" s="0">
        <x:v>375</x:v>
      </x:c>
      <x:c r="D295" s="0" t="s">
        <x:v>967</x:v>
      </x:c>
      <x:c r="E295" s="0" t="s">
        <x:v>968</x:v>
      </x:c>
      <x:c r="F295" s="0" t="s">
        <x:v>1603</x:v>
      </x:c>
      <x:c r="G295" s="0" t="s">
        <x:v>1320</x:v>
      </x:c>
      <x:c r="I295" s="0" t="s">
        <x:v>481</x:v>
      </x:c>
      <x:c r="M295" s="0">
        <x:v>0</x:v>
      </x:c>
      <x:c r="N295" s="0">
        <x:v>2025</x:v>
      </x:c>
      <x:c r="O295" s="0" t="s">
        <x:v>1586</x:v>
      </x:c>
      <x:c r="S295" s="0">
        <x:v>100</x:v>
      </x:c>
      <x:c r="W295" s="21">
        <x:v>0</x:v>
      </x:c>
      <x:c r="X295" s="0">
        <x:v>11900</x:v>
      </x:c>
      <x:c r="Y295" s="21">
        <x:v>0</x:v>
      </x:c>
      <x:c r="AK295" s="0" t="s">
        <x:v>1604</x:v>
      </x:c>
    </x:row>
    <x:row r="296" spans="1:37" x14ac:dyDescent="0.25">
      <x:c r="A296" s="0">
        <x:f>ROW(A296)-1</x:f>
      </x:c>
      <x:c r="C296" s="0">
        <x:v>563</x:v>
      </x:c>
      <x:c r="D296" s="0" t="s">
        <x:v>350</x:v>
      </x:c>
      <x:c r="E296" s="0" t="s">
        <x:v>1605</x:v>
      </x:c>
      <x:c r="F296" s="0" t="s">
        <x:v>1606</x:v>
      </x:c>
      <x:c r="G296" s="0" t="s">
        <x:v>1320</x:v>
      </x:c>
      <x:c r="H296" s="0" t="s">
        <x:v>1481</x:v>
      </x:c>
      <x:c r="I296" s="0" t="s">
        <x:v>1607</x:v>
      </x:c>
      <x:c r="J296" s="0" t="s">
        <x:v>974</x:v>
      </x:c>
      <x:c r="K296" s="0" t="s">
        <x:v>1339</x:v>
      </x:c>
      <x:c r="M296" s="0">
        <x:v>2000</x:v>
      </x:c>
      <x:c r="N296" s="0">
        <x:v>2016</x:v>
      </x:c>
      <x:c r="O296" s="0" t="s">
        <x:v>1586</x:v>
      </x:c>
      <x:c r="S296" s="0">
        <x:v>500</x:v>
      </x:c>
      <x:c r="T296" s="0">
        <x:v>0</x:v>
      </x:c>
      <x:c r="V296" s="0">
        <x:v>10000</x:v>
      </x:c>
      <x:c r="W296" s="21">
        <x:v>0</x:v>
      </x:c>
      <x:c r="X296" s="0">
        <x:v>33000</x:v>
      </x:c>
      <x:c r="Y296" s="21">
        <x:v>0</x:v>
      </x:c>
      <x:c r="AK296" s="0" t="s">
        <x:v>1608</x:v>
      </x:c>
    </x:row>
    <x:row r="297" spans="1:37" x14ac:dyDescent="0.25">
      <x:c r="A297" s="0">
        <x:f>ROW(A297)-1</x:f>
      </x:c>
      <x:c r="C297" s="0">
        <x:v>580</x:v>
      </x:c>
      <x:c r="D297" s="0" t="s">
        <x:v>350</x:v>
      </x:c>
      <x:c r="E297" s="0" t="s">
        <x:v>1609</x:v>
      </x:c>
      <x:c r="F297" s="0" t="s">
        <x:v>1610</x:v>
      </x:c>
      <x:c r="G297" s="0" t="s">
        <x:v>1320</x:v>
      </x:c>
      <x:c r="H297" s="0" t="s">
        <x:v>1465</x:v>
      </x:c>
      <x:c r="I297" s="0" t="s">
        <x:v>329</x:v>
      </x:c>
      <x:c r="J297" s="0" t="s">
        <x:v>298</x:v>
      </x:c>
      <x:c r="K297" s="0" t="s">
        <x:v>1611</x:v>
      </x:c>
      <x:c r="M297" s="0">
        <x:v>2016</x:v>
      </x:c>
      <x:c r="N297" s="0">
        <x:v>2016</x:v>
      </x:c>
      <x:c r="O297" s="0" t="s">
        <x:v>1533</x:v>
      </x:c>
      <x:c r="S297" s="0">
        <x:v>360</x:v>
      </x:c>
      <x:c r="T297" s="0">
        <x:v>0</x:v>
      </x:c>
      <x:c r="W297" s="21">
        <x:v>0</x:v>
      </x:c>
      <x:c r="X297" s="0">
        <x:v>10000</x:v>
      </x:c>
      <x:c r="Y297" s="21">
        <x:v>0</x:v>
      </x:c>
      <x:c r="AK297" s="0" t="s">
        <x:v>1584</x:v>
      </x:c>
    </x:row>
    <x:row r="298" spans="1:37" x14ac:dyDescent="0.25">
      <x:c r="A298" s="0">
        <x:f>ROW(A298)-1</x:f>
      </x:c>
      <x:c r="C298" s="0">
        <x:v>444</x:v>
      </x:c>
      <x:c r="D298" s="0" t="s">
        <x:v>978</x:v>
      </x:c>
      <x:c r="E298" s="0" t="s">
        <x:v>1612</x:v>
      </x:c>
      <x:c r="F298" s="0" t="s">
        <x:v>1613</x:v>
      </x:c>
      <x:c r="G298" s="0" t="s">
        <x:v>1320</x:v>
      </x:c>
      <x:c r="H298" s="0" t="s">
        <x:v>1614</x:v>
      </x:c>
      <x:c r="I298" s="0" t="s">
        <x:v>176</x:v>
      </x:c>
      <x:c r="J298" s="0" t="s">
        <x:v>979</x:v>
      </x:c>
      <x:c r="K298" s="0" t="s">
        <x:v>1615</x:v>
      </x:c>
      <x:c r="M298" s="0">
        <x:v>0</x:v>
      </x:c>
      <x:c r="N298" s="0">
        <x:v>2014</x:v>
      </x:c>
      <x:c r="O298" s="0" t="s">
        <x:v>1591</x:v>
      </x:c>
      <x:c r="S298" s="0">
        <x:v>0</x:v>
      </x:c>
      <x:c r="T298" s="0">
        <x:v>0</x:v>
      </x:c>
      <x:c r="V298" s="0">
        <x:v>0</x:v>
      </x:c>
      <x:c r="W298" s="21">
        <x:v>0</x:v>
      </x:c>
      <x:c r="X298" s="0">
        <x:v>0</x:v>
      </x:c>
      <x:c r="Y298" s="21">
        <x:v>0</x:v>
      </x:c>
    </x:row>
    <x:row r="299" spans="1:37" x14ac:dyDescent="0.25">
      <x:c r="A299" s="0">
        <x:f>ROW(A299)-1</x:f>
      </x:c>
      <x:c r="C299" s="0">
        <x:v>445</x:v>
      </x:c>
      <x:c r="D299" s="0" t="s">
        <x:v>259</x:v>
      </x:c>
      <x:c r="E299" s="0" t="s">
        <x:v>260</x:v>
      </x:c>
      <x:c r="F299" s="0" t="s">
        <x:v>1365</x:v>
      </x:c>
      <x:c r="G299" s="0" t="s">
        <x:v>1320</x:v>
      </x:c>
      <x:c r="M299" s="0">
        <x:v>0</x:v>
      </x:c>
      <x:c r="N299" s="0">
        <x:v>2014</x:v>
      </x:c>
      <x:c r="O299" s="0" t="s">
        <x:v>1482</x:v>
      </x:c>
      <x:c r="S299" s="0">
        <x:v>1180</x:v>
      </x:c>
      <x:c r="T299" s="0">
        <x:v>0</x:v>
      </x:c>
      <x:c r="V299" s="0">
        <x:v>0</x:v>
      </x:c>
      <x:c r="W299" s="21">
        <x:v>0</x:v>
      </x:c>
      <x:c r="X299" s="0">
        <x:v>0</x:v>
      </x:c>
      <x:c r="Y299" s="21">
        <x:v>0</x:v>
      </x:c>
    </x:row>
    <x:row r="300" spans="1:37" x14ac:dyDescent="0.25">
      <x:c r="A300" s="0">
        <x:f>ROW(A300)-1</x:f>
      </x:c>
      <x:c r="C300" s="0">
        <x:v>586</x:v>
      </x:c>
      <x:c r="D300" s="0" t="s">
        <x:v>980</x:v>
      </x:c>
      <x:c r="E300" s="0" t="s">
        <x:v>1616</x:v>
      </x:c>
      <x:c r="F300" s="0" t="s">
        <x:v>1365</x:v>
      </x:c>
      <x:c r="G300" s="0" t="s">
        <x:v>1320</x:v>
      </x:c>
      <x:c r="H300" s="0" t="s">
        <x:v>1465</x:v>
      </x:c>
      <x:c r="I300" s="0" t="s">
        <x:v>329</x:v>
      </x:c>
      <x:c r="J300" s="0" t="s">
        <x:v>731</x:v>
      </x:c>
      <x:c r="K300" s="0" t="s">
        <x:v>1617</x:v>
      </x:c>
      <x:c r="M300" s="0">
        <x:v>2009</x:v>
      </x:c>
      <x:c r="N300" s="0">
        <x:v>2016</x:v>
      </x:c>
      <x:c r="O300" s="0" t="s">
        <x:v>1586</x:v>
      </x:c>
      <x:c r="S300" s="0">
        <x:v>0</x:v>
      </x:c>
      <x:c r="T300" s="0">
        <x:v>0</x:v>
      </x:c>
      <x:c r="V300" s="0">
        <x:v>0</x:v>
      </x:c>
      <x:c r="W300" s="21">
        <x:v>0</x:v>
      </x:c>
      <x:c r="X300" s="0">
        <x:v>10534</x:v>
      </x:c>
      <x:c r="Y300" s="21">
        <x:v>0</x:v>
      </x:c>
      <x:c r="AK300" s="0" t="s">
        <x:v>1584</x:v>
      </x:c>
    </x:row>
    <x:row r="301" spans="1:37" x14ac:dyDescent="0.25">
      <x:c r="A301" s="0">
        <x:f>ROW(A301)-1</x:f>
      </x:c>
      <x:c r="C301" s="0">
        <x:v>307</x:v>
      </x:c>
      <x:c r="D301" s="0" t="s">
        <x:v>264</x:v>
      </x:c>
      <x:c r="E301" s="0" t="s">
        <x:v>265</x:v>
      </x:c>
      <x:c r="G301" s="0" t="s">
        <x:v>1320</x:v>
      </x:c>
      <x:c r="M301" s="0">
        <x:v>0</x:v>
      </x:c>
      <x:c r="N301" s="0">
        <x:v>2006</x:v>
      </x:c>
      <x:c r="S301" s="0">
        <x:v>0</x:v>
      </x:c>
      <x:c r="T301" s="0">
        <x:v>0</x:v>
      </x:c>
      <x:c r="V301" s="0">
        <x:v>0</x:v>
      </x:c>
      <x:c r="W301" s="21">
        <x:v>0</x:v>
      </x:c>
      <x:c r="X301" s="0">
        <x:v>0</x:v>
      </x:c>
      <x:c r="Y301" s="21">
        <x:v>0</x:v>
      </x:c>
    </x:row>
    <x:row r="302" spans="1:37" x14ac:dyDescent="0.25">
      <x:c r="A302" s="0">
        <x:f>ROW(A302)-1</x:f>
      </x:c>
      <x:c r="C302" s="0">
        <x:v>641</x:v>
      </x:c>
      <x:c r="D302" s="0" t="s">
        <x:v>350</x:v>
      </x:c>
      <x:c r="E302" s="0" t="s">
        <x:v>1618</x:v>
      </x:c>
      <x:c r="F302" s="0" t="s">
        <x:v>1365</x:v>
      </x:c>
      <x:c r="G302" s="0" t="s">
        <x:v>1320</x:v>
      </x:c>
      <x:c r="H302" s="0" t="s">
        <x:v>1481</x:v>
      </x:c>
      <x:c r="I302" s="0" t="s">
        <x:v>297</x:v>
      </x:c>
      <x:c r="J302" s="0" t="s">
        <x:v>982</x:v>
      </x:c>
      <x:c r="K302" s="0" t="s">
        <x:v>1619</x:v>
      </x:c>
      <x:c r="M302" s="0">
        <x:v>0</x:v>
      </x:c>
      <x:c r="N302" s="0">
        <x:v>2017</x:v>
      </x:c>
      <x:c r="O302" s="0" t="s">
        <x:v>1591</x:v>
      </x:c>
      <x:c r="T302" s="0">
        <x:v>0</x:v>
      </x:c>
      <x:c r="V302" s="0">
        <x:v>0</x:v>
      </x:c>
      <x:c r="W302" s="21">
        <x:v>0</x:v>
      </x:c>
      <x:c r="X302" s="0">
        <x:v>0</x:v>
      </x:c>
      <x:c r="Y302" s="21">
        <x:v>0</x:v>
      </x:c>
      <x:c r="AK302" s="0" t="s">
        <x:v>1620</x:v>
      </x:c>
    </x:row>
    <x:row r="303" spans="1:37" x14ac:dyDescent="0.25">
      <x:c r="A303" s="0">
        <x:f>ROW(A303)-1</x:f>
      </x:c>
      <x:c r="C303" s="0">
        <x:v>521</x:v>
      </x:c>
      <x:c r="D303" s="0" t="s">
        <x:v>203</x:v>
      </x:c>
      <x:c r="E303" s="0" t="s">
        <x:v>1621</x:v>
      </x:c>
      <x:c r="F303" s="0" t="s">
        <x:v>1365</x:v>
      </x:c>
      <x:c r="G303" s="0" t="s">
        <x:v>1320</x:v>
      </x:c>
      <x:c r="M303" s="0">
        <x:v>1982</x:v>
      </x:c>
      <x:c r="N303" s="0">
        <x:v>2016</x:v>
      </x:c>
      <x:c r="O303" s="0" t="s">
        <x:v>1591</x:v>
      </x:c>
      <x:c r="S303" s="0">
        <x:v>650</x:v>
      </x:c>
      <x:c r="T303" s="0">
        <x:v>0</x:v>
      </x:c>
      <x:c r="V303" s="0">
        <x:v>0</x:v>
      </x:c>
      <x:c r="W303" s="21">
        <x:v>0</x:v>
      </x:c>
      <x:c r="X303" s="0">
        <x:v>138155</x:v>
      </x:c>
      <x:c r="Y303" s="21">
        <x:v>0</x:v>
      </x:c>
    </x:row>
    <x:row r="304" spans="1:37" x14ac:dyDescent="0.25">
      <x:c r="A304" s="0">
        <x:f>ROW(A304)-1</x:f>
      </x:c>
      <x:c r="C304" s="0">
        <x:v>497</x:v>
      </x:c>
      <x:c r="D304" s="0" t="s">
        <x:v>224</x:v>
      </x:c>
      <x:c r="E304" s="0" t="s">
        <x:v>268</x:v>
      </x:c>
      <x:c r="G304" s="0" t="s">
        <x:v>1320</x:v>
      </x:c>
      <x:c r="M304" s="0">
        <x:v>0</x:v>
      </x:c>
      <x:c r="N304" s="0">
        <x:v>2015</x:v>
      </x:c>
      <x:c r="S304" s="0">
        <x:v>0</x:v>
      </x:c>
      <x:c r="T304" s="0">
        <x:v>0</x:v>
      </x:c>
      <x:c r="V304" s="0">
        <x:v>0</x:v>
      </x:c>
      <x:c r="W304" s="21">
        <x:v>0</x:v>
      </x:c>
      <x:c r="X304" s="0">
        <x:v>1200000</x:v>
      </x:c>
      <x:c r="Y304" s="21">
        <x:v>0</x:v>
      </x:c>
    </x:row>
    <x:row r="305" spans="1:37" x14ac:dyDescent="0.25">
      <x:c r="A305" s="0">
        <x:f>ROW(A305)-1</x:f>
      </x:c>
      <x:c r="C305" s="0">
        <x:v>479</x:v>
      </x:c>
      <x:c r="D305" s="0" t="s">
        <x:v>272</x:v>
      </x:c>
      <x:c r="E305" s="0" t="s">
        <x:v>273</x:v>
      </x:c>
      <x:c r="F305" s="0" t="s">
        <x:v>1371</x:v>
      </x:c>
      <x:c r="G305" s="0" t="s">
        <x:v>1320</x:v>
      </x:c>
      <x:c r="M305" s="0">
        <x:v>0</x:v>
      </x:c>
      <x:c r="N305" s="0">
        <x:v>2015</x:v>
      </x:c>
      <x:c r="O305" s="0" t="s">
        <x:v>1482</x:v>
      </x:c>
      <x:c r="S305" s="0">
        <x:v>0</x:v>
      </x:c>
      <x:c r="T305" s="0">
        <x:v>0</x:v>
      </x:c>
      <x:c r="V305" s="0">
        <x:v>0</x:v>
      </x:c>
      <x:c r="W305" s="21">
        <x:v>0</x:v>
      </x:c>
      <x:c r="Y305" s="21">
        <x:v>0</x:v>
      </x:c>
    </x:row>
    <x:row r="306" spans="1:37" x14ac:dyDescent="0.25">
      <x:c r="A306" s="0">
        <x:f>ROW(A306)-1</x:f>
      </x:c>
      <x:c r="C306" s="0">
        <x:v>492</x:v>
      </x:c>
      <x:c r="D306" s="0" t="s">
        <x:v>984</x:v>
      </x:c>
      <x:c r="E306" s="0" t="s">
        <x:v>985</x:v>
      </x:c>
      <x:c r="F306" s="0" t="s">
        <x:v>1471</x:v>
      </x:c>
      <x:c r="G306" s="0" t="s">
        <x:v>1320</x:v>
      </x:c>
      <x:c r="I306" s="0" t="s">
        <x:v>297</x:v>
      </x:c>
      <x:c r="M306" s="0">
        <x:v>0</x:v>
      </x:c>
      <x:c r="N306" s="0">
        <x:v>2016</x:v>
      </x:c>
      <x:c r="O306" s="0" t="s">
        <x:v>1586</x:v>
      </x:c>
      <x:c r="S306" s="0">
        <x:v>500</x:v>
      </x:c>
      <x:c r="T306" s="0">
        <x:v>0</x:v>
      </x:c>
      <x:c r="V306" s="0">
        <x:v>80000</x:v>
      </x:c>
      <x:c r="W306" s="21">
        <x:v>0</x:v>
      </x:c>
      <x:c r="X306" s="0">
        <x:v>94000</x:v>
      </x:c>
      <x:c r="Y306" s="21">
        <x:v>0</x:v>
      </x:c>
    </x:row>
    <x:row r="307" spans="1:37" x14ac:dyDescent="0.25">
      <x:c r="A307" s="0">
        <x:f>ROW(A307)-1</x:f>
      </x:c>
      <x:c r="C307" s="0">
        <x:v>460</x:v>
      </x:c>
      <x:c r="D307" s="0" t="s">
        <x:v>988</x:v>
      </x:c>
      <x:c r="E307" s="0" t="s">
        <x:v>1622</x:v>
      </x:c>
      <x:c r="F307" s="0" t="s">
        <x:v>1436</x:v>
      </x:c>
      <x:c r="G307" s="0" t="s">
        <x:v>1320</x:v>
      </x:c>
      <x:c r="M307" s="0">
        <x:v>0</x:v>
      </x:c>
      <x:c r="N307" s="0">
        <x:v>2015</x:v>
      </x:c>
      <x:c r="O307" s="0" t="s">
        <x:v>1533</x:v>
      </x:c>
      <x:c r="S307" s="0">
        <x:v>0</x:v>
      </x:c>
      <x:c r="T307" s="0">
        <x:v>0</x:v>
      </x:c>
      <x:c r="V307" s="0">
        <x:v>0</x:v>
      </x:c>
      <x:c r="W307" s="21">
        <x:v>0</x:v>
      </x:c>
      <x:c r="X307" s="0">
        <x:v>0</x:v>
      </x:c>
      <x:c r="Y307" s="21">
        <x:v>0</x:v>
      </x:c>
    </x:row>
    <x:row r="308" spans="1:37" x14ac:dyDescent="0.25">
      <x:c r="A308" s="0">
        <x:f>ROW(A308)-1</x:f>
      </x:c>
      <x:c r="C308" s="0">
        <x:v>338</x:v>
      </x:c>
      <x:c r="D308" s="0" t="s">
        <x:v>993</x:v>
      </x:c>
      <x:c r="E308" s="0" t="s">
        <x:v>1623</x:v>
      </x:c>
      <x:c r="G308" s="0" t="s">
        <x:v>1320</x:v>
      </x:c>
      <x:c r="M308" s="0">
        <x:v>0</x:v>
      </x:c>
      <x:c r="N308" s="0">
        <x:v>2009</x:v>
      </x:c>
      <x:c r="S308" s="0">
        <x:v>254</x:v>
      </x:c>
      <x:c r="T308" s="0">
        <x:v>0</x:v>
      </x:c>
      <x:c r="V308" s="0">
        <x:v>0</x:v>
      </x:c>
      <x:c r="W308" s="21">
        <x:v>0</x:v>
      </x:c>
      <x:c r="X308" s="0">
        <x:v>0</x:v>
      </x:c>
      <x:c r="Y308" s="21">
        <x:v>0</x:v>
      </x:c>
    </x:row>
    <x:row r="309" spans="1:37" x14ac:dyDescent="0.25">
      <x:c r="A309" s="0">
        <x:f>ROW(A309)-1</x:f>
      </x:c>
      <x:c r="C309" s="0">
        <x:v>458</x:v>
      </x:c>
      <x:c r="D309" s="0" t="s">
        <x:v>994</x:v>
      </x:c>
      <x:c r="E309" s="0" t="s">
        <x:v>1624</x:v>
      </x:c>
      <x:c r="F309" s="0" t="s">
        <x:v>1365</x:v>
      </x:c>
      <x:c r="G309" s="0" t="s">
        <x:v>1320</x:v>
      </x:c>
      <x:c r="M309" s="0">
        <x:v>2015</x:v>
      </x:c>
      <x:c r="N309" s="0">
        <x:v>2015</x:v>
      </x:c>
      <x:c r="S309" s="0">
        <x:v>0</x:v>
      </x:c>
      <x:c r="T309" s="0">
        <x:v>0</x:v>
      </x:c>
      <x:c r="V309" s="0">
        <x:v>0</x:v>
      </x:c>
      <x:c r="W309" s="21">
        <x:v>0</x:v>
      </x:c>
      <x:c r="X309" s="0">
        <x:v>8000</x:v>
      </x:c>
      <x:c r="Y309" s="21">
        <x:v>0</x:v>
      </x:c>
      <x:c r="AK309" s="0" t="s">
        <x:v>1584</x:v>
      </x:c>
    </x:row>
    <x:row r="310" spans="1:37" x14ac:dyDescent="0.25">
      <x:c r="A310" s="0">
        <x:f>ROW(A310)-1</x:f>
      </x:c>
      <x:c r="C310" s="0">
        <x:v>558</x:v>
      </x:c>
      <x:c r="D310" s="0" t="s">
        <x:v>203</x:v>
      </x:c>
      <x:c r="E310" s="0" t="s">
        <x:v>1625</x:v>
      </x:c>
      <x:c r="F310" s="0" t="s">
        <x:v>1626</x:v>
      </x:c>
      <x:c r="G310" s="0" t="s">
        <x:v>1320</x:v>
      </x:c>
      <x:c r="M310" s="0">
        <x:v>0</x:v>
      </x:c>
      <x:c r="N310" s="0">
        <x:v>2016</x:v>
      </x:c>
      <x:c r="O310" s="0" t="s">
        <x:v>1586</x:v>
      </x:c>
      <x:c r="S310" s="0">
        <x:v>70</x:v>
      </x:c>
      <x:c r="T310" s="0">
        <x:v>0</x:v>
      </x:c>
      <x:c r="W310" s="21">
        <x:v>0</x:v>
      </x:c>
      <x:c r="X310" s="0">
        <x:v>7300</x:v>
      </x:c>
      <x:c r="Y310" s="21">
        <x:v>0</x:v>
      </x:c>
    </x:row>
    <x:row r="311" spans="1:37" x14ac:dyDescent="0.25">
      <x:c r="A311" s="0">
        <x:f>ROW(A311)-1</x:f>
      </x:c>
      <x:c r="C311" s="0">
        <x:v>301</x:v>
      </x:c>
      <x:c r="D311" s="0" t="s">
        <x:v>998</x:v>
      </x:c>
      <x:c r="E311" s="0" t="s">
        <x:v>1627</x:v>
      </x:c>
      <x:c r="G311" s="0" t="s">
        <x:v>1320</x:v>
      </x:c>
      <x:c r="M311" s="0">
        <x:v>0</x:v>
      </x:c>
      <x:c r="N311" s="0">
        <x:v>2011</x:v>
      </x:c>
      <x:c r="O311" s="0" t="s">
        <x:v>1586</x:v>
      </x:c>
      <x:c r="S311" s="0">
        <x:v>0</x:v>
      </x:c>
      <x:c r="T311" s="0">
        <x:v>0</x:v>
      </x:c>
      <x:c r="V311" s="0">
        <x:v>0</x:v>
      </x:c>
      <x:c r="W311" s="21">
        <x:v>0</x:v>
      </x:c>
      <x:c r="X311" s="0">
        <x:v>0</x:v>
      </x:c>
      <x:c r="Y311" s="21">
        <x:v>0</x:v>
      </x:c>
    </x:row>
    <x:row r="312" spans="1:37" x14ac:dyDescent="0.25">
      <x:c r="A312" s="0">
        <x:f>ROW(A312)-1</x:f>
      </x:c>
      <x:c r="C312" s="0">
        <x:v>324</x:v>
      </x:c>
      <x:c r="D312" s="0" t="s">
        <x:v>1001</x:v>
      </x:c>
      <x:c r="E312" s="0" t="s">
        <x:v>1628</x:v>
      </x:c>
      <x:c r="F312" s="0" t="s">
        <x:v>1629</x:v>
      </x:c>
      <x:c r="G312" s="0" t="s">
        <x:v>1320</x:v>
      </x:c>
      <x:c r="M312" s="0">
        <x:v>0</x:v>
      </x:c>
      <x:c r="N312" s="0">
        <x:v>2008</x:v>
      </x:c>
      <x:c r="O312" s="0" t="s">
        <x:v>1441</x:v>
      </x:c>
      <x:c r="S312" s="0">
        <x:v>0</x:v>
      </x:c>
      <x:c r="T312" s="0">
        <x:v>0</x:v>
      </x:c>
      <x:c r="V312" s="0">
        <x:v>244087</x:v>
      </x:c>
      <x:c r="W312" s="21">
        <x:v>0</x:v>
      </x:c>
      <x:c r="X312" s="0">
        <x:v>39337</x:v>
      </x:c>
      <x:c r="Y312" s="21">
        <x:v>0</x:v>
      </x:c>
    </x:row>
    <x:row r="313" spans="1:37" x14ac:dyDescent="0.25">
      <x:c r="A313" s="0">
        <x:f>ROW(A313)-1</x:f>
      </x:c>
      <x:c r="C313" s="0">
        <x:v>385</x:v>
      </x:c>
      <x:c r="D313" s="0" t="s">
        <x:v>1005</x:v>
      </x:c>
      <x:c r="E313" s="0" t="s">
        <x:v>1630</x:v>
      </x:c>
      <x:c r="F313" s="0" t="s">
        <x:v>1432</x:v>
      </x:c>
      <x:c r="G313" s="0" t="s">
        <x:v>1320</x:v>
      </x:c>
      <x:c r="M313" s="0">
        <x:v>0</x:v>
      </x:c>
      <x:c r="N313" s="0">
        <x:v>2012</x:v>
      </x:c>
      <x:c r="O313" s="0" t="s">
        <x:v>1591</x:v>
      </x:c>
      <x:c r="T313" s="0">
        <x:v>0</x:v>
      </x:c>
      <x:c r="W313" s="21">
        <x:v>0</x:v>
      </x:c>
      <x:c r="Y313" s="21">
        <x:v>0</x:v>
      </x:c>
    </x:row>
    <x:row r="314" spans="1:37" x14ac:dyDescent="0.25">
      <x:c r="A314" s="0">
        <x:f>ROW(A314)-1</x:f>
      </x:c>
      <x:c r="C314" s="0">
        <x:v>567</x:v>
      </x:c>
      <x:c r="D314" s="0" t="s">
        <x:v>277</x:v>
      </x:c>
      <x:c r="E314" s="0" t="s">
        <x:v>278</x:v>
      </x:c>
      <x:c r="F314" s="0" t="s">
        <x:v>1365</x:v>
      </x:c>
      <x:c r="G314" s="0" t="s">
        <x:v>1320</x:v>
      </x:c>
      <x:c r="M314" s="0">
        <x:v>0</x:v>
      </x:c>
      <x:c r="N314" s="0">
        <x:v>2016</x:v>
      </x:c>
      <x:c r="S314" s="0">
        <x:v>750</x:v>
      </x:c>
      <x:c r="T314" s="0">
        <x:v>0</x:v>
      </x:c>
      <x:c r="V314" s="0">
        <x:v>52500</x:v>
      </x:c>
      <x:c r="W314" s="21">
        <x:v>0</x:v>
      </x:c>
      <x:c r="X314" s="0">
        <x:v>40700</x:v>
      </x:c>
      <x:c r="Y314" s="21">
        <x:v>0</x:v>
      </x:c>
    </x:row>
    <x:row r="315" spans="1:37" x14ac:dyDescent="0.25">
      <x:c r="A315" s="0">
        <x:f>ROW(A315)-1</x:f>
      </x:c>
      <x:c r="C315" s="0">
        <x:v>562</x:v>
      </x:c>
      <x:c r="D315" s="0" t="s">
        <x:v>285</x:v>
      </x:c>
      <x:c r="E315" s="0" t="s">
        <x:v>286</x:v>
      </x:c>
      <x:c r="F315" s="0" t="s">
        <x:v>1372</x:v>
      </x:c>
      <x:c r="G315" s="0" t="s">
        <x:v>1320</x:v>
      </x:c>
      <x:c r="M315" s="0">
        <x:v>0</x:v>
      </x:c>
      <x:c r="N315" s="0">
        <x:v>2009</x:v>
      </x:c>
      <x:c r="O315" s="0" t="s">
        <x:v>1441</x:v>
      </x:c>
      <x:c r="S315" s="0">
        <x:v>0</x:v>
      </x:c>
      <x:c r="T315" s="0">
        <x:v>0</x:v>
      </x:c>
      <x:c r="V315" s="0">
        <x:v>0</x:v>
      </x:c>
      <x:c r="W315" s="21">
        <x:v>0</x:v>
      </x:c>
      <x:c r="X315" s="0">
        <x:v>0</x:v>
      </x:c>
      <x:c r="Y315" s="21">
        <x:v>0</x:v>
      </x:c>
      <x:c r="AK315" s="0" t="s">
        <x:v>1374</x:v>
      </x:c>
    </x:row>
    <x:row r="316" spans="1:37" x14ac:dyDescent="0.25">
      <x:c r="A316" s="0">
        <x:f>ROW(A316)-1</x:f>
      </x:c>
      <x:c r="C316" s="0">
        <x:v>609</x:v>
      </x:c>
      <x:c r="D316" s="0" t="s">
        <x:v>290</x:v>
      </x:c>
      <x:c r="E316" s="0" t="s">
        <x:v>291</x:v>
      </x:c>
      <x:c r="F316" s="0" t="s">
        <x:v>1375</x:v>
      </x:c>
      <x:c r="G316" s="0" t="s">
        <x:v>1320</x:v>
      </x:c>
      <x:c r="M316" s="0">
        <x:v>0</x:v>
      </x:c>
      <x:c r="N316" s="0">
        <x:v>2017</x:v>
      </x:c>
      <x:c r="O316" s="0" t="s">
        <x:v>1533</x:v>
      </x:c>
      <x:c r="Q316" s="0" t="s">
        <x:v>1376</x:v>
      </x:c>
      <x:c r="S316" s="0">
        <x:v>0</x:v>
      </x:c>
      <x:c r="T316" s="0">
        <x:v>0</x:v>
      </x:c>
      <x:c r="V316" s="0">
        <x:v>159000</x:v>
      </x:c>
      <x:c r="W316" s="21">
        <x:v>0</x:v>
      </x:c>
      <x:c r="X316" s="0">
        <x:v>8422</x:v>
      </x:c>
      <x:c r="Y316" s="21">
        <x:v>0</x:v>
      </x:c>
    </x:row>
    <x:row r="317" spans="1:37" x14ac:dyDescent="0.25">
      <x:c r="A317" s="0">
        <x:f>ROW(A317)-1</x:f>
      </x:c>
      <x:c r="C317" s="0">
        <x:v>423</x:v>
      </x:c>
      <x:c r="D317" s="0" t="s">
        <x:v>1008</x:v>
      </x:c>
      <x:c r="E317" s="0" t="s">
        <x:v>1631</x:v>
      </x:c>
      <x:c r="F317" s="0" t="s">
        <x:v>1632</x:v>
      </x:c>
      <x:c r="G317" s="0" t="s">
        <x:v>1320</x:v>
      </x:c>
      <x:c r="M317" s="0">
        <x:v>0</x:v>
      </x:c>
      <x:c r="N317" s="0">
        <x:v>2014</x:v>
      </x:c>
      <x:c r="S317" s="0">
        <x:v>0</x:v>
      </x:c>
      <x:c r="T317" s="0">
        <x:v>0</x:v>
      </x:c>
      <x:c r="V317" s="0">
        <x:v>0</x:v>
      </x:c>
      <x:c r="W317" s="21">
        <x:v>0</x:v>
      </x:c>
      <x:c r="X317" s="0">
        <x:v>0</x:v>
      </x:c>
      <x:c r="Y317" s="21">
        <x:v>0</x:v>
      </x:c>
    </x:row>
    <x:row r="318" spans="1:37" x14ac:dyDescent="0.25">
      <x:c r="A318" s="0">
        <x:f>ROW(A318)-1</x:f>
      </x:c>
      <x:c r="C318" s="0">
        <x:v>462</x:v>
      </x:c>
      <x:c r="D318" s="0" t="s">
        <x:v>1011</x:v>
      </x:c>
      <x:c r="E318" s="0" t="s">
        <x:v>1633</x:v>
      </x:c>
      <x:c r="F318" s="0" t="s">
        <x:v>1629</x:v>
      </x:c>
      <x:c r="G318" s="0" t="s">
        <x:v>1320</x:v>
      </x:c>
      <x:c r="I318" s="0" t="s">
        <x:v>905</x:v>
      </x:c>
      <x:c r="M318" s="0">
        <x:v>0</x:v>
      </x:c>
      <x:c r="N318" s="0">
        <x:v>2009</x:v>
      </x:c>
      <x:c r="O318" s="0" t="s">
        <x:v>1591</x:v>
      </x:c>
      <x:c r="Q318" s="0" t="s">
        <x:v>1634</x:v>
      </x:c>
      <x:c r="S318" s="0">
        <x:v>1400</x:v>
      </x:c>
      <x:c r="T318" s="0">
        <x:v>0</x:v>
      </x:c>
      <x:c r="V318" s="0">
        <x:v>0</x:v>
      </x:c>
      <x:c r="W318" s="21">
        <x:v>0</x:v>
      </x:c>
      <x:c r="X318" s="0">
        <x:v>0</x:v>
      </x:c>
      <x:c r="Y318" s="21">
        <x:v>0</x:v>
      </x:c>
      <x:c r="AK318" s="0" t="s">
        <x:v>1635</x:v>
      </x:c>
    </x:row>
    <x:row r="319" spans="1:37" x14ac:dyDescent="0.25">
      <x:c r="A319" s="0">
        <x:f>ROW(A319)-1</x:f>
      </x:c>
      <x:c r="C319" s="0">
        <x:v>481</x:v>
      </x:c>
      <x:c r="D319" s="0" t="s">
        <x:v>292</x:v>
      </x:c>
      <x:c r="E319" s="0" t="s">
        <x:v>293</x:v>
      </x:c>
      <x:c r="F319" s="0" t="s">
        <x:v>1377</x:v>
      </x:c>
      <x:c r="G319" s="0" t="s">
        <x:v>1320</x:v>
      </x:c>
      <x:c r="M319" s="0">
        <x:v>0</x:v>
      </x:c>
      <x:c r="N319" s="0">
        <x:v>2009</x:v>
      </x:c>
      <x:c r="O319" s="0" t="s">
        <x:v>1583</x:v>
      </x:c>
      <x:c r="Q319" s="0" t="s">
        <x:v>1378</x:v>
      </x:c>
      <x:c r="T319" s="0">
        <x:v>0</x:v>
      </x:c>
      <x:c r="V319" s="0">
        <x:v>0</x:v>
      </x:c>
      <x:c r="W319" s="21">
        <x:v>0</x:v>
      </x:c>
      <x:c r="X319" s="0">
        <x:v>0</x:v>
      </x:c>
      <x:c r="Y319" s="21">
        <x:v>0</x:v>
      </x:c>
      <x:c r="AK319" s="0" t="s">
        <x:v>1379</x:v>
      </x:c>
    </x:row>
    <x:row r="320" spans="1:37" x14ac:dyDescent="0.25">
      <x:c r="A320" s="0">
        <x:f>ROW(A320)-1</x:f>
      </x:c>
      <x:c r="C320" s="0">
        <x:v>468</x:v>
      </x:c>
      <x:c r="D320" s="0" t="s">
        <x:v>1015</x:v>
      </x:c>
      <x:c r="E320" s="0" t="s">
        <x:v>1636</x:v>
      </x:c>
      <x:c r="F320" s="0" t="s">
        <x:v>1637</x:v>
      </x:c>
      <x:c r="G320" s="0" t="s">
        <x:v>1320</x:v>
      </x:c>
      <x:c r="M320" s="0">
        <x:v>0</x:v>
      </x:c>
      <x:c r="N320" s="0">
        <x:v>2025</x:v>
      </x:c>
      <x:c r="O320" s="0" t="s">
        <x:v>1583</x:v>
      </x:c>
      <x:c r="Q320" s="0" t="s">
        <x:v>1638</x:v>
      </x:c>
      <x:c r="S320" s="0">
        <x:v>1100</x:v>
      </x:c>
      <x:c r="T320" s="0">
        <x:v>0</x:v>
      </x:c>
      <x:c r="V320" s="0">
        <x:v>300000</x:v>
      </x:c>
      <x:c r="W320" s="21">
        <x:v>0</x:v>
      </x:c>
      <x:c r="X320" s="0">
        <x:v>0</x:v>
      </x:c>
      <x:c r="Y320" s="21">
        <x:v>0</x:v>
      </x:c>
      <x:c r="AK320" s="0" t="s">
        <x:v>1639</x:v>
      </x:c>
    </x:row>
    <x:row r="321" spans="1:37" x14ac:dyDescent="0.25">
      <x:c r="A321" s="0">
        <x:f>ROW(A321)-1</x:f>
      </x:c>
      <x:c r="C321" s="0">
        <x:v>363</x:v>
      </x:c>
      <x:c r="D321" s="0" t="s">
        <x:v>295</x:v>
      </x:c>
      <x:c r="E321" s="0" t="s">
        <x:v>296</x:v>
      </x:c>
      <x:c r="G321" s="0" t="s">
        <x:v>1320</x:v>
      </x:c>
      <x:c r="M321" s="0">
        <x:v>0</x:v>
      </x:c>
      <x:c r="N321" s="0">
        <x:v>2006</x:v>
      </x:c>
      <x:c r="S321" s="0">
        <x:v>0</x:v>
      </x:c>
      <x:c r="T321" s="0">
        <x:v>0</x:v>
      </x:c>
      <x:c r="V321" s="0">
        <x:v>0</x:v>
      </x:c>
      <x:c r="W321" s="21">
        <x:v>0</x:v>
      </x:c>
      <x:c r="X321" s="0">
        <x:v>0</x:v>
      </x:c>
      <x:c r="Y321" s="21">
        <x:v>0</x:v>
      </x:c>
    </x:row>
    <x:row r="322" spans="1:37" x14ac:dyDescent="0.25">
      <x:c r="A322" s="0">
        <x:f>ROW(A322)-1</x:f>
      </x:c>
      <x:c r="C322" s="0">
        <x:v>373</x:v>
      </x:c>
      <x:c r="D322" s="0" t="s">
        <x:v>1016</x:v>
      </x:c>
      <x:c r="E322" s="0" t="s">
        <x:v>1640</x:v>
      </x:c>
      <x:c r="F322" s="0" t="s">
        <x:v>1383</x:v>
      </x:c>
      <x:c r="G322" s="0" t="s">
        <x:v>1320</x:v>
      </x:c>
      <x:c r="M322" s="0">
        <x:v>0</x:v>
      </x:c>
      <x:c r="N322" s="0">
        <x:v>2009</x:v>
      </x:c>
      <x:c r="O322" s="0" t="s">
        <x:v>1482</x:v>
      </x:c>
      <x:c r="S322" s="0">
        <x:v>0</x:v>
      </x:c>
      <x:c r="T322" s="0">
        <x:v>0</x:v>
      </x:c>
      <x:c r="V322" s="0">
        <x:v>0</x:v>
      </x:c>
      <x:c r="W322" s="21">
        <x:v>0</x:v>
      </x:c>
      <x:c r="X322" s="0">
        <x:v>0</x:v>
      </x:c>
      <x:c r="Y322" s="21">
        <x:v>0</x:v>
      </x:c>
    </x:row>
    <x:row r="323" spans="1:37" x14ac:dyDescent="0.25">
      <x:c r="A323" s="0">
        <x:f>ROW(A323)-1</x:f>
      </x:c>
      <x:c r="C323" s="0">
        <x:v>446</x:v>
      </x:c>
      <x:c r="D323" s="0" t="s">
        <x:v>1017</x:v>
      </x:c>
      <x:c r="E323" s="0" t="s">
        <x:v>1641</x:v>
      </x:c>
      <x:c r="F323" s="0" t="s">
        <x:v>1642</x:v>
      </x:c>
      <x:c r="G323" s="0" t="s">
        <x:v>1320</x:v>
      </x:c>
      <x:c r="M323" s="0">
        <x:v>2017</x:v>
      </x:c>
      <x:c r="S323" s="0">
        <x:v>0</x:v>
      </x:c>
      <x:c r="T323" s="0">
        <x:v>0</x:v>
      </x:c>
      <x:c r="V323" s="0">
        <x:v>0</x:v>
      </x:c>
      <x:c r="W323" s="21">
        <x:v>0</x:v>
      </x:c>
      <x:c r="X323" s="0">
        <x:v>3750</x:v>
      </x:c>
      <x:c r="Y323" s="21">
        <x:v>0</x:v>
      </x:c>
      <x:c r="AK323" s="0" t="s">
        <x:v>1584</x:v>
      </x:c>
    </x:row>
    <x:row r="324" spans="1:37" x14ac:dyDescent="0.25">
      <x:c r="A324" s="0">
        <x:f>ROW(A324)-1</x:f>
      </x:c>
      <x:c r="C324" s="0">
        <x:v>551</x:v>
      </x:c>
      <x:c r="D324" s="0" t="s">
        <x:v>1020</x:v>
      </x:c>
      <x:c r="E324" s="0" t="s">
        <x:v>1643</x:v>
      </x:c>
      <x:c r="F324" s="0" t="s">
        <x:v>1644</x:v>
      </x:c>
      <x:c r="G324" s="0" t="s">
        <x:v>1320</x:v>
      </x:c>
      <x:c r="M324" s="0">
        <x:v>0</x:v>
      </x:c>
      <x:c r="N324" s="0">
        <x:v>2009</x:v>
      </x:c>
      <x:c r="O324" s="0" t="s">
        <x:v>1586</x:v>
      </x:c>
      <x:c r="S324" s="0">
        <x:v>0</x:v>
      </x:c>
      <x:c r="T324" s="0">
        <x:v>0</x:v>
      </x:c>
      <x:c r="V324" s="0">
        <x:v>0</x:v>
      </x:c>
      <x:c r="W324" s="21">
        <x:v>0</x:v>
      </x:c>
      <x:c r="X324" s="0">
        <x:v>0</x:v>
      </x:c>
      <x:c r="Y324" s="21">
        <x:v>0</x:v>
      </x:c>
    </x:row>
    <x:row r="325" spans="1:37" x14ac:dyDescent="0.25">
      <x:c r="A325" s="0">
        <x:f>ROW(A325)-1</x:f>
      </x:c>
      <x:c r="C325" s="0">
        <x:v>556</x:v>
      </x:c>
      <x:c r="D325" s="0" t="s">
        <x:v>1023</x:v>
      </x:c>
      <x:c r="E325" s="0" t="s">
        <x:v>1645</x:v>
      </x:c>
      <x:c r="G325" s="0" t="s">
        <x:v>1320</x:v>
      </x:c>
      <x:c r="M325" s="0">
        <x:v>0</x:v>
      </x:c>
      <x:c r="N325" s="0">
        <x:v>2009</x:v>
      </x:c>
      <x:c r="O325" s="0" t="s">
        <x:v>1586</x:v>
      </x:c>
      <x:c r="S325" s="0">
        <x:v>0</x:v>
      </x:c>
      <x:c r="T325" s="0">
        <x:v>0</x:v>
      </x:c>
      <x:c r="V325" s="0">
        <x:v>0</x:v>
      </x:c>
      <x:c r="W325" s="21">
        <x:v>0</x:v>
      </x:c>
      <x:c r="X325" s="0">
        <x:v>0</x:v>
      </x:c>
      <x:c r="Y325" s="21">
        <x:v>0</x:v>
      </x:c>
      <x:c r="AK325" s="0" t="s">
        <x:v>1646</x:v>
      </x:c>
    </x:row>
    <x:row r="326" spans="1:37" x14ac:dyDescent="0.25">
      <x:c r="A326" s="0">
        <x:f>ROW(A326)-1</x:f>
      </x:c>
      <x:c r="C326" s="0">
        <x:v>563</x:v>
      </x:c>
      <x:c r="D326" s="0" t="s">
        <x:v>1025</x:v>
      </x:c>
      <x:c r="E326" s="0" t="s">
        <x:v>1027</x:v>
      </x:c>
      <x:c r="F326" s="0" t="s">
        <x:v>1377</x:v>
      </x:c>
      <x:c r="G326" s="0" t="s">
        <x:v>1320</x:v>
      </x:c>
      <x:c r="M326" s="0">
        <x:v>0</x:v>
      </x:c>
      <x:c r="N326" s="0">
        <x:v>2009</x:v>
      </x:c>
      <x:c r="O326" s="0" t="s">
        <x:v>1591</x:v>
      </x:c>
      <x:c r="S326" s="0">
        <x:v>0</x:v>
      </x:c>
      <x:c r="T326" s="0">
        <x:v>0</x:v>
      </x:c>
      <x:c r="V326" s="0">
        <x:v>0</x:v>
      </x:c>
      <x:c r="W326" s="21">
        <x:v>0</x:v>
      </x:c>
      <x:c r="X326" s="0">
        <x:v>0</x:v>
      </x:c>
      <x:c r="Y326" s="21">
        <x:v>0</x:v>
      </x:c>
      <x:c r="AK326" s="0" t="s">
        <x:v>1647</x:v>
      </x:c>
    </x:row>
    <x:row r="327" spans="1:37" x14ac:dyDescent="0.25">
      <x:c r="A327" s="0">
        <x:f>ROW(A327)-1</x:f>
      </x:c>
      <x:c r="C327" s="0">
        <x:v>569</x:v>
      </x:c>
      <x:c r="D327" s="0" t="s">
        <x:v>285</x:v>
      </x:c>
      <x:c r="E327" s="0" t="s">
        <x:v>1648</x:v>
      </x:c>
      <x:c r="F327" s="0" t="s">
        <x:v>1649</x:v>
      </x:c>
      <x:c r="G327" s="0" t="s">
        <x:v>1320</x:v>
      </x:c>
      <x:c r="M327" s="0">
        <x:v>2008</x:v>
      </x:c>
      <x:c r="N327" s="0">
        <x:v>2009</x:v>
      </x:c>
      <x:c r="O327" s="0" t="s">
        <x:v>1533</x:v>
      </x:c>
      <x:c r="S327" s="0">
        <x:v>0</x:v>
      </x:c>
      <x:c r="T327" s="0">
        <x:v>0</x:v>
      </x:c>
      <x:c r="V327" s="0">
        <x:v>15000</x:v>
      </x:c>
      <x:c r="W327" s="21">
        <x:v>0</x:v>
      </x:c>
      <x:c r="X327" s="0">
        <x:v>67000</x:v>
      </x:c>
      <x:c r="Y327" s="21">
        <x:v>0</x:v>
      </x:c>
    </x:row>
    <x:row r="328" spans="1:37" x14ac:dyDescent="0.25">
      <x:c r="A328" s="0">
        <x:f>ROW(A328)-1</x:f>
      </x:c>
      <x:c r="C328" s="0">
        <x:v>303</x:v>
      </x:c>
      <x:c r="D328" s="0" t="s">
        <x:v>299</x:v>
      </x:c>
      <x:c r="E328" s="0" t="s">
        <x:v>300</x:v>
      </x:c>
      <x:c r="F328" s="0" t="s">
        <x:v>1380</x:v>
      </x:c>
      <x:c r="G328" s="0" t="s">
        <x:v>1320</x:v>
      </x:c>
      <x:c r="M328" s="0">
        <x:v>0</x:v>
      </x:c>
      <x:c r="N328" s="0">
        <x:v>2009</x:v>
      </x:c>
      <x:c r="O328" s="0" t="s">
        <x:v>1586</x:v>
      </x:c>
      <x:c r="S328" s="0">
        <x:v>0</x:v>
      </x:c>
      <x:c r="T328" s="0">
        <x:v>0</x:v>
      </x:c>
      <x:c r="V328" s="0">
        <x:v>0</x:v>
      </x:c>
      <x:c r="W328" s="21">
        <x:v>0</x:v>
      </x:c>
      <x:c r="X328" s="0">
        <x:v>0</x:v>
      </x:c>
      <x:c r="Y328" s="21">
        <x:v>0</x:v>
      </x:c>
    </x:row>
    <x:row r="329" spans="1:37" x14ac:dyDescent="0.25">
      <x:c r="A329" s="0">
        <x:f>ROW(A329)-1</x:f>
      </x:c>
      <x:c r="C329" s="0">
        <x:v>366</x:v>
      </x:c>
      <x:c r="E329" s="0" t="s">
        <x:v>304</x:v>
      </x:c>
      <x:c r="F329" s="0" t="s">
        <x:v>1365</x:v>
      </x:c>
      <x:c r="G329" s="0" t="s">
        <x:v>1320</x:v>
      </x:c>
      <x:c r="M329" s="0">
        <x:v>0</x:v>
      </x:c>
      <x:c r="N329" s="0">
        <x:v>2009</x:v>
      </x:c>
      <x:c r="S329" s="0">
        <x:v>0</x:v>
      </x:c>
      <x:c r="T329" s="0">
        <x:v>0</x:v>
      </x:c>
      <x:c r="V329" s="0">
        <x:v>164090</x:v>
      </x:c>
      <x:c r="W329" s="21">
        <x:v>0</x:v>
      </x:c>
      <x:c r="X329" s="0">
        <x:v>0</x:v>
      </x:c>
      <x:c r="Y329" s="21">
        <x:v>0</x:v>
      </x:c>
    </x:row>
    <x:row r="330" spans="1:37" x14ac:dyDescent="0.25">
      <x:c r="A330" s="0">
        <x:f>ROW(A330)-1</x:f>
      </x:c>
      <x:c r="C330" s="0">
        <x:v>322</x:v>
      </x:c>
      <x:c r="D330" s="0" t="s">
        <x:v>307</x:v>
      </x:c>
      <x:c r="E330" s="0" t="s">
        <x:v>308</x:v>
      </x:c>
      <x:c r="F330" s="0" t="s">
        <x:v>1365</x:v>
      </x:c>
      <x:c r="G330" s="0" t="s">
        <x:v>1320</x:v>
      </x:c>
      <x:c r="M330" s="0">
        <x:v>0</x:v>
      </x:c>
      <x:c r="N330" s="0">
        <x:v>2009</x:v>
      </x:c>
      <x:c r="S330" s="0">
        <x:v>0</x:v>
      </x:c>
      <x:c r="T330" s="0">
        <x:v>0</x:v>
      </x:c>
      <x:c r="V330" s="0">
        <x:v>0</x:v>
      </x:c>
      <x:c r="W330" s="21">
        <x:v>0</x:v>
      </x:c>
      <x:c r="X330" s="0">
        <x:v>0</x:v>
      </x:c>
      <x:c r="Y330" s="21">
        <x:v>0</x:v>
      </x:c>
    </x:row>
    <x:row r="331" spans="1:37" x14ac:dyDescent="0.25">
      <x:c r="A331" s="0">
        <x:f>ROW(A331)-1</x:f>
      </x:c>
      <x:c r="C331" s="0">
        <x:v>405</x:v>
      </x:c>
      <x:c r="D331" s="0" t="s">
        <x:v>1029</x:v>
      </x:c>
      <x:c r="E331" s="0" t="s">
        <x:v>1650</x:v>
      </x:c>
      <x:c r="F331" s="0" t="s">
        <x:v>1651</x:v>
      </x:c>
      <x:c r="G331" s="0" t="s">
        <x:v>1320</x:v>
      </x:c>
      <x:c r="M331" s="0">
        <x:v>0</x:v>
      </x:c>
      <x:c r="N331" s="0">
        <x:v>2025</x:v>
      </x:c>
      <x:c r="O331" s="0" t="s">
        <x:v>1591</x:v>
      </x:c>
      <x:c r="S331" s="0">
        <x:v>508</x:v>
      </x:c>
      <x:c r="V331" s="0">
        <x:v>0</x:v>
      </x:c>
      <x:c r="W331" s="21">
        <x:v>0</x:v>
      </x:c>
      <x:c r="X331" s="0">
        <x:v>0</x:v>
      </x:c>
      <x:c r="Y331" s="21">
        <x:v>0</x:v>
      </x:c>
      <x:c r="AK331" s="0" t="s">
        <x:v>1652</x:v>
      </x:c>
    </x:row>
    <x:row r="332" spans="1:37" x14ac:dyDescent="0.25">
      <x:c r="A332" s="0">
        <x:f>ROW(A332)-1</x:f>
      </x:c>
      <x:c r="C332" s="0">
        <x:v>396</x:v>
      </x:c>
      <x:c r="D332" s="0" t="s">
        <x:v>310</x:v>
      </x:c>
      <x:c r="E332" s="0" t="s">
        <x:v>311</x:v>
      </x:c>
      <x:c r="G332" s="0" t="s">
        <x:v>1320</x:v>
      </x:c>
      <x:c r="M332" s="0">
        <x:v>0</x:v>
      </x:c>
      <x:c r="N332" s="0">
        <x:v>2013</x:v>
      </x:c>
      <x:c r="S332" s="0">
        <x:v>0</x:v>
      </x:c>
      <x:c r="T332" s="0">
        <x:v>0</x:v>
      </x:c>
      <x:c r="V332" s="0">
        <x:v>0</x:v>
      </x:c>
      <x:c r="W332" s="21">
        <x:v>0</x:v>
      </x:c>
      <x:c r="X332" s="0">
        <x:v>0</x:v>
      </x:c>
      <x:c r="Y332" s="21">
        <x:v>0</x:v>
      </x:c>
    </x:row>
    <x:row r="333" spans="1:37" x14ac:dyDescent="0.25">
      <x:c r="A333" s="0">
        <x:f>ROW(A333)-1</x:f>
      </x:c>
      <x:c r="C333" s="0">
        <x:v>476</x:v>
      </x:c>
      <x:c r="D333" s="0" t="s">
        <x:v>315</x:v>
      </x:c>
      <x:c r="E333" s="0" t="s">
        <x:v>316</x:v>
      </x:c>
      <x:c r="F333" s="0" t="s">
        <x:v>1319</x:v>
      </x:c>
      <x:c r="G333" s="0" t="s">
        <x:v>1320</x:v>
      </x:c>
      <x:c r="M333" s="0">
        <x:v>0</x:v>
      </x:c>
      <x:c r="N333" s="0">
        <x:v>2015</x:v>
      </x:c>
      <x:c r="O333" s="0" t="s">
        <x:v>1586</x:v>
      </x:c>
      <x:c r="S333" s="0">
        <x:v>0</x:v>
      </x:c>
      <x:c r="T333" s="0">
        <x:v>0</x:v>
      </x:c>
      <x:c r="V333" s="0">
        <x:v>0</x:v>
      </x:c>
      <x:c r="W333" s="21">
        <x:v>0</x:v>
      </x:c>
      <x:c r="X333" s="0">
        <x:v>0</x:v>
      </x:c>
      <x:c r="Y333" s="21">
        <x:v>0</x:v>
      </x:c>
    </x:row>
    <x:row r="334" spans="1:37" x14ac:dyDescent="0.25">
      <x:c r="A334" s="0">
        <x:f>ROW(A334)-1</x:f>
      </x:c>
      <x:c r="C334" s="0">
        <x:v>442</x:v>
      </x:c>
      <x:c r="D334" s="0" t="s">
        <x:v>321</x:v>
      </x:c>
      <x:c r="E334" s="0" t="s">
        <x:v>322</x:v>
      </x:c>
      <x:c r="F334" s="0" t="s">
        <x:v>1365</x:v>
      </x:c>
      <x:c r="G334" s="0" t="s">
        <x:v>1320</x:v>
      </x:c>
      <x:c r="M334" s="0">
        <x:v>0</x:v>
      </x:c>
      <x:c r="N334" s="0">
        <x:v>2014</x:v>
      </x:c>
      <x:c r="O334" s="0" t="s">
        <x:v>1482</x:v>
      </x:c>
      <x:c r="S334" s="0">
        <x:v>0</x:v>
      </x:c>
      <x:c r="T334" s="0">
        <x:v>0</x:v>
      </x:c>
      <x:c r="V334" s="0">
        <x:v>0</x:v>
      </x:c>
      <x:c r="W334" s="21">
        <x:v>0</x:v>
      </x:c>
      <x:c r="X334" s="0">
        <x:v>0</x:v>
      </x:c>
      <x:c r="Y334" s="21">
        <x:v>0</x:v>
      </x:c>
    </x:row>
    <x:row r="335" spans="1:37" x14ac:dyDescent="0.25">
      <x:c r="A335" s="0">
        <x:f>ROW(A335)-1</x:f>
      </x:c>
      <x:c r="C335" s="0">
        <x:v>493</x:v>
      </x:c>
      <x:c r="D335" s="0" t="s">
        <x:v>1030</x:v>
      </x:c>
      <x:c r="E335" s="0" t="s">
        <x:v>1653</x:v>
      </x:c>
      <x:c r="F335" s="0" t="s">
        <x:v>1377</x:v>
      </x:c>
      <x:c r="G335" s="0" t="s">
        <x:v>1320</x:v>
      </x:c>
      <x:c r="M335" s="0">
        <x:v>0</x:v>
      </x:c>
      <x:c r="N335" s="0">
        <x:v>2009</x:v>
      </x:c>
      <x:c r="O335" s="0" t="s">
        <x:v>1591</x:v>
      </x:c>
      <x:c r="S335" s="0">
        <x:v>0</x:v>
      </x:c>
      <x:c r="T335" s="0">
        <x:v>0</x:v>
      </x:c>
      <x:c r="V335" s="0">
        <x:v>0</x:v>
      </x:c>
      <x:c r="W335" s="21">
        <x:v>0</x:v>
      </x:c>
      <x:c r="X335" s="0">
        <x:v>42720</x:v>
      </x:c>
      <x:c r="Y335" s="21">
        <x:v>0</x:v>
      </x:c>
      <x:c r="AK335" s="0" t="s">
        <x:v>1654</x:v>
      </x:c>
    </x:row>
    <x:row r="336" spans="1:37" x14ac:dyDescent="0.25">
      <x:c r="A336" s="0">
        <x:f>ROW(A336)-1</x:f>
      </x:c>
      <x:c r="C336" s="0">
        <x:v>487</x:v>
      </x:c>
      <x:c r="D336" s="0" t="s">
        <x:v>324</x:v>
      </x:c>
      <x:c r="E336" s="0" t="s">
        <x:v>325</x:v>
      </x:c>
      <x:c r="F336" s="0" t="s">
        <x:v>1381</x:v>
      </x:c>
      <x:c r="G336" s="0" t="s">
        <x:v>1320</x:v>
      </x:c>
      <x:c r="M336" s="0">
        <x:v>2008</x:v>
      </x:c>
      <x:c r="N336" s="0">
        <x:v>2009</x:v>
      </x:c>
      <x:c r="O336" s="0" t="s">
        <x:v>1482</x:v>
      </x:c>
      <x:c r="S336" s="0">
        <x:v>0</x:v>
      </x:c>
      <x:c r="T336" s="0">
        <x:v>0</x:v>
      </x:c>
      <x:c r="V336" s="0">
        <x:v>0</x:v>
      </x:c>
      <x:c r="W336" s="21">
        <x:v>0</x:v>
      </x:c>
      <x:c r="X336" s="0">
        <x:v>8465000</x:v>
      </x:c>
      <x:c r="Y336" s="21">
        <x:v>0</x:v>
      </x:c>
      <x:c r="AK336" s="0" t="s">
        <x:v>1584</x:v>
      </x:c>
    </x:row>
    <x:row r="337" spans="1:37" x14ac:dyDescent="0.25">
      <x:c r="A337" s="0">
        <x:f>ROW(A337)-1</x:f>
      </x:c>
      <x:c r="C337" s="0">
        <x:v>465</x:v>
      </x:c>
      <x:c r="D337" s="0" t="s">
        <x:v>1033</x:v>
      </x:c>
      <x:c r="E337" s="0" t="s">
        <x:v>1655</x:v>
      </x:c>
      <x:c r="G337" s="0" t="s">
        <x:v>1320</x:v>
      </x:c>
      <x:c r="M337" s="0">
        <x:v>2015</x:v>
      </x:c>
      <x:c r="N337" s="0">
        <x:v>2015</x:v>
      </x:c>
      <x:c r="S337" s="0">
        <x:v>0</x:v>
      </x:c>
      <x:c r="T337" s="0">
        <x:v>0</x:v>
      </x:c>
      <x:c r="V337" s="0">
        <x:v>0</x:v>
      </x:c>
      <x:c r="W337" s="21">
        <x:v>0</x:v>
      </x:c>
      <x:c r="X337" s="0">
        <x:v>0</x:v>
      </x:c>
      <x:c r="Y337" s="21">
        <x:v>0</x:v>
      </x:c>
      <x:c r="AK337" s="0" t="s">
        <x:v>1584</x:v>
      </x:c>
    </x:row>
    <x:row r="338" spans="1:37" x14ac:dyDescent="0.25">
      <x:c r="A338" s="0">
        <x:f>ROW(A338)-1</x:f>
      </x:c>
      <x:c r="C338" s="0">
        <x:v>483</x:v>
      </x:c>
      <x:c r="D338" s="0" t="s">
        <x:v>330</x:v>
      </x:c>
      <x:c r="E338" s="0" t="s">
        <x:v>331</x:v>
      </x:c>
      <x:c r="F338" s="0" t="s">
        <x:v>1382</x:v>
      </x:c>
      <x:c r="G338" s="0" t="s">
        <x:v>1320</x:v>
      </x:c>
      <x:c r="M338" s="0">
        <x:v>0</x:v>
      </x:c>
      <x:c r="N338" s="0">
        <x:v>2021</x:v>
      </x:c>
      <x:c r="O338" s="0" t="s">
        <x:v>1586</x:v>
      </x:c>
      <x:c r="S338" s="0">
        <x:v>2127</x:v>
      </x:c>
      <x:c r="T338" s="0">
        <x:v>0</x:v>
      </x:c>
      <x:c r="V338" s="0">
        <x:v>117759</x:v>
      </x:c>
      <x:c r="W338" s="21">
        <x:v>0</x:v>
      </x:c>
      <x:c r="X338" s="0">
        <x:v>20262</x:v>
      </x:c>
      <x:c r="Y338" s="21">
        <x:v>0</x:v>
      </x:c>
    </x:row>
    <x:row r="339" spans="1:37" x14ac:dyDescent="0.25">
      <x:c r="A339" s="0">
        <x:f>ROW(A339)-1</x:f>
      </x:c>
      <x:c r="C339" s="0">
        <x:v>433</x:v>
      </x:c>
      <x:c r="D339" s="0" t="s">
        <x:v>336</x:v>
      </x:c>
      <x:c r="E339" s="0" t="s">
        <x:v>337</x:v>
      </x:c>
      <x:c r="F339" s="0" t="s">
        <x:v>1383</x:v>
      </x:c>
      <x:c r="G339" s="0" t="s">
        <x:v>1320</x:v>
      </x:c>
      <x:c r="M339" s="0">
        <x:v>0</x:v>
      </x:c>
      <x:c r="N339" s="0">
        <x:v>2021</x:v>
      </x:c>
      <x:c r="O339" s="0" t="s">
        <x:v>1482</x:v>
      </x:c>
      <x:c r="S339" s="0">
        <x:v>0</x:v>
      </x:c>
      <x:c r="T339" s="0">
        <x:v>0</x:v>
      </x:c>
      <x:c r="V339" s="0">
        <x:v>0</x:v>
      </x:c>
      <x:c r="W339" s="21">
        <x:v>0</x:v>
      </x:c>
      <x:c r="X339" s="0">
        <x:v>2100</x:v>
      </x:c>
      <x:c r="Y339" s="21">
        <x:v>0</x:v>
      </x:c>
    </x:row>
    <x:row r="340" spans="1:37" x14ac:dyDescent="0.25">
      <x:c r="A340" s="0">
        <x:f>ROW(A340)-1</x:f>
      </x:c>
      <x:c r="C340" s="0">
        <x:v>489</x:v>
      </x:c>
      <x:c r="D340" s="0" t="s">
        <x:v>1034</x:v>
      </x:c>
      <x:c r="E340" s="0" t="s">
        <x:v>1656</x:v>
      </x:c>
      <x:c r="F340" s="0" t="s">
        <x:v>1365</x:v>
      </x:c>
      <x:c r="G340" s="0" t="s">
        <x:v>1320</x:v>
      </x:c>
      <x:c r="M340" s="0">
        <x:v>0</x:v>
      </x:c>
      <x:c r="N340" s="0">
        <x:v>2015</x:v>
      </x:c>
      <x:c r="O340" s="0" t="s">
        <x:v>1482</x:v>
      </x:c>
      <x:c r="S340" s="0">
        <x:v>0</x:v>
      </x:c>
      <x:c r="T340" s="0">
        <x:v>0</x:v>
      </x:c>
      <x:c r="V340" s="0">
        <x:v>0</x:v>
      </x:c>
      <x:c r="W340" s="21">
        <x:v>0</x:v>
      </x:c>
      <x:c r="X340" s="0">
        <x:v>19820</x:v>
      </x:c>
      <x:c r="Y340" s="21">
        <x:v>0</x:v>
      </x:c>
    </x:row>
    <x:row r="341" spans="1:37" x14ac:dyDescent="0.25">
      <x:c r="A341" s="0">
        <x:f>ROW(A341)-1</x:f>
      </x:c>
      <x:c r="C341" s="0">
        <x:v>600</x:v>
      </x:c>
      <x:c r="D341" s="0" t="s">
        <x:v>117</x:v>
      </x:c>
      <x:c r="E341" s="0" t="s">
        <x:v>339</x:v>
      </x:c>
      <x:c r="F341" s="0" t="s">
        <x:v>1377</x:v>
      </x:c>
      <x:c r="G341" s="0" t="s">
        <x:v>1320</x:v>
      </x:c>
      <x:c r="M341" s="0">
        <x:v>0</x:v>
      </x:c>
      <x:c r="N341" s="0">
        <x:v>2022</x:v>
      </x:c>
      <x:c r="O341" s="0" t="s">
        <x:v>1591</x:v>
      </x:c>
      <x:c r="S341" s="0">
        <x:v>680</x:v>
      </x:c>
      <x:c r="T341" s="0">
        <x:v>0</x:v>
      </x:c>
      <x:c r="V341" s="0">
        <x:v>110230</x:v>
      </x:c>
      <x:c r="W341" s="21">
        <x:v>0</x:v>
      </x:c>
      <x:c r="X341" s="0">
        <x:v>150000</x:v>
      </x:c>
      <x:c r="Y341" s="21">
        <x:v>0</x:v>
      </x:c>
    </x:row>
    <x:row r="342" spans="1:37" x14ac:dyDescent="0.25">
      <x:c r="A342" s="0">
        <x:f>ROW(A342)-1</x:f>
      </x:c>
      <x:c r="C342" s="0">
        <x:v>395</x:v>
      </x:c>
      <x:c r="D342" s="0" t="s">
        <x:v>343</x:v>
      </x:c>
      <x:c r="E342" s="0" t="s">
        <x:v>344</x:v>
      </x:c>
      <x:c r="F342" s="0" t="s">
        <x:v>1384</x:v>
      </x:c>
      <x:c r="G342" s="0" t="s">
        <x:v>1320</x:v>
      </x:c>
      <x:c r="M342" s="0">
        <x:v>0</x:v>
      </x:c>
      <x:c r="N342" s="0">
        <x:v>2022</x:v>
      </x:c>
      <x:c r="O342" s="0" t="s">
        <x:v>1586</x:v>
      </x:c>
      <x:c r="S342" s="0">
        <x:v>0</x:v>
      </x:c>
      <x:c r="T342" s="0">
        <x:v>0</x:v>
      </x:c>
      <x:c r="V342" s="0">
        <x:v>35000</x:v>
      </x:c>
      <x:c r="W342" s="21">
        <x:v>0</x:v>
      </x:c>
      <x:c r="X342" s="0">
        <x:v>62000</x:v>
      </x:c>
      <x:c r="Y342" s="21">
        <x:v>0</x:v>
      </x:c>
    </x:row>
    <x:row r="343" spans="1:37" x14ac:dyDescent="0.25">
      <x:c r="A343" s="0">
        <x:f>ROW(A343)-1</x:f>
      </x:c>
      <x:c r="C343" s="0">
        <x:v>550</x:v>
      </x:c>
      <x:c r="D343" s="0" t="s">
        <x:v>350</x:v>
      </x:c>
      <x:c r="E343" s="0" t="s">
        <x:v>351</x:v>
      </x:c>
      <x:c r="F343" s="0" t="s">
        <x:v>1385</x:v>
      </x:c>
      <x:c r="G343" s="0" t="s">
        <x:v>1320</x:v>
      </x:c>
      <x:c r="M343" s="0">
        <x:v>0</x:v>
      </x:c>
      <x:c r="N343" s="0">
        <x:v>2022</x:v>
      </x:c>
      <x:c r="O343" s="0" t="s">
        <x:v>1591</x:v>
      </x:c>
      <x:c r="S343" s="0">
        <x:v>400</x:v>
      </x:c>
      <x:c r="T343" s="0">
        <x:v>0</x:v>
      </x:c>
      <x:c r="V343" s="0">
        <x:v>166800</x:v>
      </x:c>
      <x:c r="W343" s="21">
        <x:v>0</x:v>
      </x:c>
      <x:c r="X343" s="0">
        <x:v>66000</x:v>
      </x:c>
      <x:c r="Y343" s="21">
        <x:v>0</x:v>
      </x:c>
    </x:row>
    <x:row r="344" spans="1:37" x14ac:dyDescent="0.25">
      <x:c r="A344" s="0">
        <x:f>ROW(A344)-1</x:f>
      </x:c>
      <x:c r="C344" s="0">
        <x:v>348</x:v>
      </x:c>
      <x:c r="D344" s="0" t="s">
        <x:v>117</x:v>
      </x:c>
      <x:c r="E344" s="0" t="s">
        <x:v>355</x:v>
      </x:c>
      <x:c r="F344" s="0" t="s">
        <x:v>1386</x:v>
      </x:c>
      <x:c r="G344" s="0" t="s">
        <x:v>1320</x:v>
      </x:c>
      <x:c r="M344" s="0">
        <x:v>0</x:v>
      </x:c>
      <x:c r="N344" s="0">
        <x:v>2022</x:v>
      </x:c>
      <x:c r="O344" s="0" t="s">
        <x:v>1482</x:v>
      </x:c>
      <x:c r="S344" s="0">
        <x:v>3550</x:v>
      </x:c>
      <x:c r="T344" s="0">
        <x:v>0</x:v>
      </x:c>
      <x:c r="V344" s="0">
        <x:v>82500</x:v>
      </x:c>
      <x:c r="W344" s="21">
        <x:v>0</x:v>
      </x:c>
      <x:c r="X344" s="0">
        <x:v>0</x:v>
      </x:c>
      <x:c r="Y344" s="21">
        <x:v>0</x:v>
      </x:c>
    </x:row>
    <x:row r="345" spans="1:37" x14ac:dyDescent="0.25">
      <x:c r="A345" s="0">
        <x:f>ROW(A345)-1</x:f>
      </x:c>
      <x:c r="C345" s="0">
        <x:v>618</x:v>
      </x:c>
      <x:c r="D345" s="0" t="s">
        <x:v>362</x:v>
      </x:c>
      <x:c r="E345" s="0" t="s">
        <x:v>363</x:v>
      </x:c>
      <x:c r="F345" s="0" t="s">
        <x:v>1387</x:v>
      </x:c>
      <x:c r="G345" s="0" t="s">
        <x:v>1320</x:v>
      </x:c>
      <x:c r="M345" s="0">
        <x:v>0</x:v>
      </x:c>
      <x:c r="N345" s="0">
        <x:v>2010</x:v>
      </x:c>
      <x:c r="O345" s="0" t="s">
        <x:v>1482</x:v>
      </x:c>
      <x:c r="S345" s="0">
        <x:v>250</x:v>
      </x:c>
      <x:c r="T345" s="0">
        <x:v>0</x:v>
      </x:c>
      <x:c r="V345" s="0">
        <x:v>0</x:v>
      </x:c>
      <x:c r="W345" s="21">
        <x:v>0</x:v>
      </x:c>
      <x:c r="X345" s="0">
        <x:v>0</x:v>
      </x:c>
      <x:c r="Y345" s="21">
        <x:v>0</x:v>
      </x:c>
      <x:c r="AK345" s="0" t="s">
        <x:v>1388</x:v>
      </x:c>
    </x:row>
    <x:row r="346" spans="1:37" x14ac:dyDescent="0.25">
      <x:c r="A346" s="0">
        <x:f>ROW(A346)-1</x:f>
      </x:c>
      <x:c r="C346" s="0">
        <x:v>561</x:v>
      </x:c>
      <x:c r="D346" s="0" t="s">
        <x:v>366</x:v>
      </x:c>
      <x:c r="E346" s="0" t="s">
        <x:v>367</x:v>
      </x:c>
      <x:c r="F346" s="0" t="s">
        <x:v>1389</x:v>
      </x:c>
      <x:c r="G346" s="0" t="s">
        <x:v>1320</x:v>
      </x:c>
      <x:c r="M346" s="0">
        <x:v>0</x:v>
      </x:c>
      <x:c r="N346" s="0">
        <x:v>2022</x:v>
      </x:c>
      <x:c r="O346" s="0" t="s">
        <x:v>1482</x:v>
      </x:c>
      <x:c r="S346" s="0">
        <x:v>900</x:v>
      </x:c>
      <x:c r="T346" s="0">
        <x:v>0</x:v>
      </x:c>
      <x:c r="V346" s="0">
        <x:v>0</x:v>
      </x:c>
      <x:c r="W346" s="21">
        <x:v>0</x:v>
      </x:c>
      <x:c r="X346" s="0">
        <x:v>15741</x:v>
      </x:c>
      <x:c r="Y346" s="21">
        <x:v>0</x:v>
      </x:c>
    </x:row>
    <x:row r="347" spans="1:37" x14ac:dyDescent="0.25">
      <x:c r="A347" s="0">
        <x:f>ROW(A347)-1</x:f>
      </x:c>
      <x:c r="C347" s="0">
        <x:v>475</x:v>
      </x:c>
      <x:c r="D347" s="0" t="s">
        <x:v>336</x:v>
      </x:c>
      <x:c r="E347" s="0" t="s">
        <x:v>1657</x:v>
      </x:c>
      <x:c r="F347" s="0" t="s">
        <x:v>1658</x:v>
      </x:c>
      <x:c r="G347" s="0" t="s">
        <x:v>1320</x:v>
      </x:c>
      <x:c r="M347" s="0">
        <x:v>0</x:v>
      </x:c>
      <x:c r="N347" s="0">
        <x:v>2022</x:v>
      </x:c>
      <x:c r="O347" s="0" t="s">
        <x:v>1482</x:v>
      </x:c>
      <x:c r="S347" s="0">
        <x:v>0</x:v>
      </x:c>
      <x:c r="T347" s="0">
        <x:v>0</x:v>
      </x:c>
      <x:c r="V347" s="0">
        <x:v>0</x:v>
      </x:c>
      <x:c r="W347" s="21">
        <x:v>0</x:v>
      </x:c>
      <x:c r="X347" s="0">
        <x:v>10732</x:v>
      </x:c>
      <x:c r="Y347" s="21">
        <x:v>0</x:v>
      </x:c>
    </x:row>
    <x:row r="348" spans="1:37" x14ac:dyDescent="0.25">
      <x:c r="A348" s="0">
        <x:f>ROW(A348)-1</x:f>
      </x:c>
      <x:c r="C348" s="0">
        <x:v>467</x:v>
      </x:c>
      <x:c r="D348" s="0" t="s">
        <x:v>1045</x:v>
      </x:c>
      <x:c r="E348" s="0" t="s">
        <x:v>1659</x:v>
      </x:c>
      <x:c r="F348" s="0" t="s">
        <x:v>1660</x:v>
      </x:c>
      <x:c r="G348" s="0" t="s">
        <x:v>1320</x:v>
      </x:c>
      <x:c r="M348" s="0">
        <x:v>0</x:v>
      </x:c>
      <x:c r="N348" s="0">
        <x:v>2015</x:v>
      </x:c>
      <x:c r="O348" s="0" t="s">
        <x:v>1467</x:v>
      </x:c>
      <x:c r="S348" s="0">
        <x:v>0</x:v>
      </x:c>
      <x:c r="T348" s="0">
        <x:v>0</x:v>
      </x:c>
      <x:c r="V348" s="0">
        <x:v>0</x:v>
      </x:c>
      <x:c r="W348" s="21">
        <x:v>0</x:v>
      </x:c>
      <x:c r="X348" s="0">
        <x:v>0</x:v>
      </x:c>
      <x:c r="Y348" s="21">
        <x:v>0</x:v>
      </x:c>
    </x:row>
    <x:row r="349" spans="1:37" x14ac:dyDescent="0.25">
      <x:c r="A349" s="0">
        <x:f>ROW(A349)-1</x:f>
      </x:c>
      <x:c r="C349" s="0">
        <x:v>463</x:v>
      </x:c>
      <x:c r="D349" s="0" t="s">
        <x:v>1047</x:v>
      </x:c>
      <x:c r="E349" s="0" t="s">
        <x:v>1661</x:v>
      </x:c>
      <x:c r="F349" s="0" t="s">
        <x:v>1662</x:v>
      </x:c>
      <x:c r="G349" s="0" t="s">
        <x:v>1320</x:v>
      </x:c>
      <x:c r="M349" s="0">
        <x:v>0</x:v>
      </x:c>
      <x:c r="N349" s="0">
        <x:v>2016</x:v>
      </x:c>
      <x:c r="O349" s="0" t="s">
        <x:v>1586</x:v>
      </x:c>
      <x:c r="S349" s="0">
        <x:v>0</x:v>
      </x:c>
      <x:c r="T349" s="0">
        <x:v>0</x:v>
      </x:c>
      <x:c r="V349" s="0">
        <x:v>0</x:v>
      </x:c>
      <x:c r="W349" s="21">
        <x:v>0</x:v>
      </x:c>
      <x:c r="X349" s="0">
        <x:v>0</x:v>
      </x:c>
      <x:c r="Y349" s="21">
        <x:v>0</x:v>
      </x:c>
    </x:row>
    <x:row r="350" spans="1:37" x14ac:dyDescent="0.25">
      <x:c r="A350" s="0">
        <x:f>ROW(A350)-1</x:f>
      </x:c>
      <x:c r="C350" s="0">
        <x:v>302</x:v>
      </x:c>
      <x:c r="D350" s="0" t="s">
        <x:v>372</x:v>
      </x:c>
      <x:c r="E350" s="0" t="s">
        <x:v>373</x:v>
      </x:c>
      <x:c r="F350" s="0" t="s">
        <x:v>1390</x:v>
      </x:c>
      <x:c r="G350" s="0" t="s">
        <x:v>1320</x:v>
      </x:c>
      <x:c r="M350" s="0">
        <x:v>0</x:v>
      </x:c>
      <x:c r="N350" s="0">
        <x:v>2010</x:v>
      </x:c>
      <x:c r="O350" s="0" t="s">
        <x:v>1533</x:v>
      </x:c>
      <x:c r="S350" s="0">
        <x:v>0</x:v>
      </x:c>
      <x:c r="T350" s="0">
        <x:v>0</x:v>
      </x:c>
      <x:c r="V350" s="0">
        <x:v>0</x:v>
      </x:c>
      <x:c r="W350" s="21">
        <x:v>0</x:v>
      </x:c>
      <x:c r="X350" s="0">
        <x:v>15000</x:v>
      </x:c>
      <x:c r="Y350" s="21">
        <x:v>0</x:v>
      </x:c>
      <x:c r="AK350" s="0" t="s">
        <x:v>1584</x:v>
      </x:c>
    </x:row>
    <x:row r="351" spans="1:37" x14ac:dyDescent="0.25">
      <x:c r="A351" s="0">
        <x:f>ROW(A351)-1</x:f>
      </x:c>
      <x:c r="C351" s="0">
        <x:v>673</x:v>
      </x:c>
      <x:c r="D351" s="0" t="s">
        <x:v>376</x:v>
      </x:c>
      <x:c r="E351" s="0" t="s">
        <x:v>377</x:v>
      </x:c>
      <x:c r="F351" s="0" t="s">
        <x:v>1391</x:v>
      </x:c>
      <x:c r="G351" s="0" t="s">
        <x:v>1320</x:v>
      </x:c>
      <x:c r="M351" s="0">
        <x:v>0</x:v>
      </x:c>
      <x:c r="N351" s="0">
        <x:v>2010</x:v>
      </x:c>
      <x:c r="O351" s="0" t="s">
        <x:v>1533</x:v>
      </x:c>
      <x:c r="Q351" s="0" t="s">
        <x:v>1331</x:v>
      </x:c>
      <x:c r="S351" s="0">
        <x:v>0</x:v>
      </x:c>
      <x:c r="T351" s="0">
        <x:v>0</x:v>
      </x:c>
      <x:c r="V351" s="0">
        <x:v>0</x:v>
      </x:c>
      <x:c r="W351" s="21">
        <x:v>0</x:v>
      </x:c>
      <x:c r="X351" s="0">
        <x:v>200000</x:v>
      </x:c>
      <x:c r="Y351" s="21">
        <x:v>0</x:v>
      </x:c>
      <x:c r="AK351" s="0" t="s">
        <x:v>1392</x:v>
      </x:c>
    </x:row>
    <x:row r="352" spans="1:37" x14ac:dyDescent="0.25">
      <x:c r="A352" s="0">
        <x:f>ROW(A352)-1</x:f>
      </x:c>
      <x:c r="C352" s="0">
        <x:v>672</x:v>
      </x:c>
      <x:c r="D352" s="0" t="s">
        <x:v>1051</x:v>
      </x:c>
      <x:c r="E352" s="0" t="s">
        <x:v>1663</x:v>
      </x:c>
      <x:c r="F352" s="0" t="s">
        <x:v>1365</x:v>
      </x:c>
      <x:c r="G352" s="0" t="s">
        <x:v>1320</x:v>
      </x:c>
      <x:c r="M352" s="0">
        <x:v>0</x:v>
      </x:c>
      <x:c r="N352" s="0">
        <x:v>2011</x:v>
      </x:c>
      <x:c r="O352" s="0" t="s">
        <x:v>1482</x:v>
      </x:c>
      <x:c r="S352" s="0">
        <x:v>0</x:v>
      </x:c>
      <x:c r="T352" s="0">
        <x:v>0</x:v>
      </x:c>
      <x:c r="V352" s="0">
        <x:v>0</x:v>
      </x:c>
      <x:c r="W352" s="21">
        <x:v>0</x:v>
      </x:c>
      <x:c r="X352" s="0">
        <x:v>7000</x:v>
      </x:c>
      <x:c r="Y352" s="21">
        <x:v>0</x:v>
      </x:c>
      <x:c r="AK352" s="0" t="s">
        <x:v>1664</x:v>
      </x:c>
    </x:row>
    <x:row r="353" spans="1:37" x14ac:dyDescent="0.25">
      <x:c r="A353" s="0">
        <x:f>ROW(A353)-1</x:f>
      </x:c>
      <x:c r="C353" s="0">
        <x:v>671</x:v>
      </x:c>
      <x:c r="D353" s="0" t="s">
        <x:v>379</x:v>
      </x:c>
      <x:c r="E353" s="0" t="s">
        <x:v>380</x:v>
      </x:c>
      <x:c r="F353" s="0" t="s">
        <x:v>1393</x:v>
      </x:c>
      <x:c r="G353" s="0" t="s">
        <x:v>1320</x:v>
      </x:c>
      <x:c r="M353" s="0">
        <x:v>0</x:v>
      </x:c>
      <x:c r="N353" s="0">
        <x:v>2011</x:v>
      </x:c>
      <x:c r="O353" s="0" t="s">
        <x:v>1591</x:v>
      </x:c>
      <x:c r="S353" s="0">
        <x:v>400</x:v>
      </x:c>
      <x:c r="T353" s="0">
        <x:v>0</x:v>
      </x:c>
      <x:c r="V353" s="0">
        <x:v>65000</x:v>
      </x:c>
      <x:c r="W353" s="21">
        <x:v>0</x:v>
      </x:c>
      <x:c r="X353" s="0">
        <x:v>0</x:v>
      </x:c>
      <x:c r="Y353" s="21">
        <x:v>0</x:v>
      </x:c>
      <x:c r="AK353" s="0" t="s">
        <x:v>1394</x:v>
      </x:c>
    </x:row>
    <x:row r="354" spans="1:37" x14ac:dyDescent="0.25">
      <x:c r="A354" s="0">
        <x:f>ROW(A354)-1</x:f>
      </x:c>
      <x:c r="C354" s="0">
        <x:v>666</x:v>
      </x:c>
      <x:c r="D354" s="0" t="s">
        <x:v>382</x:v>
      </x:c>
      <x:c r="E354" s="0" t="s">
        <x:v>383</x:v>
      </x:c>
      <x:c r="F354" s="0" t="s">
        <x:v>1395</x:v>
      </x:c>
      <x:c r="G354" s="0" t="s">
        <x:v>1320</x:v>
      </x:c>
      <x:c r="M354" s="0">
        <x:v>0</x:v>
      </x:c>
      <x:c r="N354" s="0">
        <x:v>2011</x:v>
      </x:c>
      <x:c r="O354" s="0" t="s">
        <x:v>1586</x:v>
      </x:c>
      <x:c r="S354" s="0">
        <x:v>70</x:v>
      </x:c>
      <x:c r="T354" s="0">
        <x:v>0</x:v>
      </x:c>
      <x:c r="V354" s="0">
        <x:v>0</x:v>
      </x:c>
      <x:c r="W354" s="21">
        <x:v>0</x:v>
      </x:c>
      <x:c r="X354" s="0">
        <x:v>0</x:v>
      </x:c>
      <x:c r="Y354" s="21">
        <x:v>0</x:v>
      </x:c>
      <x:c r="AK354" s="0" t="s">
        <x:v>1396</x:v>
      </x:c>
    </x:row>
    <x:row r="355" spans="1:37" x14ac:dyDescent="0.25">
      <x:c r="A355" s="0">
        <x:f>ROW(A355)-1</x:f>
      </x:c>
      <x:c r="C355" s="0">
        <x:v>664</x:v>
      </x:c>
      <x:c r="D355" s="0" t="s">
        <x:v>386</x:v>
      </x:c>
      <x:c r="E355" s="0" t="s">
        <x:v>387</x:v>
      </x:c>
      <x:c r="F355" s="0" t="s">
        <x:v>1365</x:v>
      </x:c>
      <x:c r="G355" s="0" t="s">
        <x:v>1320</x:v>
      </x:c>
      <x:c r="M355" s="0">
        <x:v>0</x:v>
      </x:c>
      <x:c r="N355" s="0">
        <x:v>2011</x:v>
      </x:c>
      <x:c r="O355" s="0" t="s">
        <x:v>1533</x:v>
      </x:c>
      <x:c r="S355" s="0">
        <x:v>0</x:v>
      </x:c>
      <x:c r="T355" s="0">
        <x:v>0</x:v>
      </x:c>
      <x:c r="V355" s="0">
        <x:v>0</x:v>
      </x:c>
      <x:c r="W355" s="21">
        <x:v>0</x:v>
      </x:c>
      <x:c r="X355" s="0">
        <x:v>0</x:v>
      </x:c>
      <x:c r="Y355" s="21">
        <x:v>0</x:v>
      </x:c>
      <x:c r="AK355" s="0" t="s">
        <x:v>1397</x:v>
      </x:c>
    </x:row>
    <x:row r="356" spans="1:37" x14ac:dyDescent="0.25">
      <x:c r="A356" s="0">
        <x:f>ROW(A356)-1</x:f>
      </x:c>
      <x:c r="C356" s="0">
        <x:v>688</x:v>
      </x:c>
      <x:c r="D356" s="0" t="s">
        <x:v>390</x:v>
      </x:c>
      <x:c r="E356" s="0" t="s">
        <x:v>391</x:v>
      </x:c>
      <x:c r="F356" s="0" t="s">
        <x:v>1387</x:v>
      </x:c>
      <x:c r="G356" s="0" t="s">
        <x:v>1320</x:v>
      </x:c>
      <x:c r="M356" s="0">
        <x:v>0</x:v>
      </x:c>
      <x:c r="N356" s="0">
        <x:v>2011</x:v>
      </x:c>
      <x:c r="O356" s="0" t="s">
        <x:v>1482</x:v>
      </x:c>
      <x:c r="S356" s="0">
        <x:v>0</x:v>
      </x:c>
      <x:c r="T356" s="0">
        <x:v>0</x:v>
      </x:c>
      <x:c r="V356" s="0">
        <x:v>0</x:v>
      </x:c>
      <x:c r="W356" s="21">
        <x:v>0</x:v>
      </x:c>
      <x:c r="X356" s="0">
        <x:v>0</x:v>
      </x:c>
      <x:c r="Y356" s="21">
        <x:v>0</x:v>
      </x:c>
      <x:c r="AK356" s="0" t="s">
        <x:v>1398</x:v>
      </x:c>
    </x:row>
    <x:row r="357" spans="1:37" x14ac:dyDescent="0.25">
      <x:c r="A357" s="0">
        <x:f>ROW(A357)-1</x:f>
      </x:c>
      <x:c r="C357" s="0">
        <x:v>663</x:v>
      </x:c>
      <x:c r="D357" s="0" t="s">
        <x:v>1055</x:v>
      </x:c>
      <x:c r="E357" s="0" t="s">
        <x:v>1665</x:v>
      </x:c>
      <x:c r="F357" s="0" t="s">
        <x:v>1365</x:v>
      </x:c>
      <x:c r="G357" s="0" t="s">
        <x:v>1320</x:v>
      </x:c>
      <x:c r="M357" s="0">
        <x:v>0</x:v>
      </x:c>
      <x:c r="N357" s="0">
        <x:v>2011</x:v>
      </x:c>
      <x:c r="O357" s="0" t="s">
        <x:v>1583</x:v>
      </x:c>
      <x:c r="S357" s="0">
        <x:v>0</x:v>
      </x:c>
      <x:c r="T357" s="0">
        <x:v>0</x:v>
      </x:c>
      <x:c r="V357" s="0">
        <x:v>0</x:v>
      </x:c>
      <x:c r="W357" s="21">
        <x:v>0</x:v>
      </x:c>
      <x:c r="X357" s="0">
        <x:v>0</x:v>
      </x:c>
      <x:c r="Y357" s="21">
        <x:v>0</x:v>
      </x:c>
      <x:c r="AK357" s="0" t="s">
        <x:v>1666</x:v>
      </x:c>
    </x:row>
    <x:row r="358" spans="1:37" x14ac:dyDescent="0.25">
      <x:c r="A358" s="0">
        <x:f>ROW(A358)-1</x:f>
      </x:c>
      <x:c r="C358" s="0">
        <x:v>624</x:v>
      </x:c>
      <x:c r="D358" s="0" t="s">
        <x:v>396</x:v>
      </x:c>
      <x:c r="E358" s="0" t="s">
        <x:v>397</x:v>
      </x:c>
      <x:c r="F358" s="0" t="s">
        <x:v>1399</x:v>
      </x:c>
      <x:c r="G358" s="0" t="s">
        <x:v>1320</x:v>
      </x:c>
      <x:c r="M358" s="0">
        <x:v>0</x:v>
      </x:c>
      <x:c r="N358" s="0">
        <x:v>2010</x:v>
      </x:c>
      <x:c r="O358" s="0" t="s">
        <x:v>1583</x:v>
      </x:c>
      <x:c r="S358" s="0">
        <x:v>0</x:v>
      </x:c>
      <x:c r="T358" s="0">
        <x:v>0</x:v>
      </x:c>
      <x:c r="V358" s="0">
        <x:v>0</x:v>
      </x:c>
      <x:c r="W358" s="21">
        <x:v>0</x:v>
      </x:c>
      <x:c r="X358" s="0">
        <x:v>0</x:v>
      </x:c>
      <x:c r="Y358" s="21">
        <x:v>0</x:v>
      </x:c>
      <x:c r="AK358" s="0" t="s">
        <x:v>1400</x:v>
      </x:c>
    </x:row>
    <x:row r="359" spans="1:37" x14ac:dyDescent="0.25">
      <x:c r="A359" s="0">
        <x:f>ROW(A359)-1</x:f>
      </x:c>
      <x:c r="C359" s="0">
        <x:v>616</x:v>
      </x:c>
      <x:c r="D359" s="0" t="s">
        <x:v>400</x:v>
      </x:c>
      <x:c r="E359" s="0" t="s">
        <x:v>401</x:v>
      </x:c>
      <x:c r="F359" s="0" t="s">
        <x:v>1401</x:v>
      </x:c>
      <x:c r="G359" s="0" t="s">
        <x:v>1320</x:v>
      </x:c>
      <x:c r="M359" s="0">
        <x:v>0</x:v>
      </x:c>
      <x:c r="N359" s="0">
        <x:v>2010</x:v>
      </x:c>
      <x:c r="O359" s="0" t="s">
        <x:v>1533</x:v>
      </x:c>
      <x:c r="S359" s="0">
        <x:v>0</x:v>
      </x:c>
      <x:c r="T359" s="0">
        <x:v>0</x:v>
      </x:c>
      <x:c r="V359" s="0">
        <x:v>0</x:v>
      </x:c>
      <x:c r="W359" s="21">
        <x:v>0</x:v>
      </x:c>
      <x:c r="X359" s="0">
        <x:v>0</x:v>
      </x:c>
      <x:c r="Y359" s="21">
        <x:v>0</x:v>
      </x:c>
      <x:c r="AK359" s="0" t="s">
        <x:v>1402</x:v>
      </x:c>
    </x:row>
    <x:row r="360" spans="1:37" x14ac:dyDescent="0.25">
      <x:c r="A360" s="0">
        <x:f>ROW(A360)-1</x:f>
      </x:c>
      <x:c r="C360" s="0">
        <x:v>614</x:v>
      </x:c>
      <x:c r="D360" s="0" t="s">
        <x:v>1058</x:v>
      </x:c>
      <x:c r="E360" s="0" t="s">
        <x:v>1667</x:v>
      </x:c>
      <x:c r="F360" s="0" t="s">
        <x:v>1365</x:v>
      </x:c>
      <x:c r="G360" s="0" t="s">
        <x:v>1320</x:v>
      </x:c>
      <x:c r="M360" s="0">
        <x:v>0</x:v>
      </x:c>
      <x:c r="N360" s="0">
        <x:v>2010</x:v>
      </x:c>
      <x:c r="O360" s="0" t="s">
        <x:v>1482</x:v>
      </x:c>
      <x:c r="S360" s="0">
        <x:v>10080</x:v>
      </x:c>
      <x:c r="T360" s="0">
        <x:v>0</x:v>
      </x:c>
      <x:c r="V360" s="0">
        <x:v>0</x:v>
      </x:c>
      <x:c r="W360" s="21">
        <x:v>0</x:v>
      </x:c>
      <x:c r="X360" s="0">
        <x:v>0</x:v>
      </x:c>
      <x:c r="Y360" s="21">
        <x:v>0</x:v>
      </x:c>
      <x:c r="AK360" s="0" t="s">
        <x:v>1668</x:v>
      </x:c>
    </x:row>
    <x:row r="361" spans="1:37" x14ac:dyDescent="0.25">
      <x:c r="A361" s="0">
        <x:f>ROW(A361)-1</x:f>
      </x:c>
      <x:c r="C361" s="0">
        <x:v>613</x:v>
      </x:c>
      <x:c r="D361" s="0" t="s">
        <x:v>403</x:v>
      </x:c>
      <x:c r="E361" s="0" t="s">
        <x:v>404</x:v>
      </x:c>
      <x:c r="F361" s="0" t="s">
        <x:v>1365</x:v>
      </x:c>
      <x:c r="G361" s="0" t="s">
        <x:v>1320</x:v>
      </x:c>
      <x:c r="M361" s="0">
        <x:v>0</x:v>
      </x:c>
      <x:c r="N361" s="0">
        <x:v>2010</x:v>
      </x:c>
      <x:c r="O361" s="0" t="s">
        <x:v>1482</x:v>
      </x:c>
      <x:c r="Q361" s="0" t="s">
        <x:v>1669</x:v>
      </x:c>
      <x:c r="S361" s="0">
        <x:v>0</x:v>
      </x:c>
      <x:c r="T361" s="0">
        <x:v>0</x:v>
      </x:c>
      <x:c r="V361" s="0">
        <x:v>0</x:v>
      </x:c>
      <x:c r="W361" s="21">
        <x:v>0</x:v>
      </x:c>
      <x:c r="X361" s="0">
        <x:v>0</x:v>
      </x:c>
      <x:c r="Y361" s="21">
        <x:v>0</x:v>
      </x:c>
      <x:c r="AK361" s="0" t="s">
        <x:v>1670</x:v>
      </x:c>
    </x:row>
    <x:row r="362" spans="1:37" x14ac:dyDescent="0.25">
      <x:c r="A362" s="0">
        <x:f>ROW(A362)-1</x:f>
      </x:c>
      <x:c r="C362" s="0">
        <x:v>612</x:v>
      </x:c>
      <x:c r="D362" s="0" t="s">
        <x:v>406</x:v>
      </x:c>
      <x:c r="E362" s="0" t="s">
        <x:v>407</x:v>
      </x:c>
      <x:c r="F362" s="0" t="s">
        <x:v>1405</x:v>
      </x:c>
      <x:c r="G362" s="0" t="s">
        <x:v>1320</x:v>
      </x:c>
      <x:c r="M362" s="0">
        <x:v>0</x:v>
      </x:c>
      <x:c r="N362" s="0">
        <x:v>2010</x:v>
      </x:c>
      <x:c r="O362" s="0" t="s">
        <x:v>1482</x:v>
      </x:c>
      <x:c r="S362" s="0">
        <x:v>0</x:v>
      </x:c>
      <x:c r="T362" s="0">
        <x:v>0</x:v>
      </x:c>
      <x:c r="V362" s="0">
        <x:v>0</x:v>
      </x:c>
      <x:c r="W362" s="21">
        <x:v>0</x:v>
      </x:c>
      <x:c r="X362" s="0">
        <x:v>0</x:v>
      </x:c>
      <x:c r="Y362" s="21">
        <x:v>0</x:v>
      </x:c>
      <x:c r="AK362" s="0" t="s">
        <x:v>1406</x:v>
      </x:c>
    </x:row>
    <x:row r="363" spans="1:37" x14ac:dyDescent="0.25">
      <x:c r="A363" s="0">
        <x:f>ROW(A363)-1</x:f>
      </x:c>
      <x:c r="C363" s="0">
        <x:v>611</x:v>
      </x:c>
      <x:c r="D363" s="0" t="s">
        <x:v>408</x:v>
      </x:c>
      <x:c r="E363" s="0" t="s">
        <x:v>409</x:v>
      </x:c>
      <x:c r="F363" s="0" t="s">
        <x:v>1407</x:v>
      </x:c>
      <x:c r="G363" s="0" t="s">
        <x:v>1320</x:v>
      </x:c>
      <x:c r="M363" s="0">
        <x:v>0</x:v>
      </x:c>
      <x:c r="N363" s="0">
        <x:v>2010</x:v>
      </x:c>
      <x:c r="O363" s="0" t="s">
        <x:v>1482</x:v>
      </x:c>
      <x:c r="S363" s="0">
        <x:v>1500</x:v>
      </x:c>
      <x:c r="T363" s="0">
        <x:v>0</x:v>
      </x:c>
      <x:c r="V363" s="0">
        <x:v>0</x:v>
      </x:c>
      <x:c r="W363" s="21">
        <x:v>0</x:v>
      </x:c>
      <x:c r="X363" s="0">
        <x:v>0</x:v>
      </x:c>
      <x:c r="Y363" s="21">
        <x:v>0</x:v>
      </x:c>
      <x:c r="AK363" s="0" t="s">
        <x:v>1408</x:v>
      </x:c>
    </x:row>
    <x:row r="364" spans="1:37" x14ac:dyDescent="0.25">
      <x:c r="A364" s="0">
        <x:f>ROW(A364)-1</x:f>
      </x:c>
      <x:c r="C364" s="0">
        <x:v>609</x:v>
      </x:c>
      <x:c r="D364" s="0" t="s">
        <x:v>414</x:v>
      </x:c>
      <x:c r="E364" s="0" t="s">
        <x:v>415</x:v>
      </x:c>
      <x:c r="F364" s="0" t="s">
        <x:v>1409</x:v>
      </x:c>
      <x:c r="G364" s="0" t="s">
        <x:v>1320</x:v>
      </x:c>
      <x:c r="M364" s="0">
        <x:v>0</x:v>
      </x:c>
      <x:c r="N364" s="0">
        <x:v>2010</x:v>
      </x:c>
      <x:c r="O364" s="0" t="s">
        <x:v>1583</x:v>
      </x:c>
      <x:c r="S364" s="0">
        <x:v>50</x:v>
      </x:c>
      <x:c r="T364" s="0">
        <x:v>0</x:v>
      </x:c>
      <x:c r="V364" s="0">
        <x:v>0</x:v>
      </x:c>
      <x:c r="W364" s="21">
        <x:v>0</x:v>
      </x:c>
      <x:c r="X364" s="0">
        <x:v>80000</x:v>
      </x:c>
      <x:c r="Y364" s="21">
        <x:v>0</x:v>
      </x:c>
      <x:c r="AK364" s="0" t="s">
        <x:v>1410</x:v>
      </x:c>
    </x:row>
    <x:row r="365" spans="1:37" x14ac:dyDescent="0.25">
      <x:c r="A365" s="0">
        <x:f>ROW(A365)-1</x:f>
      </x:c>
      <x:c r="C365" s="0">
        <x:v>693</x:v>
      </x:c>
      <x:c r="D365" s="0" t="s">
        <x:v>416</x:v>
      </x:c>
      <x:c r="E365" s="0" t="s">
        <x:v>417</x:v>
      </x:c>
      <x:c r="F365" s="0" t="s">
        <x:v>1365</x:v>
      </x:c>
      <x:c r="G365" s="0" t="s">
        <x:v>1320</x:v>
      </x:c>
      <x:c r="M365" s="0">
        <x:v>0</x:v>
      </x:c>
      <x:c r="N365" s="0">
        <x:v>2011</x:v>
      </x:c>
      <x:c r="O365" s="0" t="s">
        <x:v>1591</x:v>
      </x:c>
      <x:c r="S365" s="0">
        <x:v>0</x:v>
      </x:c>
      <x:c r="T365" s="0">
        <x:v>525</x:v>
      </x:c>
      <x:c r="V365" s="0">
        <x:v>0</x:v>
      </x:c>
      <x:c r="W365" s="21">
        <x:v>0</x:v>
      </x:c>
      <x:c r="X365" s="0">
        <x:v>0</x:v>
      </x:c>
      <x:c r="Y365" s="21">
        <x:v>0</x:v>
      </x:c>
      <x:c r="AK365" s="0" t="s">
        <x:v>1411</x:v>
      </x:c>
    </x:row>
    <x:row r="366" spans="1:37" x14ac:dyDescent="0.25">
      <x:c r="A366" s="0">
        <x:f>ROW(A366)-1</x:f>
      </x:c>
      <x:c r="C366" s="0">
        <x:v>568</x:v>
      </x:c>
      <x:c r="D366" s="0" t="s">
        <x:v>421</x:v>
      </x:c>
      <x:c r="E366" s="0" t="s">
        <x:v>422</x:v>
      </x:c>
      <x:c r="F366" s="0" t="s">
        <x:v>1412</x:v>
      </x:c>
      <x:c r="G366" s="0" t="s">
        <x:v>1320</x:v>
      </x:c>
      <x:c r="M366" s="0">
        <x:v>0</x:v>
      </x:c>
      <x:c r="N366" s="0">
        <x:v>2009</x:v>
      </x:c>
      <x:c r="O366" s="0" t="s">
        <x:v>1583</x:v>
      </x:c>
      <x:c r="S366" s="0">
        <x:v>0</x:v>
      </x:c>
      <x:c r="T366" s="0">
        <x:v>0</x:v>
      </x:c>
      <x:c r="V366" s="0">
        <x:v>0</x:v>
      </x:c>
      <x:c r="W366" s="21">
        <x:v>0</x:v>
      </x:c>
      <x:c r="X366" s="0">
        <x:v>0</x:v>
      </x:c>
      <x:c r="Y366" s="21">
        <x:v>0</x:v>
      </x:c>
      <x:c r="AK366" s="0" t="s">
        <x:v>1413</x:v>
      </x:c>
    </x:row>
    <x:row r="367" spans="1:37" x14ac:dyDescent="0.25">
      <x:c r="A367" s="0">
        <x:f>ROW(A367)-1</x:f>
      </x:c>
      <x:c r="C367" s="0">
        <x:v>567</x:v>
      </x:c>
      <x:c r="D367" s="0" t="s">
        <x:v>1059</x:v>
      </x:c>
      <x:c r="E367" s="0" t="s">
        <x:v>1671</x:v>
      </x:c>
      <x:c r="F367" s="0" t="s">
        <x:v>1672</x:v>
      </x:c>
      <x:c r="G367" s="0" t="s">
        <x:v>1320</x:v>
      </x:c>
      <x:c r="M367" s="0">
        <x:v>0</x:v>
      </x:c>
      <x:c r="N367" s="0">
        <x:v>2009</x:v>
      </x:c>
      <x:c r="O367" s="0" t="s">
        <x:v>1586</x:v>
      </x:c>
      <x:c r="S367" s="0">
        <x:v>0</x:v>
      </x:c>
      <x:c r="T367" s="0">
        <x:v>0</x:v>
      </x:c>
      <x:c r="V367" s="0">
        <x:v>0</x:v>
      </x:c>
      <x:c r="W367" s="21">
        <x:v>0</x:v>
      </x:c>
      <x:c r="X367" s="0">
        <x:v>0</x:v>
      </x:c>
      <x:c r="Y367" s="21">
        <x:v>0</x:v>
      </x:c>
      <x:c r="AK367" s="0" t="s">
        <x:v>1673</x:v>
      </x:c>
    </x:row>
    <x:row r="368" spans="1:37" x14ac:dyDescent="0.25">
      <x:c r="A368" s="0">
        <x:f>ROW(A368)-1</x:f>
      </x:c>
      <x:c r="C368" s="0">
        <x:v>594</x:v>
      </x:c>
      <x:c r="D368" s="0" t="s">
        <x:v>423</x:v>
      </x:c>
      <x:c r="E368" s="0" t="s">
        <x:v>424</x:v>
      </x:c>
      <x:c r="F368" s="0" t="s">
        <x:v>1414</x:v>
      </x:c>
      <x:c r="G368" s="0" t="s">
        <x:v>1320</x:v>
      </x:c>
      <x:c r="M368" s="0">
        <x:v>0</x:v>
      </x:c>
      <x:c r="N368" s="0">
        <x:v>2010</x:v>
      </x:c>
      <x:c r="O368" s="0" t="s">
        <x:v>1441</x:v>
      </x:c>
      <x:c r="Q368" s="0" t="s">
        <x:v>1368</x:v>
      </x:c>
      <x:c r="S368" s="0">
        <x:v>2340</x:v>
      </x:c>
      <x:c r="T368" s="0">
        <x:v>0</x:v>
      </x:c>
      <x:c r="V368" s="0">
        <x:v>0</x:v>
      </x:c>
      <x:c r="W368" s="21">
        <x:v>0</x:v>
      </x:c>
      <x:c r="X368" s="0">
        <x:v>0</x:v>
      </x:c>
      <x:c r="Y368" s="21">
        <x:v>0</x:v>
      </x:c>
      <x:c r="AK368" s="0" t="s">
        <x:v>1415</x:v>
      </x:c>
    </x:row>
    <x:row r="369" spans="1:37" x14ac:dyDescent="0.25">
      <x:c r="A369" s="0">
        <x:f>ROW(A369)-1</x:f>
      </x:c>
      <x:c r="C369" s="0">
        <x:v>593</x:v>
      </x:c>
      <x:c r="D369" s="0" t="s">
        <x:v>428</x:v>
      </x:c>
      <x:c r="E369" s="0" t="s">
        <x:v>429</x:v>
      </x:c>
      <x:c r="F369" s="0" t="s">
        <x:v>1377</x:v>
      </x:c>
      <x:c r="G369" s="0" t="s">
        <x:v>1320</x:v>
      </x:c>
      <x:c r="M369" s="0">
        <x:v>0</x:v>
      </x:c>
      <x:c r="N369" s="0">
        <x:v>2010</x:v>
      </x:c>
      <x:c r="O369" s="0" t="s">
        <x:v>1591</x:v>
      </x:c>
      <x:c r="S369" s="0">
        <x:v>662</x:v>
      </x:c>
      <x:c r="T369" s="0">
        <x:v>0</x:v>
      </x:c>
      <x:c r="V369" s="0">
        <x:v>0</x:v>
      </x:c>
      <x:c r="W369" s="21">
        <x:v>0</x:v>
      </x:c>
      <x:c r="X369" s="0">
        <x:v>0</x:v>
      </x:c>
      <x:c r="Y369" s="21">
        <x:v>0</x:v>
      </x:c>
      <x:c r="AK369" s="0" t="s">
        <x:v>1416</x:v>
      </x:c>
    </x:row>
    <x:row r="370" spans="1:37" x14ac:dyDescent="0.25">
      <x:c r="A370" s="0">
        <x:f>ROW(A370)-1</x:f>
      </x:c>
      <x:c r="C370" s="0">
        <x:v>592</x:v>
      </x:c>
      <x:c r="D370" s="0" t="s">
        <x:v>1061</x:v>
      </x:c>
      <x:c r="E370" s="0" t="s">
        <x:v>1674</x:v>
      </x:c>
      <x:c r="F370" s="0" t="s">
        <x:v>1675</x:v>
      </x:c>
      <x:c r="G370" s="0" t="s">
        <x:v>1320</x:v>
      </x:c>
      <x:c r="M370" s="0">
        <x:v>0</x:v>
      </x:c>
      <x:c r="N370" s="0">
        <x:v>2010</x:v>
      </x:c>
      <x:c r="O370" s="0" t="s">
        <x:v>1533</x:v>
      </x:c>
      <x:c r="S370" s="0">
        <x:v>0</x:v>
      </x:c>
      <x:c r="T370" s="0">
        <x:v>0</x:v>
      </x:c>
      <x:c r="W370" s="21">
        <x:v>0</x:v>
      </x:c>
      <x:c r="X370" s="0">
        <x:v>5414</x:v>
      </x:c>
      <x:c r="Y370" s="21">
        <x:v>0</x:v>
      </x:c>
      <x:c r="AK370" s="0" t="s">
        <x:v>1676</x:v>
      </x:c>
    </x:row>
    <x:row r="371" spans="1:37" x14ac:dyDescent="0.25">
      <x:c r="A371" s="0">
        <x:f>ROW(A371)-1</x:f>
      </x:c>
      <x:c r="C371" s="0">
        <x:v>590</x:v>
      </x:c>
      <x:c r="D371" s="0" t="s">
        <x:v>431</x:v>
      </x:c>
      <x:c r="E371" s="0" t="s">
        <x:v>432</x:v>
      </x:c>
      <x:c r="F371" s="0" t="s">
        <x:v>1365</x:v>
      </x:c>
      <x:c r="G371" s="0" t="s">
        <x:v>1320</x:v>
      </x:c>
      <x:c r="M371" s="0">
        <x:v>0</x:v>
      </x:c>
      <x:c r="N371" s="0">
        <x:v>2010</x:v>
      </x:c>
      <x:c r="O371" s="0" t="s">
        <x:v>1586</x:v>
      </x:c>
      <x:c r="Q371" s="0" t="s">
        <x:v>1417</x:v>
      </x:c>
      <x:c r="S371" s="0">
        <x:v>1500</x:v>
      </x:c>
      <x:c r="T371" s="0">
        <x:v>0</x:v>
      </x:c>
      <x:c r="V371" s="0">
        <x:v>350000</x:v>
      </x:c>
      <x:c r="W371" s="21">
        <x:v>0</x:v>
      </x:c>
      <x:c r="X371" s="0">
        <x:v>60000</x:v>
      </x:c>
      <x:c r="Y371" s="21">
        <x:v>8100</x:v>
      </x:c>
      <x:c r="AK371" s="0" t="s">
        <x:v>1418</x:v>
      </x:c>
    </x:row>
    <x:row r="372" spans="1:37" x14ac:dyDescent="0.25">
      <x:c r="A372" s="0">
        <x:f>ROW(A372)-1</x:f>
      </x:c>
      <x:c r="C372" s="0">
        <x:v>587</x:v>
      </x:c>
      <x:c r="D372" s="0" t="s">
        <x:v>433</x:v>
      </x:c>
      <x:c r="E372" s="0" t="s">
        <x:v>434</x:v>
      </x:c>
      <x:c r="F372" s="0" t="s">
        <x:v>1365</x:v>
      </x:c>
      <x:c r="G372" s="0" t="s">
        <x:v>1320</x:v>
      </x:c>
      <x:c r="M372" s="0">
        <x:v>0</x:v>
      </x:c>
      <x:c r="N372" s="0">
        <x:v>2010</x:v>
      </x:c>
      <x:c r="O372" s="0" t="s">
        <x:v>1583</x:v>
      </x:c>
      <x:c r="S372" s="0">
        <x:v>0</x:v>
      </x:c>
      <x:c r="T372" s="0">
        <x:v>0</x:v>
      </x:c>
      <x:c r="V372" s="0">
        <x:v>0</x:v>
      </x:c>
      <x:c r="W372" s="21">
        <x:v>0</x:v>
      </x:c>
      <x:c r="X372" s="0">
        <x:v>0</x:v>
      </x:c>
      <x:c r="Y372" s="21">
        <x:v>0</x:v>
      </x:c>
      <x:c r="AK372" s="0" t="s">
        <x:v>1419</x:v>
      </x:c>
    </x:row>
    <x:row r="373" spans="1:37" x14ac:dyDescent="0.25">
      <x:c r="A373" s="0">
        <x:f>ROW(A373)-1</x:f>
      </x:c>
      <x:c r="C373" s="0">
        <x:v>579</x:v>
      </x:c>
      <x:c r="D373" s="0" t="s">
        <x:v>435</x:v>
      </x:c>
      <x:c r="E373" s="0" t="s">
        <x:v>436</x:v>
      </x:c>
      <x:c r="F373" s="0" t="s">
        <x:v>1365</x:v>
      </x:c>
      <x:c r="G373" s="0" t="s">
        <x:v>1320</x:v>
      </x:c>
      <x:c r="M373" s="0">
        <x:v>0</x:v>
      </x:c>
      <x:c r="N373" s="0">
        <x:v>2009</x:v>
      </x:c>
      <x:c r="O373" s="0" t="s">
        <x:v>1583</x:v>
      </x:c>
      <x:c r="S373" s="0">
        <x:v>300</x:v>
      </x:c>
      <x:c r="T373" s="0">
        <x:v>0</x:v>
      </x:c>
      <x:c r="V373" s="0">
        <x:v>0</x:v>
      </x:c>
      <x:c r="W373" s="21">
        <x:v>0</x:v>
      </x:c>
      <x:c r="X373" s="0">
        <x:v>0</x:v>
      </x:c>
      <x:c r="Y373" s="21">
        <x:v>0</x:v>
      </x:c>
      <x:c r="AK373" s="0" t="s">
        <x:v>1420</x:v>
      </x:c>
    </x:row>
    <x:row r="374" spans="1:37" x14ac:dyDescent="0.25">
      <x:c r="A374" s="0">
        <x:f>ROW(A374)-1</x:f>
      </x:c>
      <x:c r="C374" s="0">
        <x:v>576</x:v>
      </x:c>
      <x:c r="D374" s="0" t="s">
        <x:v>439</x:v>
      </x:c>
      <x:c r="E374" s="0" t="s">
        <x:v>440</x:v>
      </x:c>
      <x:c r="F374" s="0" t="s">
        <x:v>1365</x:v>
      </x:c>
      <x:c r="G374" s="0" t="s">
        <x:v>1320</x:v>
      </x:c>
      <x:c r="M374" s="0">
        <x:v>0</x:v>
      </x:c>
      <x:c r="N374" s="0">
        <x:v>2010</x:v>
      </x:c>
      <x:c r="O374" s="0" t="s">
        <x:v>1586</x:v>
      </x:c>
      <x:c r="Q374" s="0" t="s">
        <x:v>1368</x:v>
      </x:c>
      <x:c r="S374" s="0">
        <x:v>0</x:v>
      </x:c>
      <x:c r="T374" s="0">
        <x:v>0</x:v>
      </x:c>
      <x:c r="V374" s="0">
        <x:v>18000</x:v>
      </x:c>
      <x:c r="W374" s="21">
        <x:v>0</x:v>
      </x:c>
      <x:c r="X374" s="0">
        <x:v>20000</x:v>
      </x:c>
      <x:c r="Y374" s="21">
        <x:v>0</x:v>
      </x:c>
      <x:c r="AK374" s="0" t="s">
        <x:v>1421</x:v>
      </x:c>
    </x:row>
    <x:row r="375" spans="1:37" x14ac:dyDescent="0.25">
      <x:c r="A375" s="0">
        <x:f>ROW(A375)-1</x:f>
      </x:c>
      <x:c r="C375" s="0">
        <x:v>575</x:v>
      </x:c>
      <x:c r="D375" s="0" t="s">
        <x:v>442</x:v>
      </x:c>
      <x:c r="E375" s="0" t="s">
        <x:v>443</x:v>
      </x:c>
      <x:c r="F375" s="0" t="s">
        <x:v>1365</x:v>
      </x:c>
      <x:c r="G375" s="0" t="s">
        <x:v>1320</x:v>
      </x:c>
      <x:c r="M375" s="0">
        <x:v>0</x:v>
      </x:c>
      <x:c r="N375" s="0">
        <x:v>2009</x:v>
      </x:c>
      <x:c r="O375" s="0" t="s">
        <x:v>1533</x:v>
      </x:c>
      <x:c r="S375" s="0">
        <x:v>0</x:v>
      </x:c>
      <x:c r="T375" s="0">
        <x:v>0</x:v>
      </x:c>
      <x:c r="V375" s="0">
        <x:v>0</x:v>
      </x:c>
      <x:c r="W375" s="21">
        <x:v>0</x:v>
      </x:c>
      <x:c r="X375" s="0">
        <x:v>0</x:v>
      </x:c>
      <x:c r="Y375" s="21">
        <x:v>0</x:v>
      </x:c>
      <x:c r="AK375" s="0" t="s">
        <x:v>1422</x:v>
      </x:c>
    </x:row>
    <x:row r="376" spans="1:37" x14ac:dyDescent="0.25">
      <x:c r="A376" s="0">
        <x:f>ROW(A376)-1</x:f>
      </x:c>
      <x:c r="C376" s="0">
        <x:v>565</x:v>
      </x:c>
      <x:c r="D376" s="0" t="s">
        <x:v>1064</x:v>
      </x:c>
      <x:c r="E376" s="0" t="s">
        <x:v>1677</x:v>
      </x:c>
      <x:c r="G376" s="0" t="s">
        <x:v>1320</x:v>
      </x:c>
      <x:c r="M376" s="0">
        <x:v>0</x:v>
      </x:c>
      <x:c r="N376" s="0">
        <x:v>2009</x:v>
      </x:c>
      <x:c r="S376" s="0">
        <x:v>0</x:v>
      </x:c>
      <x:c r="T376" s="0">
        <x:v>0</x:v>
      </x:c>
      <x:c r="V376" s="0">
        <x:v>0</x:v>
      </x:c>
      <x:c r="W376" s="21">
        <x:v>0</x:v>
      </x:c>
      <x:c r="X376" s="0">
        <x:v>0</x:v>
      </x:c>
      <x:c r="Y376" s="21">
        <x:v>0</x:v>
      </x:c>
      <x:c r="AK376" s="0" t="s">
        <x:v>1678</x:v>
      </x:c>
    </x:row>
    <x:row r="377" spans="1:37" x14ac:dyDescent="0.25">
      <x:c r="A377" s="0">
        <x:f>ROW(A377)-1</x:f>
      </x:c>
      <x:c r="C377" s="0">
        <x:v>555</x:v>
      </x:c>
      <x:c r="D377" s="0" t="s">
        <x:v>445</x:v>
      </x:c>
      <x:c r="E377" s="0" t="s">
        <x:v>446</x:v>
      </x:c>
      <x:c r="F377" s="0" t="s">
        <x:v>1423</x:v>
      </x:c>
      <x:c r="G377" s="0" t="s">
        <x:v>1320</x:v>
      </x:c>
      <x:c r="M377" s="0">
        <x:v>0</x:v>
      </x:c>
      <x:c r="N377" s="0">
        <x:v>2009</x:v>
      </x:c>
      <x:c r="O377" s="0" t="s">
        <x:v>1441</x:v>
      </x:c>
      <x:c r="Q377" s="0" t="s">
        <x:v>1368</x:v>
      </x:c>
      <x:c r="S377" s="0">
        <x:v>0</x:v>
      </x:c>
      <x:c r="T377" s="0">
        <x:v>0</x:v>
      </x:c>
      <x:c r="V377" s="0">
        <x:v>0</x:v>
      </x:c>
      <x:c r="W377" s="21">
        <x:v>0</x:v>
      </x:c>
      <x:c r="X377" s="0">
        <x:v>122300</x:v>
      </x:c>
      <x:c r="Y377" s="21">
        <x:v>0</x:v>
      </x:c>
      <x:c r="AK377" s="0" t="s">
        <x:v>1424</x:v>
      </x:c>
    </x:row>
    <x:row r="378" spans="1:37" x14ac:dyDescent="0.25">
      <x:c r="A378" s="0">
        <x:f>ROW(A378)-1</x:f>
      </x:c>
      <x:c r="C378" s="0">
        <x:v>552</x:v>
      </x:c>
      <x:c r="D378" s="0" t="s">
        <x:v>1065</x:v>
      </x:c>
      <x:c r="E378" s="0" t="s">
        <x:v>1679</x:v>
      </x:c>
      <x:c r="G378" s="0" t="s">
        <x:v>1320</x:v>
      </x:c>
      <x:c r="M378" s="0">
        <x:v>0</x:v>
      </x:c>
      <x:c r="N378" s="0">
        <x:v>2009</x:v>
      </x:c>
      <x:c r="S378" s="0">
        <x:v>0</x:v>
      </x:c>
      <x:c r="T378" s="0">
        <x:v>0</x:v>
      </x:c>
      <x:c r="V378" s="0">
        <x:v>0</x:v>
      </x:c>
      <x:c r="W378" s="21">
        <x:v>0</x:v>
      </x:c>
      <x:c r="X378" s="0">
        <x:v>0</x:v>
      </x:c>
      <x:c r="Y378" s="21">
        <x:v>0</x:v>
      </x:c>
      <x:c r="AK378" s="0" t="s">
        <x:v>1680</x:v>
      </x:c>
    </x:row>
    <x:row r="379" spans="1:37" x14ac:dyDescent="0.25">
      <x:c r="A379" s="0">
        <x:f>ROW(A379)-1</x:f>
      </x:c>
      <x:c r="C379" s="0">
        <x:v>549</x:v>
      </x:c>
      <x:c r="D379" s="0" t="s">
        <x:v>449</x:v>
      </x:c>
      <x:c r="E379" s="0" t="s">
        <x:v>450</x:v>
      </x:c>
      <x:c r="F379" s="0" t="s">
        <x:v>1425</x:v>
      </x:c>
      <x:c r="G379" s="0" t="s">
        <x:v>1320</x:v>
      </x:c>
      <x:c r="M379" s="0">
        <x:v>0</x:v>
      </x:c>
      <x:c r="N379" s="0">
        <x:v>2009</x:v>
      </x:c>
      <x:c r="O379" s="0" t="s">
        <x:v>1467</x:v>
      </x:c>
      <x:c r="Q379" s="0" t="s">
        <x:v>1321</x:v>
      </x:c>
      <x:c r="S379" s="0">
        <x:v>1145</x:v>
      </x:c>
      <x:c r="T379" s="0">
        <x:v>0</x:v>
      </x:c>
      <x:c r="V379" s="0">
        <x:v>0</x:v>
      </x:c>
      <x:c r="W379" s="21">
        <x:v>0</x:v>
      </x:c>
      <x:c r="X379" s="0">
        <x:v>0</x:v>
      </x:c>
      <x:c r="Y379" s="21">
        <x:v>0</x:v>
      </x:c>
      <x:c r="AK379" s="0" t="s">
        <x:v>1426</x:v>
      </x:c>
    </x:row>
    <x:row r="380" spans="1:37" x14ac:dyDescent="0.25">
      <x:c r="A380" s="0">
        <x:f>ROW(A380)-1</x:f>
      </x:c>
      <x:c r="C380" s="0">
        <x:v>547</x:v>
      </x:c>
      <x:c r="D380" s="0" t="s">
        <x:v>452</x:v>
      </x:c>
      <x:c r="E380" s="0" t="s">
        <x:v>453</x:v>
      </x:c>
      <x:c r="F380" s="0" t="s">
        <x:v>1427</x:v>
      </x:c>
      <x:c r="G380" s="0" t="s">
        <x:v>1320</x:v>
      </x:c>
      <x:c r="M380" s="0">
        <x:v>0</x:v>
      </x:c>
      <x:c r="N380" s="0">
        <x:v>2009</x:v>
      </x:c>
      <x:c r="O380" s="0" t="s">
        <x:v>1533</x:v>
      </x:c>
      <x:c r="S380" s="0">
        <x:v>5832</x:v>
      </x:c>
      <x:c r="T380" s="0">
        <x:v>0</x:v>
      </x:c>
      <x:c r="V380" s="0">
        <x:v>0</x:v>
      </x:c>
      <x:c r="W380" s="21">
        <x:v>0</x:v>
      </x:c>
      <x:c r="X380" s="0">
        <x:v>308600</x:v>
      </x:c>
      <x:c r="Y380" s="21">
        <x:v>0</x:v>
      </x:c>
      <x:c r="AK380" s="0" t="s">
        <x:v>1584</x:v>
      </x:c>
    </x:row>
    <x:row r="381" spans="1:37" x14ac:dyDescent="0.25">
      <x:c r="A381" s="0">
        <x:f>ROW(A381)-1</x:f>
      </x:c>
      <x:c r="C381" s="0">
        <x:v>519</x:v>
      </x:c>
      <x:c r="D381" s="0" t="s">
        <x:v>1066</x:v>
      </x:c>
      <x:c r="E381" s="0" t="s">
        <x:v>1681</x:v>
      </x:c>
      <x:c r="F381" s="0" t="s">
        <x:v>1450</x:v>
      </x:c>
      <x:c r="G381" s="0" t="s">
        <x:v>1320</x:v>
      </x:c>
      <x:c r="M381" s="0">
        <x:v>0</x:v>
      </x:c>
      <x:c r="N381" s="0">
        <x:v>2009</x:v>
      </x:c>
      <x:c r="O381" s="0" t="s">
        <x:v>1441</x:v>
      </x:c>
      <x:c r="S381" s="0">
        <x:v>1700</x:v>
      </x:c>
      <x:c r="T381" s="0">
        <x:v>0</x:v>
      </x:c>
      <x:c r="V381" s="0">
        <x:v>0</x:v>
      </x:c>
      <x:c r="W381" s="21">
        <x:v>0</x:v>
      </x:c>
      <x:c r="X381" s="0">
        <x:v>120000</x:v>
      </x:c>
      <x:c r="Y381" s="21">
        <x:v>0</x:v>
      </x:c>
      <x:c r="AK381" s="0" t="s">
        <x:v>1682</x:v>
      </x:c>
    </x:row>
    <x:row r="382" spans="1:37" x14ac:dyDescent="0.25">
      <x:c r="A382" s="0">
        <x:f>ROW(A382)-1</x:f>
      </x:c>
      <x:c r="C382" s="0">
        <x:v>517</x:v>
      </x:c>
      <x:c r="D382" s="0" t="s">
        <x:v>1067</x:v>
      </x:c>
      <x:c r="E382" s="0" t="s">
        <x:v>1068</x:v>
      </x:c>
      <x:c r="F382" s="0" t="s">
        <x:v>1365</x:v>
      </x:c>
      <x:c r="G382" s="0" t="s">
        <x:v>1320</x:v>
      </x:c>
      <x:c r="M382" s="0">
        <x:v>0</x:v>
      </x:c>
      <x:c r="N382" s="0">
        <x:v>2009</x:v>
      </x:c>
      <x:c r="O382" s="0" t="s">
        <x:v>1586</x:v>
      </x:c>
      <x:c r="S382" s="0">
        <x:v>0</x:v>
      </x:c>
      <x:c r="T382" s="0">
        <x:v>0</x:v>
      </x:c>
      <x:c r="V382" s="0">
        <x:v>0</x:v>
      </x:c>
      <x:c r="W382" s="21">
        <x:v>0</x:v>
      </x:c>
      <x:c r="X382" s="0">
        <x:v>0</x:v>
      </x:c>
      <x:c r="Y382" s="21">
        <x:v>0</x:v>
      </x:c>
      <x:c r="AK382" s="0" t="s">
        <x:v>1683</x:v>
      </x:c>
    </x:row>
    <x:row r="383" spans="1:37" x14ac:dyDescent="0.25">
      <x:c r="A383" s="0">
        <x:f>ROW(A383)-1</x:f>
      </x:c>
      <x:c r="C383" s="0">
        <x:v>514</x:v>
      </x:c>
      <x:c r="D383" s="0" t="s">
        <x:v>1069</x:v>
      </x:c>
      <x:c r="E383" s="0" t="s">
        <x:v>1684</x:v>
      </x:c>
      <x:c r="F383" s="0" t="s">
        <x:v>1685</x:v>
      </x:c>
      <x:c r="G383" s="0" t="s">
        <x:v>1320</x:v>
      </x:c>
      <x:c r="M383" s="0">
        <x:v>0</x:v>
      </x:c>
      <x:c r="N383" s="0">
        <x:v>2009</x:v>
      </x:c>
      <x:c r="O383" s="0" t="s">
        <x:v>1583</x:v>
      </x:c>
      <x:c r="S383" s="0">
        <x:v>500</x:v>
      </x:c>
      <x:c r="T383" s="0">
        <x:v>0</x:v>
      </x:c>
      <x:c r="V383" s="0">
        <x:v>0</x:v>
      </x:c>
      <x:c r="W383" s="21">
        <x:v>0</x:v>
      </x:c>
      <x:c r="X383" s="0">
        <x:v>0</x:v>
      </x:c>
      <x:c r="Y383" s="21">
        <x:v>0</x:v>
      </x:c>
      <x:c r="AK383" s="0" t="s">
        <x:v>1686</x:v>
      </x:c>
    </x:row>
    <x:row r="384" spans="1:37" x14ac:dyDescent="0.25">
      <x:c r="A384" s="0">
        <x:f>ROW(A384)-1</x:f>
      </x:c>
      <x:c r="C384" s="0">
        <x:v>511</x:v>
      </x:c>
      <x:c r="D384" s="0" t="s">
        <x:v>456</x:v>
      </x:c>
      <x:c r="E384" s="0" t="s">
        <x:v>457</x:v>
      </x:c>
      <x:c r="F384" s="0" t="s">
        <x:v>1377</x:v>
      </x:c>
      <x:c r="G384" s="0" t="s">
        <x:v>1320</x:v>
      </x:c>
      <x:c r="M384" s="0">
        <x:v>0</x:v>
      </x:c>
      <x:c r="N384" s="0">
        <x:v>2009</x:v>
      </x:c>
      <x:c r="O384" s="0" t="s">
        <x:v>1591</x:v>
      </x:c>
      <x:c r="S384" s="0">
        <x:v>0</x:v>
      </x:c>
      <x:c r="T384" s="0">
        <x:v>0</x:v>
      </x:c>
      <x:c r="V384" s="0">
        <x:v>0</x:v>
      </x:c>
      <x:c r="W384" s="21">
        <x:v>0</x:v>
      </x:c>
      <x:c r="X384" s="0">
        <x:v>0</x:v>
      </x:c>
      <x:c r="Y384" s="21">
        <x:v>0</x:v>
      </x:c>
      <x:c r="AK384" s="0" t="s">
        <x:v>1428</x:v>
      </x:c>
    </x:row>
    <x:row r="385" spans="1:37" x14ac:dyDescent="0.25">
      <x:c r="A385" s="0">
        <x:f>ROW(A385)-1</x:f>
      </x:c>
      <x:c r="C385" s="0">
        <x:v>498</x:v>
      </x:c>
      <x:c r="D385" s="0" t="s">
        <x:v>1072</x:v>
      </x:c>
      <x:c r="E385" s="0" t="s">
        <x:v>1687</x:v>
      </x:c>
      <x:c r="G385" s="0" t="s">
        <x:v>1320</x:v>
      </x:c>
      <x:c r="M385" s="0">
        <x:v>0</x:v>
      </x:c>
      <x:c r="N385" s="0">
        <x:v>2009</x:v>
      </x:c>
      <x:c r="S385" s="0">
        <x:v>0</x:v>
      </x:c>
      <x:c r="T385" s="0">
        <x:v>0</x:v>
      </x:c>
      <x:c r="V385" s="0">
        <x:v>0</x:v>
      </x:c>
      <x:c r="W385" s="21">
        <x:v>0</x:v>
      </x:c>
      <x:c r="X385" s="0">
        <x:v>0</x:v>
      </x:c>
      <x:c r="Y385" s="21">
        <x:v>0</x:v>
      </x:c>
      <x:c r="AK385" s="0" t="s">
        <x:v>1688</x:v>
      </x:c>
    </x:row>
    <x:row r="386" spans="1:37" x14ac:dyDescent="0.25">
      <x:c r="A386" s="0">
        <x:f>ROW(A386)-1</x:f>
      </x:c>
      <x:c r="C386" s="0">
        <x:v>487</x:v>
      </x:c>
      <x:c r="D386" s="0" t="s">
        <x:v>461</x:v>
      </x:c>
      <x:c r="E386" s="0" t="s">
        <x:v>462</x:v>
      </x:c>
      <x:c r="F386" s="0" t="s">
        <x:v>1377</x:v>
      </x:c>
      <x:c r="G386" s="0" t="s">
        <x:v>1320</x:v>
      </x:c>
      <x:c r="M386" s="0">
        <x:v>0</x:v>
      </x:c>
      <x:c r="N386" s="0">
        <x:v>2009</x:v>
      </x:c>
      <x:c r="O386" s="0" t="s">
        <x:v>1591</x:v>
      </x:c>
      <x:c r="S386" s="0">
        <x:v>0</x:v>
      </x:c>
      <x:c r="T386" s="0">
        <x:v>0</x:v>
      </x:c>
      <x:c r="V386" s="0">
        <x:v>0</x:v>
      </x:c>
      <x:c r="W386" s="21">
        <x:v>0</x:v>
      </x:c>
      <x:c r="X386" s="0">
        <x:v>0</x:v>
      </x:c>
      <x:c r="Y386" s="21">
        <x:v>0</x:v>
      </x:c>
      <x:c r="AK386" s="0" t="s">
        <x:v>1429</x:v>
      </x:c>
    </x:row>
    <x:row r="387" spans="1:37" x14ac:dyDescent="0.25">
      <x:c r="A387" s="0">
        <x:f>ROW(A387)-1</x:f>
      </x:c>
      <x:c r="C387" s="0">
        <x:v>473</x:v>
      </x:c>
      <x:c r="D387" s="0" t="s">
        <x:v>1073</x:v>
      </x:c>
      <x:c r="F387" s="0" t="s">
        <x:v>1471</x:v>
      </x:c>
      <x:c r="G387" s="0" t="s">
        <x:v>1320</x:v>
      </x:c>
      <x:c r="M387" s="0">
        <x:v>0</x:v>
      </x:c>
      <x:c r="N387" s="0">
        <x:v>2009</x:v>
      </x:c>
      <x:c r="O387" s="0" t="s">
        <x:v>1586</x:v>
      </x:c>
      <x:c r="S387" s="0">
        <x:v>415</x:v>
      </x:c>
      <x:c r="T387" s="0">
        <x:v>0</x:v>
      </x:c>
      <x:c r="V387" s="0">
        <x:v>0</x:v>
      </x:c>
      <x:c r="W387" s="21">
        <x:v>0</x:v>
      </x:c>
      <x:c r="X387" s="0">
        <x:v>33595</x:v>
      </x:c>
      <x:c r="Y387" s="21">
        <x:v>0</x:v>
      </x:c>
      <x:c r="AK387" s="0" t="s">
        <x:v>1689</x:v>
      </x:c>
    </x:row>
    <x:row r="388" spans="1:37" x14ac:dyDescent="0.25">
      <x:c r="A388" s="0">
        <x:f>ROW(A388)-1</x:f>
      </x:c>
      <x:c r="C388" s="0">
        <x:v>486</x:v>
      </x:c>
      <x:c r="D388" s="0" t="s">
        <x:v>1076</x:v>
      </x:c>
      <x:c r="E388" s="0" t="s">
        <x:v>1690</x:v>
      </x:c>
      <x:c r="F388" s="0" t="s">
        <x:v>1691</x:v>
      </x:c>
      <x:c r="G388" s="0" t="s">
        <x:v>1320</x:v>
      </x:c>
      <x:c r="M388" s="0">
        <x:v>0</x:v>
      </x:c>
      <x:c r="N388" s="0">
        <x:v>2009</x:v>
      </x:c>
      <x:c r="O388" s="0" t="s">
        <x:v>1591</x:v>
      </x:c>
      <x:c r="S388" s="0">
        <x:v>0</x:v>
      </x:c>
      <x:c r="T388" s="0">
        <x:v>0</x:v>
      </x:c>
      <x:c r="V388" s="0">
        <x:v>0</x:v>
      </x:c>
      <x:c r="W388" s="21">
        <x:v>0</x:v>
      </x:c>
      <x:c r="X388" s="0">
        <x:v>0</x:v>
      </x:c>
      <x:c r="Y388" s="21">
        <x:v>0</x:v>
      </x:c>
      <x:c r="AK388" s="0" t="s">
        <x:v>1692</x:v>
      </x:c>
    </x:row>
    <x:row r="389" spans="1:37" x14ac:dyDescent="0.25">
      <x:c r="A389" s="0">
        <x:f>ROW(A389)-1</x:f>
      </x:c>
      <x:c r="C389" s="0">
        <x:v>422</x:v>
      </x:c>
      <x:c r="D389" s="0" t="s">
        <x:v>1079</x:v>
      </x:c>
      <x:c r="E389" s="0" t="s">
        <x:v>1693</x:v>
      </x:c>
      <x:c r="F389" s="0" t="s">
        <x:v>1694</x:v>
      </x:c>
      <x:c r="G389" s="0" t="s">
        <x:v>1320</x:v>
      </x:c>
      <x:c r="M389" s="0">
        <x:v>0</x:v>
      </x:c>
      <x:c r="N389" s="0">
        <x:v>2008</x:v>
      </x:c>
      <x:c r="O389" s="0" t="s">
        <x:v>1482</x:v>
      </x:c>
      <x:c r="S389" s="0">
        <x:v>0</x:v>
      </x:c>
      <x:c r="T389" s="0">
        <x:v>0</x:v>
      </x:c>
      <x:c r="V389" s="0">
        <x:v>0</x:v>
      </x:c>
      <x:c r="W389" s="21">
        <x:v>0</x:v>
      </x:c>
      <x:c r="X389" s="0">
        <x:v>0</x:v>
      </x:c>
      <x:c r="Y389" s="21">
        <x:v>0</x:v>
      </x:c>
      <x:c r="AK389" s="0" t="s">
        <x:v>1695</x:v>
      </x:c>
    </x:row>
    <x:row r="390" spans="1:37" x14ac:dyDescent="0.25">
      <x:c r="A390" s="0">
        <x:f>ROW(A390)-1</x:f>
      </x:c>
      <x:c r="C390" s="0">
        <x:v>397</x:v>
      </x:c>
      <x:c r="D390" s="0" t="s">
        <x:v>466</x:v>
      </x:c>
      <x:c r="E390" s="0" t="s">
        <x:v>467</x:v>
      </x:c>
      <x:c r="F390" s="0" t="s">
        <x:v>1383</x:v>
      </x:c>
      <x:c r="G390" s="0" t="s">
        <x:v>1320</x:v>
      </x:c>
      <x:c r="M390" s="0">
        <x:v>0</x:v>
      </x:c>
      <x:c r="N390" s="0">
        <x:v>2007</x:v>
      </x:c>
      <x:c r="O390" s="0" t="s">
        <x:v>1583</x:v>
      </x:c>
      <x:c r="S390" s="0">
        <x:v>320</x:v>
      </x:c>
      <x:c r="T390" s="0">
        <x:v>0</x:v>
      </x:c>
      <x:c r="V390" s="0">
        <x:v>0</x:v>
      </x:c>
      <x:c r="W390" s="21">
        <x:v>0</x:v>
      </x:c>
      <x:c r="X390" s="0">
        <x:v>0</x:v>
      </x:c>
      <x:c r="Y390" s="21">
        <x:v>0</x:v>
      </x:c>
      <x:c r="AK390" s="0" t="s">
        <x:v>1430</x:v>
      </x:c>
    </x:row>
    <x:row r="391" spans="1:37" x14ac:dyDescent="0.25">
      <x:c r="A391" s="0">
        <x:f>ROW(A391)-1</x:f>
      </x:c>
      <x:c r="C391" s="0">
        <x:v>3003</x:v>
      </x:c>
      <x:c r="D391" s="0" t="s">
        <x:v>472</x:v>
      </x:c>
      <x:c r="E391" s="0" t="s">
        <x:v>473</x:v>
      </x:c>
      <x:c r="F391" s="0" t="s">
        <x:v>1365</x:v>
      </x:c>
      <x:c r="G391" s="0" t="s">
        <x:v>1320</x:v>
      </x:c>
      <x:c r="M391" s="0">
        <x:v>0</x:v>
      </x:c>
      <x:c r="N391" s="0">
        <x:v>2023</x:v>
      </x:c>
      <x:c r="O391" s="0" t="s">
        <x:v>1583</x:v>
      </x:c>
      <x:c r="Q391" s="0" t="s">
        <x:v>1431</x:v>
      </x:c>
      <x:c r="S391" s="0">
        <x:v>0</x:v>
      </x:c>
      <x:c r="T391" s="0">
        <x:v>0</x:v>
      </x:c>
      <x:c r="V391" s="0">
        <x:v>0</x:v>
      </x:c>
      <x:c r="W391" s="21">
        <x:v>0</x:v>
      </x:c>
      <x:c r="Y391" s="21">
        <x:v>0</x:v>
      </x:c>
    </x:row>
    <x:row r="392" spans="1:37" x14ac:dyDescent="0.25">
      <x:c r="A392" s="0">
        <x:f>ROW(A392)-1</x:f>
      </x:c>
      <x:c r="C392" s="0">
        <x:v>3001</x:v>
      </x:c>
      <x:c r="D392" s="0" t="s">
        <x:v>477</x:v>
      </x:c>
      <x:c r="E392" s="0" t="s">
        <x:v>478</x:v>
      </x:c>
      <x:c r="F392" s="0" t="s">
        <x:v>1432</x:v>
      </x:c>
      <x:c r="G392" s="0" t="s">
        <x:v>1320</x:v>
      </x:c>
      <x:c r="M392" s="0">
        <x:v>0</x:v>
      </x:c>
      <x:c r="N392" s="0">
        <x:v>2018</x:v>
      </x:c>
      <x:c r="O392" s="0" t="s">
        <x:v>1591</x:v>
      </x:c>
      <x:c r="S392" s="0">
        <x:v>0</x:v>
      </x:c>
      <x:c r="T392" s="0">
        <x:v>0</x:v>
      </x:c>
      <x:c r="V392" s="0">
        <x:v>0</x:v>
      </x:c>
      <x:c r="W392" s="21">
        <x:v>0</x:v>
      </x:c>
      <x:c r="X392" s="0">
        <x:v>0</x:v>
      </x:c>
      <x:c r="Y392" s="21">
        <x:v>0</x:v>
      </x:c>
    </x:row>
    <x:row r="393" spans="1:37" x14ac:dyDescent="0.25">
      <x:c r="A393" s="0">
        <x:f>ROW(A393)-1</x:f>
      </x:c>
      <x:c r="C393" s="0">
        <x:v>3002</x:v>
      </x:c>
      <x:c r="D393" s="0" t="s">
        <x:v>482</x:v>
      </x:c>
      <x:c r="E393" s="0" t="s">
        <x:v>483</x:v>
      </x:c>
      <x:c r="F393" s="0" t="s">
        <x:v>1433</x:v>
      </x:c>
      <x:c r="G393" s="0" t="s">
        <x:v>1320</x:v>
      </x:c>
      <x:c r="M393" s="0">
        <x:v>0</x:v>
      </x:c>
      <x:c r="N393" s="0">
        <x:v>2018</x:v>
      </x:c>
      <x:c r="O393" s="0" t="s">
        <x:v>1482</x:v>
      </x:c>
      <x:c r="S393" s="0">
        <x:v>0</x:v>
      </x:c>
      <x:c r="T393" s="0">
        <x:v>0</x:v>
      </x:c>
      <x:c r="V393" s="0">
        <x:v>123710</x:v>
      </x:c>
      <x:c r="W393" s="21">
        <x:v>0</x:v>
      </x:c>
      <x:c r="X393" s="0">
        <x:v>19040</x:v>
      </x:c>
      <x:c r="Y393" s="21">
        <x:v>0</x:v>
      </x:c>
      <x:c r="AK393" s="0" t="s">
        <x:v>1584</x:v>
      </x:c>
    </x:row>
    <x:row r="394" spans="1:37" x14ac:dyDescent="0.25">
      <x:c r="A394" s="0">
        <x:f>ROW(A394)-1</x:f>
      </x:c>
      <x:c r="C394" s="0">
        <x:v>3002</x:v>
      </x:c>
      <x:c r="D394" s="0" t="s">
        <x:v>350</x:v>
      </x:c>
      <x:c r="E394" s="0" t="s">
        <x:v>483</x:v>
      </x:c>
      <x:c r="F394" s="0" t="s">
        <x:v>1696</x:v>
      </x:c>
      <x:c r="G394" s="0" t="s">
        <x:v>1320</x:v>
      </x:c>
      <x:c r="M394" s="0">
        <x:v>0</x:v>
      </x:c>
      <x:c r="N394" s="0">
        <x:v>2024</x:v>
      </x:c>
      <x:c r="O394" s="0" t="s">
        <x:v>1482</x:v>
      </x:c>
      <x:c r="S394" s="0">
        <x:v>660</x:v>
      </x:c>
      <x:c r="T394" s="0">
        <x:v>0</x:v>
      </x:c>
      <x:c r="V394" s="0">
        <x:v>0</x:v>
      </x:c>
      <x:c r="W394" s="21">
        <x:v>0</x:v>
      </x:c>
      <x:c r="X394" s="0">
        <x:v>19000</x:v>
      </x:c>
      <x:c r="Y394" s="21">
        <x:v>0</x:v>
      </x:c>
    </x:row>
    <x:row r="395" spans="1:37" x14ac:dyDescent="0.25">
      <x:c r="A395" s="0">
        <x:f>ROW(A395)-1</x:f>
      </x:c>
      <x:c r="C395" s="0">
        <x:v>3003</x:v>
      </x:c>
      <x:c r="D395" s="0" t="s">
        <x:v>277</x:v>
      </x:c>
      <x:c r="E395" s="0" t="s">
        <x:v>1697</x:v>
      </x:c>
      <x:c r="F395" s="0" t="s">
        <x:v>1365</x:v>
      </x:c>
      <x:c r="G395" s="0" t="s">
        <x:v>1320</x:v>
      </x:c>
      <x:c r="M395" s="0">
        <x:v>0</x:v>
      </x:c>
      <x:c r="N395" s="0">
        <x:v>2018</x:v>
      </x:c>
      <x:c r="O395" s="0" t="s">
        <x:v>1583</x:v>
      </x:c>
      <x:c r="Q395" s="0" t="s">
        <x:v>1431</x:v>
      </x:c>
      <x:c r="S395" s="0">
        <x:v>0</x:v>
      </x:c>
      <x:c r="T395" s="0">
        <x:v>0</x:v>
      </x:c>
      <x:c r="W395" s="21">
        <x:v>0</x:v>
      </x:c>
      <x:c r="Y395" s="21">
        <x:v>0</x:v>
      </x:c>
    </x:row>
    <x:row r="396" spans="1:37" x14ac:dyDescent="0.25">
      <x:c r="A396" s="0">
        <x:f>ROW(A396)-1</x:f>
      </x:c>
      <x:c r="C396" s="0">
        <x:v>3004</x:v>
      </x:c>
      <x:c r="D396" s="0" t="s">
        <x:v>500</x:v>
      </x:c>
      <x:c r="E396" s="0" t="s">
        <x:v>1698</x:v>
      </x:c>
      <x:c r="F396" s="0" t="s">
        <x:v>1365</x:v>
      </x:c>
      <x:c r="G396" s="0" t="s">
        <x:v>1320</x:v>
      </x:c>
      <x:c r="M396" s="0">
        <x:v>0</x:v>
      </x:c>
      <x:c r="N396" s="0">
        <x:v>2018</x:v>
      </x:c>
      <x:c r="S396" s="0">
        <x:v>7663</x:v>
      </x:c>
      <x:c r="T396" s="0">
        <x:v>0</x:v>
      </x:c>
      <x:c r="V396" s="0">
        <x:v>0</x:v>
      </x:c>
      <x:c r="W396" s="21">
        <x:v>0</x:v>
      </x:c>
      <x:c r="X396" s="0">
        <x:v>5000000</x:v>
      </x:c>
      <x:c r="Y396" s="21">
        <x:v>0</x:v>
      </x:c>
      <x:c r="AK396" s="0" t="s">
        <x:v>1699</x:v>
      </x:c>
    </x:row>
    <x:row r="397" spans="1:37" x14ac:dyDescent="0.25">
      <x:c r="A397" s="0">
        <x:f>ROW(A397)-1</x:f>
      </x:c>
      <x:c r="C397" s="0">
        <x:v>3005</x:v>
      </x:c>
      <x:c r="D397" s="0" t="s">
        <x:v>477</x:v>
      </x:c>
      <x:c r="E397" s="0" t="s">
        <x:v>487</x:v>
      </x:c>
      <x:c r="F397" s="0" t="s">
        <x:v>1432</x:v>
      </x:c>
      <x:c r="G397" s="0" t="s">
        <x:v>1320</x:v>
      </x:c>
      <x:c r="M397" s="0">
        <x:v>0</x:v>
      </x:c>
      <x:c r="N397" s="0">
        <x:v>2018</x:v>
      </x:c>
      <x:c r="O397" s="0" t="s">
        <x:v>1591</x:v>
      </x:c>
      <x:c r="S397" s="0">
        <x:v>510</x:v>
      </x:c>
      <x:c r="T397" s="0">
        <x:v>0</x:v>
      </x:c>
      <x:c r="V397" s="0">
        <x:v>0</x:v>
      </x:c>
      <x:c r="W397" s="21">
        <x:v>0</x:v>
      </x:c>
      <x:c r="X397" s="0">
        <x:v>0</x:v>
      </x:c>
      <x:c r="Y397" s="21">
        <x:v>0</x:v>
      </x:c>
    </x:row>
    <x:row r="398" spans="1:37" x14ac:dyDescent="0.25">
      <x:c r="A398" s="0">
        <x:f>ROW(A398)-1</x:f>
      </x:c>
      <x:c r="C398" s="0">
        <x:v>3006</x:v>
      </x:c>
      <x:c r="D398" s="0" t="s">
        <x:v>477</x:v>
      </x:c>
      <x:c r="E398" s="0" t="s">
        <x:v>492</x:v>
      </x:c>
      <x:c r="F398" s="0" t="s">
        <x:v>1434</x:v>
      </x:c>
      <x:c r="G398" s="0" t="s">
        <x:v>1320</x:v>
      </x:c>
      <x:c r="M398" s="0">
        <x:v>0</x:v>
      </x:c>
      <x:c r="N398" s="0">
        <x:v>2018</x:v>
      </x:c>
      <x:c r="O398" s="0" t="s">
        <x:v>1533</x:v>
      </x:c>
      <x:c r="S398" s="0">
        <x:v>0</x:v>
      </x:c>
      <x:c r="T398" s="0">
        <x:v>0</x:v>
      </x:c>
      <x:c r="V398" s="0">
        <x:v>0</x:v>
      </x:c>
      <x:c r="W398" s="21">
        <x:v>0</x:v>
      </x:c>
      <x:c r="X398" s="0">
        <x:v>0</x:v>
      </x:c>
      <x:c r="Y398" s="21">
        <x:v>0</x:v>
      </x:c>
    </x:row>
    <x:row r="399" spans="1:37" x14ac:dyDescent="0.25">
      <x:c r="A399" s="0">
        <x:f>ROW(A399)-1</x:f>
      </x:c>
      <x:c r="C399" s="0">
        <x:v>3008</x:v>
      </x:c>
      <x:c r="D399" s="0" t="s">
        <x:v>477</x:v>
      </x:c>
      <x:c r="E399" s="0" t="s">
        <x:v>496</x:v>
      </x:c>
      <x:c r="F399" s="0" t="s">
        <x:v>1435</x:v>
      </x:c>
      <x:c r="G399" s="0" t="s">
        <x:v>1320</x:v>
      </x:c>
      <x:c r="M399" s="0">
        <x:v>0</x:v>
      </x:c>
      <x:c r="N399" s="0">
        <x:v>2018</x:v>
      </x:c>
      <x:c r="O399" s="0" t="s">
        <x:v>1533</x:v>
      </x:c>
      <x:c r="S399" s="0">
        <x:v>800</x:v>
      </x:c>
      <x:c r="T399" s="0">
        <x:v>0</x:v>
      </x:c>
      <x:c r="V399" s="0">
        <x:v>0</x:v>
      </x:c>
      <x:c r="W399" s="21">
        <x:v>0</x:v>
      </x:c>
      <x:c r="X399" s="0">
        <x:v>0</x:v>
      </x:c>
      <x:c r="Y399" s="21">
        <x:v>0</x:v>
      </x:c>
    </x:row>
    <x:row r="400" spans="1:37" x14ac:dyDescent="0.25">
      <x:c r="A400" s="0">
        <x:f>ROW(A400)-1</x:f>
      </x:c>
      <x:c r="C400" s="0">
        <x:v>3009</x:v>
      </x:c>
      <x:c r="D400" s="0" t="s">
        <x:v>500</x:v>
      </x:c>
      <x:c r="E400" s="0" t="s">
        <x:v>501</x:v>
      </x:c>
      <x:c r="F400" s="0" t="s">
        <x:v>1436</x:v>
      </x:c>
      <x:c r="G400" s="0" t="s">
        <x:v>1320</x:v>
      </x:c>
      <x:c r="M400" s="0">
        <x:v>0</x:v>
      </x:c>
      <x:c r="N400" s="0">
        <x:v>2018</x:v>
      </x:c>
      <x:c r="O400" s="0" t="s">
        <x:v>1533</x:v>
      </x:c>
      <x:c r="S400" s="0">
        <x:v>12</x:v>
      </x:c>
      <x:c r="T400" s="0">
        <x:v>0</x:v>
      </x:c>
      <x:c r="V400" s="0">
        <x:v>0</x:v>
      </x:c>
      <x:c r="W400" s="21">
        <x:v>0</x:v>
      </x:c>
      <x:c r="X400" s="0">
        <x:v>1000</x:v>
      </x:c>
      <x:c r="Y400" s="21">
        <x:v>0</x:v>
      </x:c>
      <x:c r="AK400" s="0" t="s">
        <x:v>1437</x:v>
      </x:c>
    </x:row>
    <x:row r="401" spans="1:37" x14ac:dyDescent="0.25">
      <x:c r="A401" s="0">
        <x:f>ROW(A401)-1</x:f>
      </x:c>
      <x:c r="C401" s="0">
        <x:v>3009</x:v>
      </x:c>
      <x:c r="D401" s="0" t="s">
        <x:v>1082</x:v>
      </x:c>
      <x:c r="E401" s="0" t="s">
        <x:v>501</x:v>
      </x:c>
      <x:c r="F401" s="0" t="s">
        <x:v>1386</x:v>
      </x:c>
      <x:c r="G401" s="0" t="s">
        <x:v>1320</x:v>
      </x:c>
      <x:c r="M401" s="0">
        <x:v>0</x:v>
      </x:c>
      <x:c r="N401" s="0">
        <x:v>2020</x:v>
      </x:c>
      <x:c r="S401" s="0">
        <x:v>392</x:v>
      </x:c>
      <x:c r="T401" s="0">
        <x:v>0</x:v>
      </x:c>
      <x:c r="V401" s="0">
        <x:v>0</x:v>
      </x:c>
      <x:c r="W401" s="21">
        <x:v>0</x:v>
      </x:c>
      <x:c r="X401" s="0">
        <x:v>37477</x:v>
      </x:c>
      <x:c r="Y401" s="21">
        <x:v>0</x:v>
      </x:c>
      <x:c r="AK401" s="0" t="s">
        <x:v>1700</x:v>
      </x:c>
    </x:row>
    <x:row r="402" spans="1:37" x14ac:dyDescent="0.25">
      <x:c r="A402" s="0">
        <x:f>ROW(A402)-1</x:f>
      </x:c>
      <x:c r="C402" s="0">
        <x:v>3010</x:v>
      </x:c>
      <x:c r="D402" s="0" t="s">
        <x:v>504</x:v>
      </x:c>
      <x:c r="E402" s="0" t="s">
        <x:v>505</x:v>
      </x:c>
      <x:c r="F402" s="0" t="s">
        <x:v>1377</x:v>
      </x:c>
      <x:c r="G402" s="0" t="s">
        <x:v>1320</x:v>
      </x:c>
      <x:c r="M402" s="0">
        <x:v>0</x:v>
      </x:c>
      <x:c r="N402" s="0">
        <x:v>2018</x:v>
      </x:c>
      <x:c r="O402" s="0" t="s">
        <x:v>1591</x:v>
      </x:c>
      <x:c r="Q402" s="0" t="s">
        <x:v>1329</x:v>
      </x:c>
      <x:c r="S402" s="0">
        <x:v>960</x:v>
      </x:c>
      <x:c r="T402" s="0">
        <x:v>0</x:v>
      </x:c>
      <x:c r="V402" s="0">
        <x:v>0</x:v>
      </x:c>
      <x:c r="W402" s="21">
        <x:v>0</x:v>
      </x:c>
      <x:c r="X402" s="0">
        <x:v>53000</x:v>
      </x:c>
      <x:c r="Y402" s="21">
        <x:v>0</x:v>
      </x:c>
    </x:row>
    <x:row r="403" spans="1:37" x14ac:dyDescent="0.25">
      <x:c r="A403" s="0">
        <x:f>ROW(A403)-1</x:f>
      </x:c>
      <x:c r="C403" s="0">
        <x:v>3011</x:v>
      </x:c>
      <x:c r="D403" s="0" t="s">
        <x:v>477</x:v>
      </x:c>
      <x:c r="E403" s="0" t="s">
        <x:v>508</x:v>
      </x:c>
      <x:c r="F403" s="0" t="s">
        <x:v>1365</x:v>
      </x:c>
      <x:c r="G403" s="0" t="s">
        <x:v>1320</x:v>
      </x:c>
      <x:c r="M403" s="0">
        <x:v>0</x:v>
      </x:c>
      <x:c r="N403" s="0">
        <x:v>2018</x:v>
      </x:c>
      <x:c r="O403" s="0" t="s">
        <x:v>1591</x:v>
      </x:c>
      <x:c r="S403" s="0">
        <x:v>0</x:v>
      </x:c>
      <x:c r="T403" s="0">
        <x:v>0</x:v>
      </x:c>
      <x:c r="V403" s="0">
        <x:v>0</x:v>
      </x:c>
      <x:c r="W403" s="21">
        <x:v>0</x:v>
      </x:c>
      <x:c r="X403" s="0">
        <x:v>12150</x:v>
      </x:c>
      <x:c r="Y403" s="21">
        <x:v>0</x:v>
      </x:c>
    </x:row>
    <x:row r="404" spans="1:37" x14ac:dyDescent="0.25">
      <x:c r="A404" s="0">
        <x:f>ROW(A404)-1</x:f>
      </x:c>
      <x:c r="C404" s="0">
        <x:v>3012</x:v>
      </x:c>
      <x:c r="D404" s="0" t="s">
        <x:v>477</x:v>
      </x:c>
      <x:c r="E404" s="0" t="s">
        <x:v>513</x:v>
      </x:c>
      <x:c r="F404" s="0" t="s">
        <x:v>1365</x:v>
      </x:c>
      <x:c r="G404" s="0" t="s">
        <x:v>1320</x:v>
      </x:c>
      <x:c r="M404" s="0">
        <x:v>0</x:v>
      </x:c>
      <x:c r="N404" s="0">
        <x:v>2018</x:v>
      </x:c>
      <x:c r="O404" s="0" t="s">
        <x:v>1586</x:v>
      </x:c>
      <x:c r="S404" s="0">
        <x:v>0</x:v>
      </x:c>
      <x:c r="T404" s="0">
        <x:v>0</x:v>
      </x:c>
      <x:c r="V404" s="0">
        <x:v>0</x:v>
      </x:c>
      <x:c r="W404" s="21">
        <x:v>0</x:v>
      </x:c>
      <x:c r="X404" s="0">
        <x:v>0</x:v>
      </x:c>
      <x:c r="Y404" s="21">
        <x:v>0</x:v>
      </x:c>
    </x:row>
    <x:row r="405" spans="1:37" x14ac:dyDescent="0.25">
      <x:c r="A405" s="0">
        <x:f>ROW(A405)-1</x:f>
      </x:c>
      <x:c r="C405" s="0">
        <x:v>3013</x:v>
      </x:c>
      <x:c r="D405" s="0" t="s">
        <x:v>477</x:v>
      </x:c>
      <x:c r="E405" s="0" t="s">
        <x:v>516</x:v>
      </x:c>
      <x:c r="F405" s="0" t="s">
        <x:v>1365</x:v>
      </x:c>
      <x:c r="G405" s="0" t="s">
        <x:v>1320</x:v>
      </x:c>
      <x:c r="M405" s="0">
        <x:v>0</x:v>
      </x:c>
      <x:c r="N405" s="0">
        <x:v>2018</x:v>
      </x:c>
      <x:c r="O405" s="0" t="s">
        <x:v>1482</x:v>
      </x:c>
      <x:c r="S405" s="0">
        <x:v>40</x:v>
      </x:c>
      <x:c r="T405" s="0">
        <x:v>0</x:v>
      </x:c>
      <x:c r="V405" s="0">
        <x:v>0</x:v>
      </x:c>
      <x:c r="W405" s="21">
        <x:v>0</x:v>
      </x:c>
      <x:c r="X405" s="0">
        <x:v>6000</x:v>
      </x:c>
      <x:c r="Y405" s="21">
        <x:v>0</x:v>
      </x:c>
    </x:row>
    <x:row r="406" spans="1:37" x14ac:dyDescent="0.25">
      <x:c r="A406" s="0">
        <x:f>ROW(A406)-1</x:f>
      </x:c>
      <x:c r="C406" s="0">
        <x:v>3014</x:v>
      </x:c>
      <x:c r="D406" s="0" t="s">
        <x:v>521</x:v>
      </x:c>
      <x:c r="E406" s="0" t="s">
        <x:v>522</x:v>
      </x:c>
      <x:c r="F406" s="0" t="s">
        <x:v>1386</x:v>
      </x:c>
      <x:c r="G406" s="0" t="s">
        <x:v>1320</x:v>
      </x:c>
      <x:c r="M406" s="0">
        <x:v>0</x:v>
      </x:c>
      <x:c r="N406" s="0">
        <x:v>2018</x:v>
      </x:c>
      <x:c r="S406" s="0">
        <x:v>4850</x:v>
      </x:c>
      <x:c r="T406" s="0">
        <x:v>0</x:v>
      </x:c>
      <x:c r="V406" s="0">
        <x:v>0</x:v>
      </x:c>
      <x:c r="W406" s="21">
        <x:v>0</x:v>
      </x:c>
      <x:c r="X406" s="0">
        <x:v>980054</x:v>
      </x:c>
      <x:c r="Y406" s="21">
        <x:v>0</x:v>
      </x:c>
      <x:c r="AK406" s="0" t="s">
        <x:v>1438</x:v>
      </x:c>
    </x:row>
    <x:row r="407" spans="1:37" x14ac:dyDescent="0.25">
      <x:c r="A407" s="0">
        <x:f>ROW(A407)-1</x:f>
      </x:c>
      <x:c r="C407" s="0">
        <x:v>3015</x:v>
      </x:c>
      <x:c r="D407" s="0" t="s">
        <x:v>477</x:v>
      </x:c>
      <x:c r="E407" s="0" t="s">
        <x:v>1701</x:v>
      </x:c>
      <x:c r="F407" s="0" t="s">
        <x:v>1702</x:v>
      </x:c>
      <x:c r="G407" s="0" t="s">
        <x:v>1320</x:v>
      </x:c>
      <x:c r="M407" s="0">
        <x:v>0</x:v>
      </x:c>
      <x:c r="N407" s="0">
        <x:v>2020</x:v>
      </x:c>
      <x:c r="O407" s="0" t="s">
        <x:v>1586</x:v>
      </x:c>
      <x:c r="S407" s="0">
        <x:v>384</x:v>
      </x:c>
      <x:c r="T407" s="0">
        <x:v>0</x:v>
      </x:c>
      <x:c r="V407" s="0">
        <x:v>0</x:v>
      </x:c>
      <x:c r="W407" s="21">
        <x:v>0</x:v>
      </x:c>
      <x:c r="X407" s="0">
        <x:v>280000</x:v>
      </x:c>
      <x:c r="Y407" s="21">
        <x:v>0</x:v>
      </x:c>
    </x:row>
    <x:row r="408" spans="1:37" x14ac:dyDescent="0.25">
      <x:c r="A408" s="0">
        <x:f>ROW(A408)-1</x:f>
      </x:c>
      <x:c r="C408" s="0">
        <x:v>3016</x:v>
      </x:c>
      <x:c r="D408" s="0" t="s">
        <x:v>336</x:v>
      </x:c>
      <x:c r="E408" s="0" t="s">
        <x:v>1703</x:v>
      </x:c>
      <x:c r="F408" s="0" t="s">
        <x:v>1365</x:v>
      </x:c>
      <x:c r="G408" s="0" t="s">
        <x:v>1320</x:v>
      </x:c>
      <x:c r="M408" s="0">
        <x:v>0</x:v>
      </x:c>
      <x:c r="N408" s="0">
        <x:v>2022</x:v>
      </x:c>
      <x:c r="O408" s="0" t="s">
        <x:v>1586</x:v>
      </x:c>
      <x:c r="S408" s="0">
        <x:v>0</x:v>
      </x:c>
      <x:c r="T408" s="0">
        <x:v>0</x:v>
      </x:c>
      <x:c r="V408" s="0">
        <x:v>0</x:v>
      </x:c>
      <x:c r="W408" s="21">
        <x:v>0</x:v>
      </x:c>
      <x:c r="X408" s="0">
        <x:v>0</x:v>
      </x:c>
      <x:c r="Y408" s="21">
        <x:v>0</x:v>
      </x:c>
    </x:row>
    <x:row r="409" spans="1:37" x14ac:dyDescent="0.25">
      <x:c r="A409" s="0">
        <x:f>ROW(A409)-1</x:f>
      </x:c>
      <x:c r="C409" s="0">
        <x:v>3017</x:v>
      </x:c>
      <x:c r="D409" s="0" t="s">
        <x:v>1085</x:v>
      </x:c>
      <x:c r="E409" s="0" t="s">
        <x:v>1704</x:v>
      </x:c>
      <x:c r="F409" s="0" t="s">
        <x:v>1365</x:v>
      </x:c>
      <x:c r="G409" s="0" t="s">
        <x:v>1320</x:v>
      </x:c>
      <x:c r="M409" s="0">
        <x:v>0</x:v>
      </x:c>
      <x:c r="N409" s="0">
        <x:v>2018</x:v>
      </x:c>
      <x:c r="O409" s="0" t="s">
        <x:v>1482</x:v>
      </x:c>
      <x:c r="S409" s="0">
        <x:v>480</x:v>
      </x:c>
      <x:c r="T409" s="0">
        <x:v>0</x:v>
      </x:c>
      <x:c r="V409" s="0">
        <x:v>0</x:v>
      </x:c>
      <x:c r="W409" s="21">
        <x:v>0</x:v>
      </x:c>
      <x:c r="X409" s="0">
        <x:v>0</x:v>
      </x:c>
      <x:c r="Y409" s="21">
        <x:v>0</x:v>
      </x:c>
    </x:row>
    <x:row r="410" spans="1:37" x14ac:dyDescent="0.25">
      <x:c r="A410" s="0">
        <x:f>ROW(A410)-1</x:f>
      </x:c>
      <x:c r="C410" s="0">
        <x:v>3018</x:v>
      </x:c>
      <x:c r="D410" s="0" t="s">
        <x:v>477</x:v>
      </x:c>
      <x:c r="E410" s="0" t="s">
        <x:v>527</x:v>
      </x:c>
      <x:c r="F410" s="0" t="s">
        <x:v>1432</x:v>
      </x:c>
      <x:c r="G410" s="0" t="s">
        <x:v>1320</x:v>
      </x:c>
      <x:c r="M410" s="0">
        <x:v>0</x:v>
      </x:c>
      <x:c r="N410" s="0">
        <x:v>2019</x:v>
      </x:c>
      <x:c r="O410" s="0" t="s">
        <x:v>1591</x:v>
      </x:c>
      <x:c r="S410" s="0">
        <x:v>1000</x:v>
      </x:c>
      <x:c r="T410" s="0">
        <x:v>0</x:v>
      </x:c>
      <x:c r="V410" s="0">
        <x:v>81000</x:v>
      </x:c>
      <x:c r="W410" s="21">
        <x:v>0</x:v>
      </x:c>
      <x:c r="X410" s="0">
        <x:v>60000</x:v>
      </x:c>
      <x:c r="Y410" s="21">
        <x:v>0</x:v>
      </x:c>
    </x:row>
    <x:row r="411" spans="1:37" x14ac:dyDescent="0.25">
      <x:c r="A411" s="0">
        <x:f>ROW(A411)-1</x:f>
      </x:c>
      <x:c r="C411" s="0">
        <x:v>3020</x:v>
      </x:c>
      <x:c r="D411" s="0" t="s">
        <x:v>530</x:v>
      </x:c>
      <x:c r="E411" s="0" t="s">
        <x:v>531</x:v>
      </x:c>
      <x:c r="F411" s="0" t="s">
        <x:v>1439</x:v>
      </x:c>
      <x:c r="G411" s="0" t="s">
        <x:v>1320</x:v>
      </x:c>
      <x:c r="H411" s="0" t="s">
        <x:v>1440</x:v>
      </x:c>
      <x:c r="I411" s="0" t="s">
        <x:v>534</x:v>
      </x:c>
      <x:c r="J411" s="0" t="s">
        <x:v>534</x:v>
      </x:c>
      <x:c r="K411" s="0" t="s">
        <x:v>1441</x:v>
      </x:c>
      <x:c r="M411" s="0">
        <x:v>0</x:v>
      </x:c>
      <x:c r="N411" s="0">
        <x:v>2018</x:v>
      </x:c>
      <x:c r="O411" s="0" t="s">
        <x:v>1482</x:v>
      </x:c>
      <x:c r="S411" s="0">
        <x:v>0</x:v>
      </x:c>
      <x:c r="T411" s="0">
        <x:v>0</x:v>
      </x:c>
      <x:c r="V411" s="0">
        <x:v>0</x:v>
      </x:c>
      <x:c r="W411" s="21">
        <x:v>0</x:v>
      </x:c>
      <x:c r="X411" s="0">
        <x:v>160000</x:v>
      </x:c>
      <x:c r="Y411" s="21">
        <x:v>0</x:v>
      </x:c>
    </x:row>
    <x:row r="412" spans="1:37" x14ac:dyDescent="0.25">
      <x:c r="A412" s="0">
        <x:f>ROW(A412)-1</x:f>
      </x:c>
      <x:c r="C412" s="0">
        <x:v>3022</x:v>
      </x:c>
      <x:c r="D412" s="0" t="s">
        <x:v>477</x:v>
      </x:c>
      <x:c r="E412" s="0" t="s">
        <x:v>535</x:v>
      </x:c>
      <x:c r="F412" s="0" t="s">
        <x:v>1442</x:v>
      </x:c>
      <x:c r="G412" s="0" t="s">
        <x:v>1320</x:v>
      </x:c>
      <x:c r="M412" s="0">
        <x:v>0</x:v>
      </x:c>
      <x:c r="N412" s="0">
        <x:v>2018</x:v>
      </x:c>
      <x:c r="O412" s="0" t="s">
        <x:v>1533</x:v>
      </x:c>
      <x:c r="Q412" s="0" t="s">
        <x:v>1443</x:v>
      </x:c>
      <x:c r="S412" s="0">
        <x:v>0</x:v>
      </x:c>
      <x:c r="T412" s="0">
        <x:v>0</x:v>
      </x:c>
      <x:c r="V412" s="0">
        <x:v>0</x:v>
      </x:c>
      <x:c r="W412" s="21">
        <x:v>0</x:v>
      </x:c>
      <x:c r="X412" s="0">
        <x:v>6100</x:v>
      </x:c>
      <x:c r="Y412" s="21">
        <x:v>0</x:v>
      </x:c>
    </x:row>
    <x:row r="413" spans="1:37" x14ac:dyDescent="0.25">
      <x:c r="A413" s="0">
        <x:f>ROW(A413)-1</x:f>
      </x:c>
      <x:c r="C413" s="0">
        <x:v>3023</x:v>
      </x:c>
      <x:c r="D413" s="0" t="s">
        <x:v>1088</x:v>
      </x:c>
      <x:c r="F413" s="0" t="s">
        <x:v>1365</x:v>
      </x:c>
      <x:c r="G413" s="0" t="s">
        <x:v>1320</x:v>
      </x:c>
      <x:c r="M413" s="0">
        <x:v>0</x:v>
      </x:c>
      <x:c r="N413" s="0">
        <x:v>2018</x:v>
      </x:c>
      <x:c r="O413" s="0" t="s">
        <x:v>1533</x:v>
      </x:c>
      <x:c r="S413" s="0">
        <x:v>52</x:v>
      </x:c>
      <x:c r="T413" s="0">
        <x:v>0</x:v>
      </x:c>
      <x:c r="V413" s="0">
        <x:v>0</x:v>
      </x:c>
      <x:c r="W413" s="21">
        <x:v>0</x:v>
      </x:c>
      <x:c r="X413" s="0">
        <x:v>1604</x:v>
      </x:c>
      <x:c r="Y413" s="21">
        <x:v>0</x:v>
      </x:c>
    </x:row>
    <x:row r="414" spans="1:37" x14ac:dyDescent="0.25">
      <x:c r="A414" s="0">
        <x:f>ROW(A414)-1</x:f>
      </x:c>
      <x:c r="C414" s="0">
        <x:v>3024</x:v>
      </x:c>
      <x:c r="D414" s="0" t="s">
        <x:v>477</x:v>
      </x:c>
      <x:c r="F414" s="0" t="s">
        <x:v>1365</x:v>
      </x:c>
      <x:c r="G414" s="0" t="s">
        <x:v>1320</x:v>
      </x:c>
      <x:c r="M414" s="0">
        <x:v>0</x:v>
      </x:c>
      <x:c r="N414" s="0">
        <x:v>2018</x:v>
      </x:c>
      <x:c r="O414" s="0" t="s">
        <x:v>1482</x:v>
      </x:c>
      <x:c r="S414" s="0">
        <x:v>13</x:v>
      </x:c>
      <x:c r="T414" s="0">
        <x:v>0</x:v>
      </x:c>
      <x:c r="V414" s="0">
        <x:v>0</x:v>
      </x:c>
      <x:c r="W414" s="21">
        <x:v>0</x:v>
      </x:c>
      <x:c r="X414" s="0">
        <x:v>0</x:v>
      </x:c>
      <x:c r="Y414" s="21">
        <x:v>0</x:v>
      </x:c>
    </x:row>
    <x:row r="415" spans="1:37" x14ac:dyDescent="0.25">
      <x:c r="A415" s="0">
        <x:f>ROW(A415)-1</x:f>
      </x:c>
      <x:c r="C415" s="0">
        <x:v>3025</x:v>
      </x:c>
      <x:c r="D415" s="0" t="s">
        <x:v>541</x:v>
      </x:c>
      <x:c r="E415" s="0" t="s">
        <x:v>542</x:v>
      </x:c>
      <x:c r="F415" s="0" t="s">
        <x:v>1444</x:v>
      </x:c>
      <x:c r="G415" s="0" t="s">
        <x:v>1320</x:v>
      </x:c>
      <x:c r="M415" s="0">
        <x:v>0</x:v>
      </x:c>
      <x:c r="N415" s="0">
        <x:v>2019</x:v>
      </x:c>
      <x:c r="O415" s="0" t="s">
        <x:v>1591</x:v>
      </x:c>
      <x:c r="Q415" s="0" t="s">
        <x:v>1331</x:v>
      </x:c>
      <x:c r="S415" s="0">
        <x:v>0</x:v>
      </x:c>
      <x:c r="T415" s="0">
        <x:v>0</x:v>
      </x:c>
      <x:c r="V415" s="0">
        <x:v>0</x:v>
      </x:c>
      <x:c r="W415" s="21">
        <x:v>0</x:v>
      </x:c>
      <x:c r="X415" s="0">
        <x:v>0</x:v>
      </x:c>
      <x:c r="Y415" s="21">
        <x:v>0</x:v>
      </x:c>
      <x:c r="AK415" s="0" t="s">
        <x:v>1445</x:v>
      </x:c>
    </x:row>
    <x:row r="416" spans="1:37" x14ac:dyDescent="0.25">
      <x:c r="A416" s="0">
        <x:f>ROW(A416)-1</x:f>
      </x:c>
      <x:c r="C416" s="0">
        <x:v>3026</x:v>
      </x:c>
      <x:c r="D416" s="0" t="s">
        <x:v>477</x:v>
      </x:c>
      <x:c r="E416" s="0" t="s">
        <x:v>545</x:v>
      </x:c>
      <x:c r="F416" s="0" t="s">
        <x:v>1365</x:v>
      </x:c>
      <x:c r="G416" s="0" t="s">
        <x:v>1320</x:v>
      </x:c>
      <x:c r="M416" s="0">
        <x:v>0</x:v>
      </x:c>
      <x:c r="N416" s="0">
        <x:v>2018</x:v>
      </x:c>
      <x:c r="O416" s="0" t="s">
        <x:v>1533</x:v>
      </x:c>
      <x:c r="S416" s="0">
        <x:v>50</x:v>
      </x:c>
      <x:c r="T416" s="0">
        <x:v>0</x:v>
      </x:c>
      <x:c r="V416" s="0">
        <x:v>0</x:v>
      </x:c>
      <x:c r="W416" s="21">
        <x:v>0</x:v>
      </x:c>
      <x:c r="X416" s="0">
        <x:v>1600</x:v>
      </x:c>
      <x:c r="Y416" s="21">
        <x:v>0</x:v>
      </x:c>
    </x:row>
    <x:row r="417" spans="1:37" x14ac:dyDescent="0.25">
      <x:c r="A417" s="0">
        <x:f>ROW(A417)-1</x:f>
      </x:c>
      <x:c r="C417" s="0">
        <x:v>3027</x:v>
      </x:c>
      <x:c r="D417" s="0" t="s">
        <x:v>477</x:v>
      </x:c>
      <x:c r="E417" s="0" t="s">
        <x:v>1705</x:v>
      </x:c>
      <x:c r="F417" s="0" t="s">
        <x:v>1706</x:v>
      </x:c>
      <x:c r="G417" s="0" t="s">
        <x:v>1320</x:v>
      </x:c>
      <x:c r="M417" s="0">
        <x:v>0</x:v>
      </x:c>
      <x:c r="N417" s="0">
        <x:v>2019</x:v>
      </x:c>
      <x:c r="O417" s="0" t="s">
        <x:v>1591</x:v>
      </x:c>
      <x:c r="S417" s="0">
        <x:v>100</x:v>
      </x:c>
      <x:c r="T417" s="0">
        <x:v>0</x:v>
      </x:c>
      <x:c r="V417" s="0">
        <x:v>0</x:v>
      </x:c>
      <x:c r="W417" s="21">
        <x:v>0</x:v>
      </x:c>
      <x:c r="X417" s="0">
        <x:v>14500</x:v>
      </x:c>
      <x:c r="Y417" s="21">
        <x:v>0</x:v>
      </x:c>
      <x:c r="AK417" s="0" t="s">
        <x:v>1584</x:v>
      </x:c>
    </x:row>
    <x:row r="418" spans="1:37" x14ac:dyDescent="0.25">
      <x:c r="A418" s="0">
        <x:f>ROW(A418)-1</x:f>
      </x:c>
      <x:c r="C418" s="0">
        <x:v>3028</x:v>
      </x:c>
      <x:c r="D418" s="0" t="s">
        <x:v>477</x:v>
      </x:c>
      <x:c r="E418" s="0" t="s">
        <x:v>1707</x:v>
      </x:c>
      <x:c r="F418" s="0" t="s">
        <x:v>1708</x:v>
      </x:c>
      <x:c r="G418" s="0" t="s">
        <x:v>1320</x:v>
      </x:c>
      <x:c r="M418" s="0">
        <x:v>0</x:v>
      </x:c>
      <x:c r="N418" s="0">
        <x:v>2019</x:v>
      </x:c>
      <x:c r="O418" s="0" t="s">
        <x:v>1591</x:v>
      </x:c>
      <x:c r="S418" s="0">
        <x:v>96</x:v>
      </x:c>
      <x:c r="T418" s="0">
        <x:v>0</x:v>
      </x:c>
      <x:c r="V418" s="0">
        <x:v>0</x:v>
      </x:c>
      <x:c r="W418" s="21">
        <x:v>0</x:v>
      </x:c>
      <x:c r="X418" s="0">
        <x:v>0</x:v>
      </x:c>
      <x:c r="Y418" s="21">
        <x:v>0</x:v>
      </x:c>
    </x:row>
    <x:row r="419" spans="1:37" x14ac:dyDescent="0.25">
      <x:c r="A419" s="0">
        <x:f>ROW(A419)-1</x:f>
      </x:c>
      <x:c r="C419" s="0">
        <x:v>3029</x:v>
      </x:c>
      <x:c r="D419" s="0" t="s">
        <x:v>500</x:v>
      </x:c>
      <x:c r="E419" s="0" t="s">
        <x:v>548</x:v>
      </x:c>
      <x:c r="F419" s="0" t="s">
        <x:v>1365</x:v>
      </x:c>
      <x:c r="G419" s="0" t="s">
        <x:v>1320</x:v>
      </x:c>
      <x:c r="M419" s="0">
        <x:v>0</x:v>
      </x:c>
      <x:c r="N419" s="0">
        <x:v>2023</x:v>
      </x:c>
      <x:c r="O419" s="0" t="s">
        <x:v>1586</x:v>
      </x:c>
      <x:c r="S419" s="0">
        <x:v>470</x:v>
      </x:c>
      <x:c r="T419" s="0">
        <x:v>0</x:v>
      </x:c>
      <x:c r="V419" s="0">
        <x:v>0</x:v>
      </x:c>
      <x:c r="W419" s="21">
        <x:v>0</x:v>
      </x:c>
      <x:c r="X419" s="0">
        <x:v>27000</x:v>
      </x:c>
      <x:c r="Y419" s="21">
        <x:v>0</x:v>
      </x:c>
      <x:c r="AK419" s="0" t="s">
        <x:v>1446</x:v>
      </x:c>
    </x:row>
    <x:row r="420" spans="1:37" x14ac:dyDescent="0.25">
      <x:c r="A420" s="0">
        <x:f>ROW(A420)-1</x:f>
      </x:c>
      <x:c r="C420" s="0">
        <x:v>3030</x:v>
      </x:c>
      <x:c r="D420" s="0" t="s">
        <x:v>477</x:v>
      </x:c>
      <x:c r="E420" s="0" t="s">
        <x:v>553</x:v>
      </x:c>
      <x:c r="F420" s="0" t="s">
        <x:v>1447</x:v>
      </x:c>
      <x:c r="G420" s="0" t="s">
        <x:v>1320</x:v>
      </x:c>
      <x:c r="M420" s="0">
        <x:v>0</x:v>
      </x:c>
      <x:c r="N420" s="0">
        <x:v>2019</x:v>
      </x:c>
      <x:c r="O420" s="0" t="s">
        <x:v>1586</x:v>
      </x:c>
      <x:c r="S420" s="0">
        <x:v>3060</x:v>
      </x:c>
      <x:c r="T420" s="0">
        <x:v>0</x:v>
      </x:c>
      <x:c r="V420" s="0">
        <x:v>0</x:v>
      </x:c>
      <x:c r="W420" s="21">
        <x:v>0</x:v>
      </x:c>
      <x:c r="X420" s="0">
        <x:v>26530</x:v>
      </x:c>
      <x:c r="Y420" s="21">
        <x:v>0</x:v>
      </x:c>
    </x:row>
    <x:row r="421" spans="1:37" x14ac:dyDescent="0.25">
      <x:c r="A421" s="0">
        <x:f>ROW(A421)-1</x:f>
      </x:c>
      <x:c r="C421" s="0">
        <x:v>3031</x:v>
      </x:c>
      <x:c r="D421" s="0" t="s">
        <x:v>477</x:v>
      </x:c>
      <x:c r="E421" s="0" t="s">
        <x:v>1709</x:v>
      </x:c>
      <x:c r="F421" s="0" t="s">
        <x:v>1471</x:v>
      </x:c>
      <x:c r="G421" s="0" t="s">
        <x:v>1320</x:v>
      </x:c>
      <x:c r="M421" s="0">
        <x:v>0</x:v>
      </x:c>
      <x:c r="N421" s="0">
        <x:v>2019</x:v>
      </x:c>
      <x:c r="O421" s="0" t="s">
        <x:v>1591</x:v>
      </x:c>
      <x:c r="Q421" s="0" t="s">
        <x:v>1331</x:v>
      </x:c>
      <x:c r="S421" s="0">
        <x:v>500</x:v>
      </x:c>
      <x:c r="T421" s="0">
        <x:v>0</x:v>
      </x:c>
      <x:c r="V421" s="0">
        <x:v>0</x:v>
      </x:c>
      <x:c r="W421" s="21">
        <x:v>0</x:v>
      </x:c>
      <x:c r="X421" s="0">
        <x:v>360400</x:v>
      </x:c>
      <x:c r="Y421" s="21">
        <x:v>0</x:v>
      </x:c>
    </x:row>
    <x:row r="422" spans="1:37" x14ac:dyDescent="0.25">
      <x:c r="A422" s="0">
        <x:f>ROW(A422)-1</x:f>
      </x:c>
      <x:c r="C422" s="0">
        <x:v>3032</x:v>
      </x:c>
      <x:c r="D422" s="0" t="s">
        <x:v>557</x:v>
      </x:c>
      <x:c r="E422" s="0" t="s">
        <x:v>558</x:v>
      </x:c>
      <x:c r="F422" s="0" t="s">
        <x:v>1448</x:v>
      </x:c>
      <x:c r="G422" s="0" t="s">
        <x:v>1320</x:v>
      </x:c>
      <x:c r="M422" s="0">
        <x:v>0</x:v>
      </x:c>
      <x:c r="N422" s="0">
        <x:v>2021</x:v>
      </x:c>
      <x:c r="O422" s="0" t="s">
        <x:v>1482</x:v>
      </x:c>
      <x:c r="S422" s="0">
        <x:v>710</x:v>
      </x:c>
      <x:c r="T422" s="0">
        <x:v>0</x:v>
      </x:c>
      <x:c r="V422" s="0">
        <x:v>0</x:v>
      </x:c>
      <x:c r="W422" s="21">
        <x:v>0</x:v>
      </x:c>
      <x:c r="X422" s="0">
        <x:v>9140</x:v>
      </x:c>
      <x:c r="Y422" s="21">
        <x:v>0</x:v>
      </x:c>
      <x:c r="AK422" s="0" t="s">
        <x:v>1449</x:v>
      </x:c>
    </x:row>
    <x:row r="423" spans="1:37" x14ac:dyDescent="0.25">
      <x:c r="A423" s="0">
        <x:f>ROW(A423)-1</x:f>
      </x:c>
      <x:c r="C423" s="0">
        <x:v>3034</x:v>
      </x:c>
      <x:c r="D423" s="0" t="s">
        <x:v>477</x:v>
      </x:c>
      <x:c r="E423" s="0" t="s">
        <x:v>1710</x:v>
      </x:c>
      <x:c r="F423" s="0" t="s">
        <x:v>1711</x:v>
      </x:c>
      <x:c r="G423" s="0" t="s">
        <x:v>1320</x:v>
      </x:c>
      <x:c r="M423" s="0">
        <x:v>0</x:v>
      </x:c>
      <x:c r="N423" s="0">
        <x:v>2019</x:v>
      </x:c>
      <x:c r="O423" s="0" t="s">
        <x:v>1586</x:v>
      </x:c>
      <x:c r="S423" s="0">
        <x:v>75</x:v>
      </x:c>
      <x:c r="T423" s="0">
        <x:v>0</x:v>
      </x:c>
      <x:c r="V423" s="0">
        <x:v>0</x:v>
      </x:c>
      <x:c r="W423" s="21">
        <x:v>0</x:v>
      </x:c>
      <x:c r="X423" s="0">
        <x:v>0</x:v>
      </x:c>
      <x:c r="Y423" s="21">
        <x:v>0</x:v>
      </x:c>
    </x:row>
    <x:row r="424" spans="1:37" x14ac:dyDescent="0.25">
      <x:c r="A424" s="0">
        <x:f>ROW(A424)-1</x:f>
      </x:c>
      <x:c r="C424" s="0">
        <x:v>3035</x:v>
      </x:c>
      <x:c r="D424" s="0" t="s">
        <x:v>477</x:v>
      </x:c>
      <x:c r="E424" s="0" t="s">
        <x:v>1712</x:v>
      </x:c>
      <x:c r="F424" s="0" t="s">
        <x:v>1461</x:v>
      </x:c>
      <x:c r="G424" s="0" t="s">
        <x:v>1320</x:v>
      </x:c>
      <x:c r="M424" s="0">
        <x:v>0</x:v>
      </x:c>
      <x:c r="N424" s="0">
        <x:v>2019</x:v>
      </x:c>
      <x:c r="O424" s="0" t="s">
        <x:v>1482</x:v>
      </x:c>
      <x:c r="S424" s="0">
        <x:v>0</x:v>
      </x:c>
      <x:c r="T424" s="0">
        <x:v>0</x:v>
      </x:c>
      <x:c r="V424" s="0">
        <x:v>0</x:v>
      </x:c>
      <x:c r="W424" s="21">
        <x:v>0</x:v>
      </x:c>
      <x:c r="Y424" s="21">
        <x:v>0</x:v>
      </x:c>
      <x:c r="AK424" s="0" t="s">
        <x:v>1584</x:v>
      </x:c>
    </x:row>
    <x:row r="425" spans="1:37" x14ac:dyDescent="0.25">
      <x:c r="A425" s="0">
        <x:f>ROW(A425)-1</x:f>
      </x:c>
      <x:c r="C425" s="0">
        <x:v>3036</x:v>
      </x:c>
      <x:c r="D425" s="0" t="s">
        <x:v>477</x:v>
      </x:c>
      <x:c r="E425" s="0" t="s">
        <x:v>1713</x:v>
      </x:c>
      <x:c r="F425" s="0" t="s">
        <x:v>1393</x:v>
      </x:c>
      <x:c r="G425" s="0" t="s">
        <x:v>1320</x:v>
      </x:c>
      <x:c r="M425" s="0">
        <x:v>0</x:v>
      </x:c>
      <x:c r="N425" s="0">
        <x:v>2019</x:v>
      </x:c>
      <x:c r="O425" s="0" t="s">
        <x:v>1591</x:v>
      </x:c>
      <x:c r="S425" s="0">
        <x:v>140</x:v>
      </x:c>
      <x:c r="T425" s="0">
        <x:v>0</x:v>
      </x:c>
      <x:c r="V425" s="0">
        <x:v>0</x:v>
      </x:c>
      <x:c r="W425" s="21">
        <x:v>0</x:v>
      </x:c>
      <x:c r="X425" s="0">
        <x:v>20750</x:v>
      </x:c>
      <x:c r="Y425" s="21">
        <x:v>0</x:v>
      </x:c>
    </x:row>
    <x:row r="426" spans="1:37" x14ac:dyDescent="0.25">
      <x:c r="A426" s="0">
        <x:f>ROW(A426)-1</x:f>
      </x:c>
      <x:c r="C426" s="0">
        <x:v>3037</x:v>
      </x:c>
      <x:c r="D426" s="0" t="s">
        <x:v>477</x:v>
      </x:c>
      <x:c r="E426" s="0" t="s">
        <x:v>562</x:v>
      </x:c>
      <x:c r="F426" s="0" t="s">
        <x:v>1365</x:v>
      </x:c>
      <x:c r="G426" s="0" t="s">
        <x:v>1320</x:v>
      </x:c>
      <x:c r="M426" s="0">
        <x:v>0</x:v>
      </x:c>
      <x:c r="N426" s="0">
        <x:v>2019</x:v>
      </x:c>
      <x:c r="O426" s="0" t="s">
        <x:v>1533</x:v>
      </x:c>
      <x:c r="S426" s="0">
        <x:v>11812</x:v>
      </x:c>
      <x:c r="T426" s="0">
        <x:v>0</x:v>
      </x:c>
      <x:c r="V426" s="0">
        <x:v>0</x:v>
      </x:c>
      <x:c r="W426" s="21">
        <x:v>0</x:v>
      </x:c>
      <x:c r="X426" s="0">
        <x:v>1637473</x:v>
      </x:c>
      <x:c r="Y426" s="21">
        <x:v>0</x:v>
      </x:c>
    </x:row>
    <x:row r="427" spans="1:37" x14ac:dyDescent="0.25">
      <x:c r="A427" s="0">
        <x:f>ROW(A427)-1</x:f>
      </x:c>
      <x:c r="C427" s="0">
        <x:v>3038</x:v>
      </x:c>
      <x:c r="D427" s="0" t="s">
        <x:v>477</x:v>
      </x:c>
      <x:c r="E427" s="0" t="s">
        <x:v>566</x:v>
      </x:c>
      <x:c r="F427" s="0" t="s">
        <x:v>1365</x:v>
      </x:c>
      <x:c r="G427" s="0" t="s">
        <x:v>1320</x:v>
      </x:c>
      <x:c r="M427" s="0">
        <x:v>0</x:v>
      </x:c>
      <x:c r="N427" s="0">
        <x:v>2019</x:v>
      </x:c>
      <x:c r="O427" s="0" t="s">
        <x:v>1482</x:v>
      </x:c>
      <x:c r="S427" s="0">
        <x:v>40</x:v>
      </x:c>
      <x:c r="T427" s="0">
        <x:v>0</x:v>
      </x:c>
      <x:c r="V427" s="0">
        <x:v>0</x:v>
      </x:c>
      <x:c r="W427" s="21">
        <x:v>0</x:v>
      </x:c>
      <x:c r="X427" s="0">
        <x:v>0</x:v>
      </x:c>
      <x:c r="Y427" s="21">
        <x:v>0</x:v>
      </x:c>
    </x:row>
    <x:row r="428" spans="1:37" x14ac:dyDescent="0.25">
      <x:c r="A428" s="0">
        <x:f>ROW(A428)-1</x:f>
      </x:c>
      <x:c r="C428" s="0">
        <x:v>3040</x:v>
      </x:c>
      <x:c r="D428" s="0" t="s">
        <x:v>477</x:v>
      </x:c>
      <x:c r="F428" s="0" t="s">
        <x:v>1714</x:v>
      </x:c>
      <x:c r="G428" s="0" t="s">
        <x:v>1320</x:v>
      </x:c>
      <x:c r="M428" s="0">
        <x:v>0</x:v>
      </x:c>
      <x:c r="N428" s="0">
        <x:v>2019</x:v>
      </x:c>
      <x:c r="O428" s="0" t="s">
        <x:v>1586</x:v>
      </x:c>
      <x:c r="S428" s="0">
        <x:v>110</x:v>
      </x:c>
      <x:c r="T428" s="0">
        <x:v>0</x:v>
      </x:c>
      <x:c r="V428" s="0">
        <x:v>0</x:v>
      </x:c>
      <x:c r="W428" s="21">
        <x:v>0</x:v>
      </x:c>
      <x:c r="X428" s="0">
        <x:v>35700</x:v>
      </x:c>
      <x:c r="Y428" s="21">
        <x:v>0</x:v>
      </x:c>
    </x:row>
    <x:row r="429" spans="1:37" x14ac:dyDescent="0.25">
      <x:c r="A429" s="0">
        <x:f>ROW(A429)-1</x:f>
      </x:c>
      <x:c r="C429" s="0">
        <x:v>3041</x:v>
      </x:c>
      <x:c r="D429" s="0" t="s">
        <x:v>569</x:v>
      </x:c>
      <x:c r="E429" s="0" t="s">
        <x:v>570</x:v>
      </x:c>
      <x:c r="F429" s="0" t="s">
        <x:v>1450</x:v>
      </x:c>
      <x:c r="G429" s="0" t="s">
        <x:v>1320</x:v>
      </x:c>
      <x:c r="M429" s="0">
        <x:v>0</x:v>
      </x:c>
      <x:c r="N429" s="0">
        <x:v>2019</x:v>
      </x:c>
      <x:c r="O429" s="0" t="s">
        <x:v>1441</x:v>
      </x:c>
      <x:c r="S429" s="0">
        <x:v>0</x:v>
      </x:c>
      <x:c r="T429" s="0">
        <x:v>0</x:v>
      </x:c>
      <x:c r="V429" s="0">
        <x:v>0</x:v>
      </x:c>
      <x:c r="W429" s="21">
        <x:v>0</x:v>
      </x:c>
      <x:c r="X429" s="0">
        <x:v>0</x:v>
      </x:c>
      <x:c r="Y429" s="21">
        <x:v>0</x:v>
      </x:c>
    </x:row>
    <x:row r="430" spans="1:37" x14ac:dyDescent="0.25">
      <x:c r="A430" s="0">
        <x:f>ROW(A430)-1</x:f>
      </x:c>
      <x:c r="C430" s="0">
        <x:v>3042</x:v>
      </x:c>
      <x:c r="D430" s="0" t="s">
        <x:v>573</x:v>
      </x:c>
      <x:c r="E430" s="0" t="s">
        <x:v>574</x:v>
      </x:c>
      <x:c r="F430" s="0" t="s">
        <x:v>1387</x:v>
      </x:c>
      <x:c r="G430" s="0" t="s">
        <x:v>1320</x:v>
      </x:c>
      <x:c r="M430" s="0">
        <x:v>0</x:v>
      </x:c>
      <x:c r="N430" s="0">
        <x:v>2020</x:v>
      </x:c>
      <x:c r="O430" s="0" t="s">
        <x:v>1482</x:v>
      </x:c>
      <x:c r="S430" s="0">
        <x:v>0</x:v>
      </x:c>
      <x:c r="T430" s="0">
        <x:v>0</x:v>
      </x:c>
      <x:c r="V430" s="0">
        <x:v>0</x:v>
      </x:c>
      <x:c r="W430" s="21">
        <x:v>0</x:v>
      </x:c>
      <x:c r="X430" s="0">
        <x:v>0</x:v>
      </x:c>
      <x:c r="Y430" s="21">
        <x:v>0</x:v>
      </x:c>
      <x:c r="AK430" s="0" t="s">
        <x:v>1451</x:v>
      </x:c>
    </x:row>
    <x:row r="431" spans="1:37" x14ac:dyDescent="0.25">
      <x:c r="A431" s="0">
        <x:f>ROW(A431)-1</x:f>
      </x:c>
      <x:c r="C431" s="0">
        <x:v>3043</x:v>
      </x:c>
      <x:c r="D431" s="0" t="s">
        <x:v>578</x:v>
      </x:c>
      <x:c r="E431" s="0" t="s">
        <x:v>579</x:v>
      </x:c>
      <x:c r="F431" s="0" t="s">
        <x:v>1452</x:v>
      </x:c>
      <x:c r="G431" s="0" t="s">
        <x:v>1320</x:v>
      </x:c>
      <x:c r="M431" s="0">
        <x:v>0</x:v>
      </x:c>
      <x:c r="N431" s="0">
        <x:v>2019</x:v>
      </x:c>
      <x:c r="O431" s="0" t="s">
        <x:v>1482</x:v>
      </x:c>
      <x:c r="S431" s="0">
        <x:v>0</x:v>
      </x:c>
      <x:c r="T431" s="0">
        <x:v>0</x:v>
      </x:c>
      <x:c r="V431" s="0">
        <x:v>0</x:v>
      </x:c>
      <x:c r="W431" s="21">
        <x:v>0</x:v>
      </x:c>
      <x:c r="X431" s="0">
        <x:v>11425</x:v>
      </x:c>
      <x:c r="Y431" s="21">
        <x:v>0</x:v>
      </x:c>
    </x:row>
    <x:row r="432" spans="1:37" x14ac:dyDescent="0.25">
      <x:c r="A432" s="0">
        <x:f>ROW(A432)-1</x:f>
      </x:c>
      <x:c r="C432" s="0">
        <x:v>3045</x:v>
      </x:c>
      <x:c r="D432" s="0" t="s">
        <x:v>583</x:v>
      </x:c>
      <x:c r="E432" s="0" t="s">
        <x:v>584</x:v>
      </x:c>
      <x:c r="F432" s="0" t="s">
        <x:v>1453</x:v>
      </x:c>
      <x:c r="G432" s="0" t="s">
        <x:v>1320</x:v>
      </x:c>
      <x:c r="M432" s="0">
        <x:v>0</x:v>
      </x:c>
      <x:c r="N432" s="0">
        <x:v>2019</x:v>
      </x:c>
      <x:c r="S432" s="0">
        <x:v>0</x:v>
      </x:c>
      <x:c r="T432" s="0">
        <x:v>0</x:v>
      </x:c>
      <x:c r="V432" s="0">
        <x:v>0</x:v>
      </x:c>
      <x:c r="W432" s="21">
        <x:v>0</x:v>
      </x:c>
      <x:c r="X432" s="0">
        <x:v>0</x:v>
      </x:c>
      <x:c r="Y432" s="21">
        <x:v>0</x:v>
      </x:c>
    </x:row>
    <x:row r="433" spans="1:37" x14ac:dyDescent="0.25">
      <x:c r="A433" s="0">
        <x:f>ROW(A433)-1</x:f>
      </x:c>
      <x:c r="C433" s="0">
        <x:v>3046</x:v>
      </x:c>
      <x:c r="D433" s="0" t="s">
        <x:v>224</x:v>
      </x:c>
      <x:c r="E433" s="0" t="s">
        <x:v>588</x:v>
      </x:c>
      <x:c r="F433" s="0" t="s">
        <x:v>1454</x:v>
      </x:c>
      <x:c r="G433" s="0" t="s">
        <x:v>1320</x:v>
      </x:c>
      <x:c r="M433" s="0">
        <x:v>0</x:v>
      </x:c>
      <x:c r="N433" s="0">
        <x:v>2019</x:v>
      </x:c>
      <x:c r="O433" s="0" t="s">
        <x:v>1441</x:v>
      </x:c>
      <x:c r="S433" s="0">
        <x:v>0</x:v>
      </x:c>
      <x:c r="T433" s="0">
        <x:v>0</x:v>
      </x:c>
      <x:c r="V433" s="0">
        <x:v>0</x:v>
      </x:c>
      <x:c r="W433" s="21">
        <x:v>0</x:v>
      </x:c>
      <x:c r="X433" s="0">
        <x:v>243600</x:v>
      </x:c>
      <x:c r="Y433" s="21">
        <x:v>0</x:v>
      </x:c>
    </x:row>
    <x:row r="434" spans="1:37" x14ac:dyDescent="0.25">
      <x:c r="A434" s="0">
        <x:f>ROW(A434)-1</x:f>
      </x:c>
      <x:c r="C434" s="0">
        <x:v>3047</x:v>
      </x:c>
      <x:c r="D434" s="0" t="s">
        <x:v>591</x:v>
      </x:c>
      <x:c r="E434" s="0" t="s">
        <x:v>592</x:v>
      </x:c>
      <x:c r="F434" s="0" t="s">
        <x:v>1450</x:v>
      </x:c>
      <x:c r="G434" s="0" t="s">
        <x:v>1320</x:v>
      </x:c>
      <x:c r="M434" s="0">
        <x:v>0</x:v>
      </x:c>
      <x:c r="N434" s="0">
        <x:v>2020</x:v>
      </x:c>
      <x:c r="O434" s="0" t="s">
        <x:v>1441</x:v>
      </x:c>
      <x:c r="S434" s="0">
        <x:v>0</x:v>
      </x:c>
      <x:c r="T434" s="0">
        <x:v>0</x:v>
      </x:c>
      <x:c r="V434" s="0">
        <x:v>0</x:v>
      </x:c>
      <x:c r="W434" s="21">
        <x:v>0</x:v>
      </x:c>
      <x:c r="X434" s="0">
        <x:v>17000</x:v>
      </x:c>
      <x:c r="Y434" s="21">
        <x:v>0</x:v>
      </x:c>
      <x:c r="AK434" s="0" t="s">
        <x:v>1455</x:v>
      </x:c>
    </x:row>
    <x:row r="435" spans="1:37" x14ac:dyDescent="0.25">
      <x:c r="A435" s="0">
        <x:f>ROW(A435)-1</x:f>
      </x:c>
      <x:c r="C435" s="0">
        <x:v>3048</x:v>
      </x:c>
      <x:c r="D435" s="0" t="s">
        <x:v>1099</x:v>
      </x:c>
      <x:c r="E435" s="0" t="s">
        <x:v>1715</x:v>
      </x:c>
      <x:c r="F435" s="0" t="s">
        <x:v>1365</x:v>
      </x:c>
      <x:c r="G435" s="0" t="s">
        <x:v>1320</x:v>
      </x:c>
      <x:c r="M435" s="0">
        <x:v>0</x:v>
      </x:c>
      <x:c r="N435" s="0">
        <x:v>2019</x:v>
      </x:c>
      <x:c r="O435" s="0" t="s">
        <x:v>1482</x:v>
      </x:c>
      <x:c r="S435" s="0">
        <x:v>0</x:v>
      </x:c>
      <x:c r="T435" s="0">
        <x:v>0</x:v>
      </x:c>
      <x:c r="V435" s="0">
        <x:v>170000</x:v>
      </x:c>
      <x:c r="W435" s="21">
        <x:v>0</x:v>
      </x:c>
      <x:c r="X435" s="0">
        <x:v>40000</x:v>
      </x:c>
      <x:c r="Y435" s="21">
        <x:v>0</x:v>
      </x:c>
    </x:row>
    <x:row r="436" spans="1:37" x14ac:dyDescent="0.25">
      <x:c r="A436" s="0">
        <x:f>ROW(A436)-1</x:f>
      </x:c>
      <x:c r="C436" s="0">
        <x:v>3049</x:v>
      </x:c>
      <x:c r="D436" s="0" t="s">
        <x:v>1102</x:v>
      </x:c>
      <x:c r="E436" s="0" t="s">
        <x:v>1716</x:v>
      </x:c>
      <x:c r="F436" s="0" t="s">
        <x:v>1717</x:v>
      </x:c>
      <x:c r="G436" s="0" t="s">
        <x:v>1320</x:v>
      </x:c>
      <x:c r="M436" s="0">
        <x:v>0</x:v>
      </x:c>
      <x:c r="N436" s="0">
        <x:v>2019</x:v>
      </x:c>
      <x:c r="O436" s="0" t="s">
        <x:v>1591</x:v>
      </x:c>
      <x:c r="S436" s="0">
        <x:v>0</x:v>
      </x:c>
      <x:c r="T436" s="0">
        <x:v>0</x:v>
      </x:c>
      <x:c r="V436" s="0">
        <x:v>0</x:v>
      </x:c>
      <x:c r="W436" s="21">
        <x:v>0</x:v>
      </x:c>
      <x:c r="X436" s="0">
        <x:v>50000</x:v>
      </x:c>
      <x:c r="Y436" s="21">
        <x:v>0</x:v>
      </x:c>
    </x:row>
    <x:row r="437" spans="1:37" x14ac:dyDescent="0.25">
      <x:c r="A437" s="0">
        <x:f>ROW(A437)-1</x:f>
      </x:c>
      <x:c r="C437" s="0">
        <x:v>3050</x:v>
      </x:c>
      <x:c r="D437" s="0" t="s">
        <x:v>595</x:v>
      </x:c>
      <x:c r="E437" s="0" t="s">
        <x:v>596</x:v>
      </x:c>
      <x:c r="F437" s="0" t="s">
        <x:v>1450</x:v>
      </x:c>
      <x:c r="G437" s="0" t="s">
        <x:v>1320</x:v>
      </x:c>
      <x:c r="H437" s="0" t="s">
        <x:v>1456</x:v>
      </x:c>
      <x:c r="I437" s="0" t="s">
        <x:v>276</x:v>
      </x:c>
      <x:c r="J437" s="0" t="s">
        <x:v>1457</x:v>
      </x:c>
      <x:c r="K437" s="0" t="s">
        <x:v>1458</x:v>
      </x:c>
      <x:c r="M437" s="0">
        <x:v>0</x:v>
      </x:c>
      <x:c r="N437" s="0">
        <x:v>2022</x:v>
      </x:c>
      <x:c r="O437" s="0" t="s">
        <x:v>1441</x:v>
      </x:c>
      <x:c r="S437" s="0">
        <x:v>625</x:v>
      </x:c>
      <x:c r="T437" s="0">
        <x:v>0</x:v>
      </x:c>
      <x:c r="V437" s="0">
        <x:v>0</x:v>
      </x:c>
      <x:c r="W437" s="21">
        <x:v>0</x:v>
      </x:c>
      <x:c r="X437" s="0">
        <x:v>1289235</x:v>
      </x:c>
      <x:c r="Y437" s="21">
        <x:v>0</x:v>
      </x:c>
      <x:c r="AK437" s="0" t="s">
        <x:v>1459</x:v>
      </x:c>
    </x:row>
    <x:row r="438" spans="1:37" x14ac:dyDescent="0.25">
      <x:c r="A438" s="0">
        <x:f>ROW(A438)-1</x:f>
      </x:c>
      <x:c r="C438" s="0">
        <x:v>3050</x:v>
      </x:c>
      <x:c r="D438" s="0" t="s">
        <x:v>117</x:v>
      </x:c>
      <x:c r="E438" s="0" t="s">
        <x:v>596</x:v>
      </x:c>
      <x:c r="F438" s="0" t="s">
        <x:v>1365</x:v>
      </x:c>
      <x:c r="G438" s="0" t="s">
        <x:v>1320</x:v>
      </x:c>
      <x:c r="H438" s="0" t="s">
        <x:v>1718</x:v>
      </x:c>
      <x:c r="I438" s="0" t="s">
        <x:v>130</x:v>
      </x:c>
      <x:c r="J438" s="0" t="s">
        <x:v>1024</x:v>
      </x:c>
      <x:c r="K438" s="0" t="s">
        <x:v>1719</x:v>
      </x:c>
      <x:c r="M438" s="0">
        <x:v>0</x:v>
      </x:c>
      <x:c r="N438" s="0">
        <x:v>2021</x:v>
      </x:c>
      <x:c r="S438" s="0">
        <x:v>632</x:v>
      </x:c>
      <x:c r="T438" s="0">
        <x:v>0</x:v>
      </x:c>
      <x:c r="V438" s="0">
        <x:v>0</x:v>
      </x:c>
      <x:c r="W438" s="21">
        <x:v>0</x:v>
      </x:c>
      <x:c r="X438" s="0">
        <x:v>246721</x:v>
      </x:c>
      <x:c r="Y438" s="21">
        <x:v>0</x:v>
      </x:c>
    </x:row>
    <x:row r="439" spans="1:37" x14ac:dyDescent="0.25">
      <x:c r="A439" s="0">
        <x:f>ROW(A439)-1</x:f>
      </x:c>
      <x:c r="C439" s="0">
        <x:v>3050</x:v>
      </x:c>
      <x:c r="D439" s="0" t="s">
        <x:v>1105</x:v>
      </x:c>
      <x:c r="E439" s="0" t="s">
        <x:v>596</x:v>
      </x:c>
      <x:c r="F439" s="0" t="s">
        <x:v>1720</x:v>
      </x:c>
      <x:c r="G439" s="0" t="s">
        <x:v>1320</x:v>
      </x:c>
      <x:c r="H439" s="0" t="s">
        <x:v>1721</x:v>
      </x:c>
      <x:c r="I439" s="0" t="s">
        <x:v>1106</x:v>
      </x:c>
      <x:c r="J439" s="0" t="s">
        <x:v>519</x:v>
      </x:c>
      <x:c r="K439" s="0" t="s">
        <x:v>1477</x:v>
      </x:c>
      <x:c r="M439" s="0">
        <x:v>0</x:v>
      </x:c>
      <x:c r="N439" s="0">
        <x:v>2021</x:v>
      </x:c>
      <x:c r="O439" s="0" t="s">
        <x:v>1441</x:v>
      </x:c>
      <x:c r="Q439" s="0" t="s">
        <x:v>1368</x:v>
      </x:c>
      <x:c r="S439" s="0">
        <x:v>0</x:v>
      </x:c>
      <x:c r="T439" s="0">
        <x:v>0</x:v>
      </x:c>
      <x:c r="V439" s="0">
        <x:v>0</x:v>
      </x:c>
      <x:c r="W439" s="21">
        <x:v>0</x:v>
      </x:c>
      <x:c r="X439" s="0">
        <x:v>0</x:v>
      </x:c>
      <x:c r="Y439" s="21">
        <x:v>0</x:v>
      </x:c>
      <x:c r="AK439" s="0" t="s">
        <x:v>1722</x:v>
      </x:c>
    </x:row>
    <x:row r="440" spans="1:37" x14ac:dyDescent="0.25">
      <x:c r="A440" s="0">
        <x:f>ROW(A440)-1</x:f>
      </x:c>
      <x:c r="C440" s="0">
        <x:v>3050</x:v>
      </x:c>
      <x:c r="D440" s="0" t="s">
        <x:v>1107</x:v>
      </x:c>
      <x:c r="E440" s="0" t="s">
        <x:v>1723</x:v>
      </x:c>
      <x:c r="F440" s="0" t="s">
        <x:v>1724</x:v>
      </x:c>
      <x:c r="G440" s="0" t="s">
        <x:v>1320</x:v>
      </x:c>
      <x:c r="H440" s="0" t="s">
        <x:v>1456</x:v>
      </x:c>
      <x:c r="I440" s="0" t="s">
        <x:v>1725</x:v>
      </x:c>
      <x:c r="J440" s="0" t="s">
        <x:v>1108</x:v>
      </x:c>
      <x:c r="K440" s="0" t="s">
        <x:v>1362</x:v>
      </x:c>
      <x:c r="M440" s="0">
        <x:v>0</x:v>
      </x:c>
      <x:c r="N440" s="0">
        <x:v>2022</x:v>
      </x:c>
      <x:c r="O440" s="0" t="s">
        <x:v>1441</x:v>
      </x:c>
      <x:c r="S440" s="0">
        <x:v>0</x:v>
      </x:c>
      <x:c r="T440" s="0">
        <x:v>0</x:v>
      </x:c>
      <x:c r="V440" s="0">
        <x:v>0</x:v>
      </x:c>
      <x:c r="W440" s="21">
        <x:v>0</x:v>
      </x:c>
      <x:c r="X440" s="0">
        <x:v>0</x:v>
      </x:c>
      <x:c r="Y440" s="21">
        <x:v>0</x:v>
      </x:c>
    </x:row>
    <x:row r="441" spans="1:37" x14ac:dyDescent="0.25">
      <x:c r="A441" s="0">
        <x:f>ROW(A441)-1</x:f>
      </x:c>
      <x:c r="C441" s="0">
        <x:v>3052</x:v>
      </x:c>
      <x:c r="D441" s="0" t="s">
        <x:v>224</x:v>
      </x:c>
      <x:c r="E441" s="0" t="s">
        <x:v>1726</x:v>
      </x:c>
      <x:c r="F441" s="0" t="s">
        <x:v>1357</x:v>
      </x:c>
      <x:c r="G441" s="0" t="s">
        <x:v>1320</x:v>
      </x:c>
      <x:c r="M441" s="0">
        <x:v>0</x:v>
      </x:c>
      <x:c r="N441" s="0">
        <x:v>2019</x:v>
      </x:c>
      <x:c r="O441" s="0" t="s">
        <x:v>1482</x:v>
      </x:c>
      <x:c r="S441" s="0">
        <x:v>0</x:v>
      </x:c>
      <x:c r="T441" s="0">
        <x:v>0</x:v>
      </x:c>
      <x:c r="V441" s="0">
        <x:v>0</x:v>
      </x:c>
      <x:c r="W441" s="21">
        <x:v>0</x:v>
      </x:c>
      <x:c r="X441" s="0">
        <x:v>28000</x:v>
      </x:c>
      <x:c r="Y441" s="21">
        <x:v>0</x:v>
      </x:c>
    </x:row>
    <x:row r="442" spans="1:37" x14ac:dyDescent="0.25">
      <x:c r="A442" s="0">
        <x:f>ROW(A442)-1</x:f>
      </x:c>
      <x:c r="C442" s="0">
        <x:v>3053</x:v>
      </x:c>
      <x:c r="D442" s="0" t="s">
        <x:v>224</x:v>
      </x:c>
      <x:c r="E442" s="0" t="s">
        <x:v>1727</x:v>
      </x:c>
      <x:c r="F442" s="0" t="s">
        <x:v>1728</x:v>
      </x:c>
      <x:c r="G442" s="0" t="s">
        <x:v>1320</x:v>
      </x:c>
      <x:c r="M442" s="0">
        <x:v>0</x:v>
      </x:c>
      <x:c r="N442" s="0">
        <x:v>2020</x:v>
      </x:c>
      <x:c r="O442" s="0" t="s">
        <x:v>1586</x:v>
      </x:c>
      <x:c r="S442" s="0">
        <x:v>0</x:v>
      </x:c>
      <x:c r="T442" s="0">
        <x:v>0</x:v>
      </x:c>
      <x:c r="V442" s="0">
        <x:v>0</x:v>
      </x:c>
      <x:c r="W442" s="21">
        <x:v>0</x:v>
      </x:c>
      <x:c r="X442" s="0">
        <x:v>34000</x:v>
      </x:c>
      <x:c r="Y442" s="21">
        <x:v>0</x:v>
      </x:c>
    </x:row>
    <x:row r="443" spans="1:37" x14ac:dyDescent="0.25">
      <x:c r="A443" s="0">
        <x:f>ROW(A443)-1</x:f>
      </x:c>
      <x:c r="C443" s="0">
        <x:v>3054</x:v>
      </x:c>
      <x:c r="D443" s="0" t="s">
        <x:v>1115</x:v>
      </x:c>
      <x:c r="E443" s="0" t="s">
        <x:v>1729</x:v>
      </x:c>
      <x:c r="F443" s="0" t="s">
        <x:v>1365</x:v>
      </x:c>
      <x:c r="G443" s="0" t="s">
        <x:v>1320</x:v>
      </x:c>
      <x:c r="M443" s="0">
        <x:v>0</x:v>
      </x:c>
      <x:c r="N443" s="0">
        <x:v>2019</x:v>
      </x:c>
      <x:c r="S443" s="0">
        <x:v>0</x:v>
      </x:c>
      <x:c r="T443" s="0">
        <x:v>0</x:v>
      </x:c>
      <x:c r="V443" s="0">
        <x:v>0</x:v>
      </x:c>
      <x:c r="W443" s="21">
        <x:v>0</x:v>
      </x:c>
      <x:c r="X443" s="0">
        <x:v>3000</x:v>
      </x:c>
      <x:c r="Y443" s="21">
        <x:v>0</x:v>
      </x:c>
    </x:row>
    <x:row r="444" spans="1:37" x14ac:dyDescent="0.25">
      <x:c r="A444" s="0">
        <x:f>ROW(A444)-1</x:f>
      </x:c>
      <x:c r="C444" s="0">
        <x:v>3054</x:v>
      </x:c>
      <x:c r="D444" s="0" t="s">
        <x:v>600</x:v>
      </x:c>
      <x:c r="E444" s="0" t="s">
        <x:v>601</x:v>
      </x:c>
      <x:c r="F444" s="0" t="s">
        <x:v>1365</x:v>
      </x:c>
      <x:c r="G444" s="0" t="s">
        <x:v>1320</x:v>
      </x:c>
      <x:c r="M444" s="0">
        <x:v>0</x:v>
      </x:c>
      <x:c r="N444" s="0">
        <x:v>2022</x:v>
      </x:c>
      <x:c r="S444" s="0">
        <x:v>0</x:v>
      </x:c>
      <x:c r="T444" s="0">
        <x:v>0</x:v>
      </x:c>
      <x:c r="V444" s="0">
        <x:v>0</x:v>
      </x:c>
      <x:c r="W444" s="21">
        <x:v>0</x:v>
      </x:c>
      <x:c r="X444" s="0">
        <x:v>6000</x:v>
      </x:c>
      <x:c r="Y444" s="21">
        <x:v>0</x:v>
      </x:c>
    </x:row>
    <x:row r="445" spans="1:37" x14ac:dyDescent="0.25">
      <x:c r="A445" s="0">
        <x:f>ROW(A445)-1</x:f>
      </x:c>
      <x:c r="C445" s="0">
        <x:v>3055</x:v>
      </x:c>
      <x:c r="D445" s="0" t="s">
        <x:v>605</x:v>
      </x:c>
      <x:c r="E445" s="0" t="s">
        <x:v>606</x:v>
      </x:c>
      <x:c r="F445" s="0" t="s">
        <x:v>1365</x:v>
      </x:c>
      <x:c r="G445" s="0" t="s">
        <x:v>1320</x:v>
      </x:c>
      <x:c r="M445" s="0">
        <x:v>0</x:v>
      </x:c>
      <x:c r="N445" s="0">
        <x:v>2020</x:v>
      </x:c>
      <x:c r="O445" s="0" t="s">
        <x:v>1533</x:v>
      </x:c>
      <x:c r="S445" s="0">
        <x:v>1193</x:v>
      </x:c>
      <x:c r="T445" s="0">
        <x:v>0</x:v>
      </x:c>
      <x:c r="V445" s="0">
        <x:v>0</x:v>
      </x:c>
      <x:c r="W445" s="21">
        <x:v>0</x:v>
      </x:c>
      <x:c r="X445" s="0">
        <x:v>0</x:v>
      </x:c>
      <x:c r="Y445" s="21">
        <x:v>0</x:v>
      </x:c>
    </x:row>
    <x:row r="446" spans="1:37" x14ac:dyDescent="0.25">
      <x:c r="A446" s="0">
        <x:f>ROW(A446)-1</x:f>
      </x:c>
      <x:c r="C446" s="0">
        <x:v>3057</x:v>
      </x:c>
      <x:c r="D446" s="0" t="s">
        <x:v>608</x:v>
      </x:c>
      <x:c r="E446" s="0" t="s">
        <x:v>609</x:v>
      </x:c>
      <x:c r="F446" s="0" t="s">
        <x:v>1365</x:v>
      </x:c>
      <x:c r="G446" s="0" t="s">
        <x:v>1320</x:v>
      </x:c>
      <x:c r="M446" s="0">
        <x:v>0</x:v>
      </x:c>
      <x:c r="N446" s="0">
        <x:v>2020</x:v>
      </x:c>
      <x:c r="S446" s="0">
        <x:v>0</x:v>
      </x:c>
      <x:c r="T446" s="0">
        <x:v>0</x:v>
      </x:c>
      <x:c r="V446" s="0">
        <x:v>0</x:v>
      </x:c>
      <x:c r="W446" s="21">
        <x:v>0</x:v>
      </x:c>
      <x:c r="X446" s="0">
        <x:v>0</x:v>
      </x:c>
      <x:c r="Y446" s="21">
        <x:v>0</x:v>
      </x:c>
    </x:row>
    <x:row r="447" spans="1:37" x14ac:dyDescent="0.25">
      <x:c r="A447" s="0">
        <x:f>ROW(A447)-1</x:f>
      </x:c>
      <x:c r="C447" s="0">
        <x:v>3058</x:v>
      </x:c>
      <x:c r="D447" s="0" t="s">
        <x:v>611</x:v>
      </x:c>
      <x:c r="E447" s="0" t="s">
        <x:v>612</x:v>
      </x:c>
      <x:c r="F447" s="0" t="s">
        <x:v>1365</x:v>
      </x:c>
      <x:c r="G447" s="0" t="s">
        <x:v>1320</x:v>
      </x:c>
      <x:c r="M447" s="0">
        <x:v>0</x:v>
      </x:c>
      <x:c r="N447" s="0">
        <x:v>2021</x:v>
      </x:c>
      <x:c r="S447" s="0">
        <x:v>4388</x:v>
      </x:c>
      <x:c r="T447" s="0">
        <x:v>0</x:v>
      </x:c>
      <x:c r="V447" s="0">
        <x:v>0</x:v>
      </x:c>
      <x:c r="W447" s="21">
        <x:v>0</x:v>
      </x:c>
      <x:c r="X447" s="0">
        <x:v>170000</x:v>
      </x:c>
      <x:c r="Y447" s="21">
        <x:v>0</x:v>
      </x:c>
      <x:c r="AK447" s="0" t="s">
        <x:v>1460</x:v>
      </x:c>
    </x:row>
    <x:row r="448" spans="1:37" x14ac:dyDescent="0.25">
      <x:c r="A448" s="0">
        <x:f>ROW(A448)-1</x:f>
      </x:c>
      <x:c r="C448" s="0">
        <x:v>3059</x:v>
      </x:c>
      <x:c r="D448" s="0" t="s">
        <x:v>614</x:v>
      </x:c>
      <x:c r="E448" s="0" t="s">
        <x:v>615</x:v>
      </x:c>
      <x:c r="F448" s="0" t="s">
        <x:v>1461</x:v>
      </x:c>
      <x:c r="G448" s="0" t="s">
        <x:v>1320</x:v>
      </x:c>
      <x:c r="M448" s="0">
        <x:v>2019</x:v>
      </x:c>
      <x:c r="N448" s="0">
        <x:v>2020</x:v>
      </x:c>
      <x:c r="O448" s="0" t="s">
        <x:v>1482</x:v>
      </x:c>
      <x:c r="S448" s="0">
        <x:v>420</x:v>
      </x:c>
      <x:c r="T448" s="0">
        <x:v>0</x:v>
      </x:c>
      <x:c r="V448" s="0">
        <x:v>0</x:v>
      </x:c>
      <x:c r="W448" s="21">
        <x:v>0</x:v>
      </x:c>
      <x:c r="X448" s="0">
        <x:v>12490</x:v>
      </x:c>
      <x:c r="Y448" s="21">
        <x:v>0</x:v>
      </x:c>
      <x:c r="AK448" s="0" t="s">
        <x:v>1584</x:v>
      </x:c>
    </x:row>
    <x:row r="449" spans="1:37" x14ac:dyDescent="0.25">
      <x:c r="A449" s="0">
        <x:f>ROW(A449)-1</x:f>
      </x:c>
      <x:c r="C449" s="0">
        <x:v>3060</x:v>
      </x:c>
      <x:c r="D449" s="0" t="s">
        <x:v>1117</x:v>
      </x:c>
      <x:c r="E449" s="0" t="s">
        <x:v>1730</x:v>
      </x:c>
      <x:c r="F449" s="0" t="s">
        <x:v>1365</x:v>
      </x:c>
      <x:c r="G449" s="0" t="s">
        <x:v>1320</x:v>
      </x:c>
      <x:c r="M449" s="0">
        <x:v>0</x:v>
      </x:c>
      <x:c r="N449" s="0">
        <x:v>2021</x:v>
      </x:c>
      <x:c r="S449" s="0">
        <x:v>0</x:v>
      </x:c>
      <x:c r="T449" s="0">
        <x:v>0</x:v>
      </x:c>
      <x:c r="V449" s="0">
        <x:v>0</x:v>
      </x:c>
      <x:c r="W449" s="21">
        <x:v>0</x:v>
      </x:c>
      <x:c r="X449" s="0">
        <x:v>0</x:v>
      </x:c>
      <x:c r="Y449" s="21">
        <x:v>0</x:v>
      </x:c>
      <x:c r="AK449" s="0" t="s">
        <x:v>1731</x:v>
      </x:c>
    </x:row>
    <x:row r="450" spans="1:37" x14ac:dyDescent="0.25">
      <x:c r="A450" s="0">
        <x:f>ROW(A450)-1</x:f>
      </x:c>
      <x:c r="C450" s="0">
        <x:v>3061</x:v>
      </x:c>
      <x:c r="D450" s="0" t="s">
        <x:v>618</x:v>
      </x:c>
      <x:c r="E450" s="0" t="s">
        <x:v>619</x:v>
      </x:c>
      <x:c r="F450" s="0" t="s">
        <x:v>1461</x:v>
      </x:c>
      <x:c r="G450" s="0" t="s">
        <x:v>1320</x:v>
      </x:c>
      <x:c r="M450" s="0">
        <x:v>2019</x:v>
      </x:c>
      <x:c r="N450" s="0">
        <x:v>2020</x:v>
      </x:c>
      <x:c r="O450" s="0" t="s">
        <x:v>1482</x:v>
      </x:c>
      <x:c r="S450" s="0">
        <x:v>0</x:v>
      </x:c>
      <x:c r="T450" s="0">
        <x:v>0</x:v>
      </x:c>
      <x:c r="V450" s="0">
        <x:v>0</x:v>
      </x:c>
      <x:c r="W450" s="21">
        <x:v>0</x:v>
      </x:c>
      <x:c r="X450" s="0">
        <x:v>27200</x:v>
      </x:c>
      <x:c r="Y450" s="21">
        <x:v>0</x:v>
      </x:c>
      <x:c r="AK450" s="0" t="s">
        <x:v>1584</x:v>
      </x:c>
    </x:row>
    <x:row r="451" spans="1:37" x14ac:dyDescent="0.25">
      <x:c r="A451" s="0">
        <x:f>ROW(A451)-1</x:f>
      </x:c>
      <x:c r="C451" s="0">
        <x:v>3062</x:v>
      </x:c>
      <x:c r="D451" s="0" t="s">
        <x:v>623</x:v>
      </x:c>
      <x:c r="E451" s="0" t="s">
        <x:v>624</x:v>
      </x:c>
      <x:c r="G451" s="0" t="s">
        <x:v>1320</x:v>
      </x:c>
      <x:c r="M451" s="0">
        <x:v>0</x:v>
      </x:c>
      <x:c r="N451" s="0">
        <x:v>2020</x:v>
      </x:c>
      <x:c r="S451" s="0">
        <x:v>0</x:v>
      </x:c>
      <x:c r="T451" s="0">
        <x:v>0</x:v>
      </x:c>
      <x:c r="V451" s="0">
        <x:v>0</x:v>
      </x:c>
      <x:c r="W451" s="21">
        <x:v>0</x:v>
      </x:c>
      <x:c r="X451" s="0">
        <x:v>0</x:v>
      </x:c>
      <x:c r="Y451" s="21">
        <x:v>0</x:v>
      </x:c>
    </x:row>
    <x:row r="452" spans="1:37" x14ac:dyDescent="0.25">
      <x:c r="A452" s="0">
        <x:f>ROW(A452)-1</x:f>
      </x:c>
      <x:c r="C452" s="0">
        <x:v>3063</x:v>
      </x:c>
      <x:c r="D452" s="0" t="s">
        <x:v>628</x:v>
      </x:c>
      <x:c r="E452" s="0" t="s">
        <x:v>629</x:v>
      </x:c>
      <x:c r="F452" s="0" t="s">
        <x:v>1462</x:v>
      </x:c>
      <x:c r="G452" s="0" t="s">
        <x:v>1320</x:v>
      </x:c>
      <x:c r="M452" s="0">
        <x:v>0</x:v>
      </x:c>
      <x:c r="N452" s="0">
        <x:v>2021</x:v>
      </x:c>
      <x:c r="O452" s="0" t="s">
        <x:v>1441</x:v>
      </x:c>
      <x:c r="S452" s="0">
        <x:v>4000</x:v>
      </x:c>
      <x:c r="T452" s="0">
        <x:v>0</x:v>
      </x:c>
      <x:c r="V452" s="0">
        <x:v>0</x:v>
      </x:c>
      <x:c r="W452" s="21">
        <x:v>0</x:v>
      </x:c>
      <x:c r="X452" s="0">
        <x:v>0</x:v>
      </x:c>
      <x:c r="Y452" s="21">
        <x:v>0</x:v>
      </x:c>
      <x:c r="AK452" s="0" t="s">
        <x:v>1463</x:v>
      </x:c>
    </x:row>
    <x:row r="453" spans="1:37" x14ac:dyDescent="0.25">
      <x:c r="A453" s="0">
        <x:f>ROW(A453)-1</x:f>
      </x:c>
      <x:c r="C453" s="0">
        <x:v>3063</x:v>
      </x:c>
      <x:c r="D453" s="0" t="s">
        <x:v>1118</x:v>
      </x:c>
      <x:c r="E453" s="0" t="s">
        <x:v>1732</x:v>
      </x:c>
      <x:c r="G453" s="0" t="s">
        <x:v>1320</x:v>
      </x:c>
      <x:c r="H453" s="0" t="s">
        <x:v>1733</x:v>
      </x:c>
      <x:c r="I453" s="0" t="s">
        <x:v>632</x:v>
      </x:c>
      <x:c r="J453" s="0" t="s">
        <x:v>633</x:v>
      </x:c>
      <x:c r="K453" s="0" t="s">
        <x:v>1478</x:v>
      </x:c>
      <x:c r="M453" s="0">
        <x:v>0</x:v>
      </x:c>
      <x:c r="N453" s="0">
        <x:v>2021</x:v>
      </x:c>
      <x:c r="S453" s="0">
        <x:v>0</x:v>
      </x:c>
      <x:c r="T453" s="0">
        <x:v>0</x:v>
      </x:c>
      <x:c r="V453" s="0">
        <x:v>0</x:v>
      </x:c>
      <x:c r="W453" s="21">
        <x:v>0</x:v>
      </x:c>
      <x:c r="X453" s="0">
        <x:v>20000</x:v>
      </x:c>
      <x:c r="Y453" s="21">
        <x:v>0</x:v>
      </x:c>
    </x:row>
    <x:row r="454" spans="1:37" x14ac:dyDescent="0.25">
      <x:c r="A454" s="0">
        <x:f>ROW(A454)-1</x:f>
      </x:c>
      <x:c r="C454" s="0">
        <x:v>3064</x:v>
      </x:c>
      <x:c r="D454" s="0" t="s">
        <x:v>634</x:v>
      </x:c>
      <x:c r="E454" s="0" t="s">
        <x:v>1734</x:v>
      </x:c>
      <x:c r="F454" s="0" t="s">
        <x:v>1365</x:v>
      </x:c>
      <x:c r="G454" s="0" t="s">
        <x:v>1320</x:v>
      </x:c>
      <x:c r="M454" s="0">
        <x:v>0</x:v>
      </x:c>
      <x:c r="N454" s="0">
        <x:v>2020</x:v>
      </x:c>
      <x:c r="O454" s="0" t="s">
        <x:v>1591</x:v>
      </x:c>
      <x:c r="S454" s="0">
        <x:v>348</x:v>
      </x:c>
      <x:c r="T454" s="0">
        <x:v>0</x:v>
      </x:c>
      <x:c r="V454" s="0">
        <x:v>0</x:v>
      </x:c>
      <x:c r="W454" s="21">
        <x:v>0</x:v>
      </x:c>
      <x:c r="X454" s="0">
        <x:v>0</x:v>
      </x:c>
      <x:c r="Y454" s="21">
        <x:v>0</x:v>
      </x:c>
    </x:row>
    <x:row r="455" spans="1:37" x14ac:dyDescent="0.25">
      <x:c r="A455" s="0">
        <x:f>ROW(A455)-1</x:f>
      </x:c>
      <x:c r="C455" s="0">
        <x:v>3065</x:v>
      </x:c>
      <x:c r="D455" s="0" t="s">
        <x:v>117</x:v>
      </x:c>
      <x:c r="F455" s="0" t="s">
        <x:v>1365</x:v>
      </x:c>
      <x:c r="G455" s="0" t="s">
        <x:v>1320</x:v>
      </x:c>
      <x:c r="M455" s="0">
        <x:v>0</x:v>
      </x:c>
      <x:c r="N455" s="0">
        <x:v>2020</x:v>
      </x:c>
      <x:c r="O455" s="0" t="s">
        <x:v>1482</x:v>
      </x:c>
      <x:c r="S455" s="0">
        <x:v>240</x:v>
      </x:c>
      <x:c r="T455" s="0">
        <x:v>0</x:v>
      </x:c>
      <x:c r="V455" s="0">
        <x:v>0</x:v>
      </x:c>
      <x:c r="W455" s="21">
        <x:v>0</x:v>
      </x:c>
      <x:c r="X455" s="0">
        <x:v>0</x:v>
      </x:c>
      <x:c r="Y455" s="21">
        <x:v>0</x:v>
      </x:c>
    </x:row>
    <x:row r="456" spans="1:37" x14ac:dyDescent="0.25">
      <x:c r="A456" s="0">
        <x:f>ROW(A456)-1</x:f>
      </x:c>
      <x:c r="C456" s="0">
        <x:v>3066</x:v>
      </x:c>
      <x:c r="D456" s="0" t="s">
        <x:v>477</x:v>
      </x:c>
      <x:c r="E456" s="0" t="s">
        <x:v>1735</x:v>
      </x:c>
      <x:c r="F456" s="0" t="s">
        <x:v>1717</x:v>
      </x:c>
      <x:c r="G456" s="0" t="s">
        <x:v>1320</x:v>
      </x:c>
      <x:c r="M456" s="0">
        <x:v>0</x:v>
      </x:c>
      <x:c r="N456" s="0">
        <x:v>2020</x:v>
      </x:c>
      <x:c r="O456" s="0" t="s">
        <x:v>1591</x:v>
      </x:c>
      <x:c r="S456" s="0">
        <x:v>120</x:v>
      </x:c>
      <x:c r="T456" s="0">
        <x:v>0</x:v>
      </x:c>
      <x:c r="V456" s="0">
        <x:v>0</x:v>
      </x:c>
      <x:c r="W456" s="21">
        <x:v>0</x:v>
      </x:c>
      <x:c r="X456" s="0">
        <x:v>0</x:v>
      </x:c>
      <x:c r="Y456" s="21">
        <x:v>0</x:v>
      </x:c>
    </x:row>
    <x:row r="457" spans="1:37" x14ac:dyDescent="0.25">
      <x:c r="A457" s="0">
        <x:f>ROW(A457)-1</x:f>
      </x:c>
      <x:c r="C457" s="0">
        <x:v>3067</x:v>
      </x:c>
      <x:c r="D457" s="0" t="s">
        <x:v>634</x:v>
      </x:c>
      <x:c r="E457" s="0" t="s">
        <x:v>635</x:v>
      </x:c>
      <x:c r="F457" s="0" t="s">
        <x:v>1386</x:v>
      </x:c>
      <x:c r="G457" s="0" t="s">
        <x:v>1320</x:v>
      </x:c>
      <x:c r="M457" s="0">
        <x:v>0</x:v>
      </x:c>
      <x:c r="N457" s="0">
        <x:v>2020</x:v>
      </x:c>
      <x:c r="O457" s="0" t="s">
        <x:v>1482</x:v>
      </x:c>
      <x:c r="S457" s="0">
        <x:v>1240</x:v>
      </x:c>
      <x:c r="T457" s="0">
        <x:v>0</x:v>
      </x:c>
      <x:c r="V457" s="0">
        <x:v>0</x:v>
      </x:c>
      <x:c r="W457" s="21">
        <x:v>0</x:v>
      </x:c>
      <x:c r="X457" s="0">
        <x:v>0</x:v>
      </x:c>
      <x:c r="Y457" s="21">
        <x:v>0</x:v>
      </x:c>
    </x:row>
    <x:row r="458" spans="1:37" x14ac:dyDescent="0.25">
      <x:c r="A458" s="0">
        <x:f>ROW(A458)-1</x:f>
      </x:c>
      <x:c r="C458" s="0">
        <x:v>3068</x:v>
      </x:c>
      <x:c r="D458" s="0" t="s">
        <x:v>634</x:v>
      </x:c>
      <x:c r="E458" s="0" t="s">
        <x:v>639</x:v>
      </x:c>
      <x:c r="F458" s="0" t="s">
        <x:v>1432</x:v>
      </x:c>
      <x:c r="G458" s="0" t="s">
        <x:v>1320</x:v>
      </x:c>
      <x:c r="M458" s="0">
        <x:v>0</x:v>
      </x:c>
      <x:c r="N458" s="0">
        <x:v>2020</x:v>
      </x:c>
      <x:c r="O458" s="0" t="s">
        <x:v>1591</x:v>
      </x:c>
      <x:c r="S458" s="0">
        <x:v>544</x:v>
      </x:c>
      <x:c r="T458" s="0">
        <x:v>0</x:v>
      </x:c>
      <x:c r="V458" s="0">
        <x:v>0</x:v>
      </x:c>
      <x:c r="W458" s="21">
        <x:v>0</x:v>
      </x:c>
      <x:c r="X458" s="0">
        <x:v>0</x:v>
      </x:c>
      <x:c r="Y458" s="21">
        <x:v>0</x:v>
      </x:c>
    </x:row>
    <x:row r="459" spans="1:37" x14ac:dyDescent="0.25">
      <x:c r="A459" s="0">
        <x:f>ROW(A459)-1</x:f>
      </x:c>
      <x:c r="C459" s="0">
        <x:v>3070</x:v>
      </x:c>
      <x:c r="D459" s="0" t="s">
        <x:v>477</x:v>
      </x:c>
      <x:c r="E459" s="0" t="s">
        <x:v>641</x:v>
      </x:c>
      <x:c r="F459" s="0" t="s">
        <x:v>1365</x:v>
      </x:c>
      <x:c r="G459" s="0" t="s">
        <x:v>1320</x:v>
      </x:c>
      <x:c r="M459" s="0">
        <x:v>0</x:v>
      </x:c>
      <x:c r="N459" s="0">
        <x:v>2020</x:v>
      </x:c>
      <x:c r="O459" s="0" t="s">
        <x:v>1482</x:v>
      </x:c>
      <x:c r="S459" s="0">
        <x:v>1000</x:v>
      </x:c>
      <x:c r="T459" s="0">
        <x:v>0</x:v>
      </x:c>
      <x:c r="V459" s="0">
        <x:v>0</x:v>
      </x:c>
      <x:c r="W459" s="21">
        <x:v>0</x:v>
      </x:c>
      <x:c r="X459" s="0">
        <x:v>0</x:v>
      </x:c>
      <x:c r="Y459" s="21">
        <x:v>0</x:v>
      </x:c>
    </x:row>
    <x:row r="460" spans="1:37" x14ac:dyDescent="0.25">
      <x:c r="A460" s="0">
        <x:f>ROW(A460)-1</x:f>
      </x:c>
      <x:c r="C460" s="0">
        <x:v>3071</x:v>
      </x:c>
      <x:c r="D460" s="0" t="s">
        <x:v>477</x:v>
      </x:c>
      <x:c r="E460" s="0" t="s">
        <x:v>643</x:v>
      </x:c>
      <x:c r="F460" s="0" t="s">
        <x:v>1377</x:v>
      </x:c>
      <x:c r="G460" s="0" t="s">
        <x:v>1320</x:v>
      </x:c>
      <x:c r="M460" s="0">
        <x:v>0</x:v>
      </x:c>
      <x:c r="N460" s="0">
        <x:v>2020</x:v>
      </x:c>
      <x:c r="O460" s="0" t="s">
        <x:v>1591</x:v>
      </x:c>
      <x:c r="S460" s="0">
        <x:v>333</x:v>
      </x:c>
      <x:c r="T460" s="0">
        <x:v>0</x:v>
      </x:c>
      <x:c r="V460" s="0">
        <x:v>0</x:v>
      </x:c>
      <x:c r="W460" s="21">
        <x:v>0</x:v>
      </x:c>
      <x:c r="X460" s="0">
        <x:v>0</x:v>
      </x:c>
      <x:c r="Y460" s="21">
        <x:v>0</x:v>
      </x:c>
    </x:row>
    <x:row r="461" spans="1:37" x14ac:dyDescent="0.25">
      <x:c r="A461" s="0">
        <x:f>ROW(A461)-1</x:f>
      </x:c>
      <x:c r="C461" s="0">
        <x:v>3072</x:v>
      </x:c>
      <x:c r="D461" s="0" t="s">
        <x:v>1129</x:v>
      </x:c>
      <x:c r="E461" s="0" t="s">
        <x:v>513</x:v>
      </x:c>
      <x:c r="F461" s="0" t="s">
        <x:v>1711</x:v>
      </x:c>
      <x:c r="G461" s="0" t="s">
        <x:v>1320</x:v>
      </x:c>
      <x:c r="M461" s="0">
        <x:v>0</x:v>
      </x:c>
      <x:c r="N461" s="0">
        <x:v>2021</x:v>
      </x:c>
      <x:c r="O461" s="0" t="s">
        <x:v>1586</x:v>
      </x:c>
      <x:c r="S461" s="0">
        <x:v>900</x:v>
      </x:c>
      <x:c r="T461" s="0">
        <x:v>0</x:v>
      </x:c>
      <x:c r="V461" s="0">
        <x:v>0</x:v>
      </x:c>
      <x:c r="W461" s="21">
        <x:v>0</x:v>
      </x:c>
      <x:c r="X461" s="0">
        <x:v>60000</x:v>
      </x:c>
      <x:c r="Y461" s="21">
        <x:v>0</x:v>
      </x:c>
      <x:c r="AK461" s="0" t="s">
        <x:v>1736</x:v>
      </x:c>
    </x:row>
    <x:row r="462" spans="1:37" x14ac:dyDescent="0.25">
      <x:c r="A462" s="0">
        <x:f>ROW(A462)-1</x:f>
      </x:c>
      <x:c r="C462" s="0">
        <x:v>3074</x:v>
      </x:c>
      <x:c r="D462" s="0" t="s">
        <x:v>224</x:v>
      </x:c>
      <x:c r="E462" s="0" t="s">
        <x:v>1737</x:v>
      </x:c>
      <x:c r="G462" s="0" t="s">
        <x:v>1320</x:v>
      </x:c>
      <x:c r="M462" s="0">
        <x:v>0</x:v>
      </x:c>
      <x:c r="N462" s="0">
        <x:v>2020</x:v>
      </x:c>
      <x:c r="S462" s="0">
        <x:v>0</x:v>
      </x:c>
      <x:c r="T462" s="0">
        <x:v>0</x:v>
      </x:c>
      <x:c r="V462" s="0">
        <x:v>0</x:v>
      </x:c>
      <x:c r="W462" s="21">
        <x:v>0</x:v>
      </x:c>
      <x:c r="X462" s="0">
        <x:v>464729</x:v>
      </x:c>
      <x:c r="Y462" s="21">
        <x:v>0</x:v>
      </x:c>
    </x:row>
    <x:row r="463" spans="1:37" x14ac:dyDescent="0.25">
      <x:c r="A463" s="0">
        <x:f>ROW(A463)-1</x:f>
      </x:c>
      <x:c r="C463" s="0">
        <x:v>3075</x:v>
      </x:c>
      <x:c r="D463" s="0" t="s">
        <x:v>1135</x:v>
      </x:c>
      <x:c r="E463" s="0" t="s">
        <x:v>1738</x:v>
      </x:c>
      <x:c r="F463" s="0" t="s">
        <x:v>1365</x:v>
      </x:c>
      <x:c r="G463" s="0" t="s">
        <x:v>1320</x:v>
      </x:c>
      <x:c r="M463" s="0">
        <x:v>0</x:v>
      </x:c>
      <x:c r="N463" s="0">
        <x:v>2021</x:v>
      </x:c>
      <x:c r="O463" s="0" t="s">
        <x:v>1482</x:v>
      </x:c>
      <x:c r="S463" s="0">
        <x:v>0</x:v>
      </x:c>
      <x:c r="T463" s="0">
        <x:v>0</x:v>
      </x:c>
      <x:c r="V463" s="0">
        <x:v>0</x:v>
      </x:c>
      <x:c r="W463" s="21">
        <x:v>0</x:v>
      </x:c>
      <x:c r="X463" s="0">
        <x:v>0</x:v>
      </x:c>
      <x:c r="Y463" s="21">
        <x:v>0</x:v>
      </x:c>
      <x:c r="AK463" s="0" t="s">
        <x:v>1739</x:v>
      </x:c>
    </x:row>
    <x:row r="464" spans="1:37" x14ac:dyDescent="0.25">
      <x:c r="A464" s="0">
        <x:f>ROW(A464)-1</x:f>
      </x:c>
      <x:c r="C464" s="0">
        <x:v>3076</x:v>
      </x:c>
      <x:c r="D464" s="0" t="s">
        <x:v>1138</x:v>
      </x:c>
      <x:c r="E464" s="0" t="s">
        <x:v>1740</x:v>
      </x:c>
      <x:c r="F464" s="0" t="s">
        <x:v>1365</x:v>
      </x:c>
      <x:c r="G464" s="0" t="s">
        <x:v>1320</x:v>
      </x:c>
      <x:c r="M464" s="0">
        <x:v>0</x:v>
      </x:c>
      <x:c r="N464" s="0">
        <x:v>2020</x:v>
      </x:c>
      <x:c r="O464" s="0" t="s">
        <x:v>1482</x:v>
      </x:c>
      <x:c r="S464" s="0">
        <x:v>0</x:v>
      </x:c>
      <x:c r="T464" s="0">
        <x:v>0</x:v>
      </x:c>
      <x:c r="V464" s="0">
        <x:v>0</x:v>
      </x:c>
      <x:c r="W464" s="21">
        <x:v>0</x:v>
      </x:c>
      <x:c r="X464" s="0">
        <x:v>10000</x:v>
      </x:c>
      <x:c r="Y464" s="21">
        <x:v>0</x:v>
      </x:c>
    </x:row>
    <x:row r="465" spans="1:37" x14ac:dyDescent="0.25">
      <x:c r="A465" s="0">
        <x:f>ROW(A465)-1</x:f>
      </x:c>
      <x:c r="C465" s="0">
        <x:v>3077</x:v>
      </x:c>
      <x:c r="D465" s="0" t="s">
        <x:v>1141</x:v>
      </x:c>
      <x:c r="E465" s="0" t="s">
        <x:v>1741</x:v>
      </x:c>
      <x:c r="F465" s="0" t="s">
        <x:v>1742</x:v>
      </x:c>
      <x:c r="G465" s="0" t="s">
        <x:v>1320</x:v>
      </x:c>
      <x:c r="M465" s="0">
        <x:v>0</x:v>
      </x:c>
      <x:c r="N465" s="0">
        <x:v>2021</x:v>
      </x:c>
      <x:c r="O465" s="0" t="s">
        <x:v>1586</x:v>
      </x:c>
      <x:c r="S465" s="0">
        <x:v>408</x:v>
      </x:c>
      <x:c r="T465" s="0">
        <x:v>0</x:v>
      </x:c>
      <x:c r="V465" s="0">
        <x:v>0</x:v>
      </x:c>
      <x:c r="W465" s="21">
        <x:v>0</x:v>
      </x:c>
      <x:c r="X465" s="0">
        <x:v>32000</x:v>
      </x:c>
      <x:c r="Y465" s="21">
        <x:v>0</x:v>
      </x:c>
      <x:c r="AK465" s="0" t="s">
        <x:v>1743</x:v>
      </x:c>
    </x:row>
    <x:row r="466" spans="1:37" x14ac:dyDescent="0.25">
      <x:c r="A466" s="0">
        <x:f>ROW(A466)-1</x:f>
      </x:c>
      <x:c r="C466" s="0">
        <x:v>3079</x:v>
      </x:c>
      <x:c r="D466" s="0" t="s">
        <x:v>1143</x:v>
      </x:c>
      <x:c r="E466" s="0" t="s">
        <x:v>1744</x:v>
      </x:c>
      <x:c r="F466" s="0" t="s">
        <x:v>1745</x:v>
      </x:c>
      <x:c r="G466" s="0" t="s">
        <x:v>1320</x:v>
      </x:c>
      <x:c r="H466" s="0" t="s">
        <x:v>1746</x:v>
      </x:c>
      <x:c r="I466" s="0" t="s">
        <x:v>1747</x:v>
      </x:c>
      <x:c r="J466" s="0" t="s">
        <x:v>1748</x:v>
      </x:c>
      <x:c r="K466" s="0" t="s">
        <x:v>1339</x:v>
      </x:c>
      <x:c r="M466" s="0">
        <x:v>0</x:v>
      </x:c>
      <x:c r="N466" s="0">
        <x:v>2021</x:v>
      </x:c>
      <x:c r="S466" s="0">
        <x:v>0</x:v>
      </x:c>
      <x:c r="T466" s="0">
        <x:v>0</x:v>
      </x:c>
      <x:c r="V466" s="0">
        <x:v>0</x:v>
      </x:c>
      <x:c r="W466" s="21">
        <x:v>0</x:v>
      </x:c>
      <x:c r="X466" s="0">
        <x:v>0</x:v>
      </x:c>
      <x:c r="Y466" s="21">
        <x:v>0</x:v>
      </x:c>
      <x:c r="AK466" s="0" t="s">
        <x:v>1749</x:v>
      </x:c>
    </x:row>
    <x:row r="467" spans="1:37" x14ac:dyDescent="0.25">
      <x:c r="A467" s="0">
        <x:f>ROW(A467)-1</x:f>
      </x:c>
      <x:c r="C467" s="0">
        <x:v>3080</x:v>
      </x:c>
      <x:c r="D467" s="0" t="s">
        <x:v>224</x:v>
      </x:c>
      <x:c r="E467" s="0" t="s">
        <x:v>1750</x:v>
      </x:c>
      <x:c r="F467" s="0" t="s">
        <x:v>1751</x:v>
      </x:c>
      <x:c r="G467" s="0" t="s">
        <x:v>1320</x:v>
      </x:c>
      <x:c r="M467" s="0">
        <x:v>0</x:v>
      </x:c>
      <x:c r="N467" s="0">
        <x:v>2021</x:v>
      </x:c>
      <x:c r="S467" s="0">
        <x:v>0</x:v>
      </x:c>
      <x:c r="T467" s="0">
        <x:v>0</x:v>
      </x:c>
      <x:c r="V467" s="0">
        <x:v>0</x:v>
      </x:c>
      <x:c r="W467" s="21">
        <x:v>0</x:v>
      </x:c>
      <x:c r="X467" s="0">
        <x:v>0</x:v>
      </x:c>
      <x:c r="Y467" s="21">
        <x:v>0</x:v>
      </x:c>
    </x:row>
    <x:row r="468" spans="1:37" x14ac:dyDescent="0.25">
      <x:c r="A468" s="0">
        <x:f>ROW(A468)-1</x:f>
      </x:c>
      <x:c r="C468" s="0">
        <x:v>3081</x:v>
      </x:c>
      <x:c r="D468" s="0" t="s">
        <x:v>224</x:v>
      </x:c>
      <x:c r="E468" s="0" t="s">
        <x:v>646</x:v>
      </x:c>
      <x:c r="G468" s="0" t="s">
        <x:v>1320</x:v>
      </x:c>
      <x:c r="M468" s="0">
        <x:v>0</x:v>
      </x:c>
      <x:c r="N468" s="0">
        <x:v>0</x:v>
      </x:c>
      <x:c r="S468" s="0">
        <x:v>0</x:v>
      </x:c>
      <x:c r="T468" s="0">
        <x:v>0</x:v>
      </x:c>
      <x:c r="V468" s="0">
        <x:v>0</x:v>
      </x:c>
      <x:c r="W468" s="21">
        <x:v>0</x:v>
      </x:c>
      <x:c r="X468" s="0">
        <x:v>0</x:v>
      </x:c>
      <x:c r="Y468" s="21">
        <x:v>0</x:v>
      </x:c>
    </x:row>
    <x:row r="469" spans="1:37" x14ac:dyDescent="0.25">
      <x:c r="A469" s="0">
        <x:f>ROW(A469)-1</x:f>
      </x:c>
      <x:c r="C469" s="0">
        <x:v>3073</x:v>
      </x:c>
      <x:c r="D469" s="0" t="s">
        <x:v>117</x:v>
      </x:c>
      <x:c r="E469" s="0" t="s">
        <x:v>1752</x:v>
      </x:c>
      <x:c r="F469" s="0" t="s">
        <x:v>1365</x:v>
      </x:c>
      <x:c r="G469" s="0" t="s">
        <x:v>1320</x:v>
      </x:c>
      <x:c r="M469" s="0">
        <x:v>0</x:v>
      </x:c>
      <x:c r="N469" s="0">
        <x:v>2020</x:v>
      </x:c>
      <x:c r="O469" s="0" t="s">
        <x:v>1441</x:v>
      </x:c>
      <x:c r="S469" s="0">
        <x:v>215</x:v>
      </x:c>
      <x:c r="T469" s="0">
        <x:v>0</x:v>
      </x:c>
      <x:c r="V469" s="0">
        <x:v>0</x:v>
      </x:c>
      <x:c r="W469" s="21">
        <x:v>0</x:v>
      </x:c>
      <x:c r="X469" s="0">
        <x:v>7500</x:v>
      </x:c>
      <x:c r="Y469" s="21">
        <x:v>0</x:v>
      </x:c>
    </x:row>
    <x:row r="470" spans="1:37" x14ac:dyDescent="0.25">
      <x:c r="A470" s="0">
        <x:f>ROW(A470)-1</x:f>
      </x:c>
      <x:c r="C470" s="0">
        <x:v>3082</x:v>
      </x:c>
      <x:c r="D470" s="0" t="s">
        <x:v>650</x:v>
      </x:c>
      <x:c r="E470" s="0" t="s">
        <x:v>651</x:v>
      </x:c>
      <x:c r="F470" s="0" t="s">
        <x:v>1365</x:v>
      </x:c>
      <x:c r="G470" s="0" t="s">
        <x:v>1320</x:v>
      </x:c>
      <x:c r="M470" s="0">
        <x:v>0</x:v>
      </x:c>
      <x:c r="N470" s="0">
        <x:v>2020</x:v>
      </x:c>
      <x:c r="O470" s="0" t="s">
        <x:v>1482</x:v>
      </x:c>
      <x:c r="S470" s="0">
        <x:v>0</x:v>
      </x:c>
      <x:c r="T470" s="0">
        <x:v>0</x:v>
      </x:c>
      <x:c r="V470" s="0">
        <x:v>0</x:v>
      </x:c>
      <x:c r="W470" s="21">
        <x:v>0</x:v>
      </x:c>
      <x:c r="X470" s="0">
        <x:v>0</x:v>
      </x:c>
      <x:c r="Y470" s="21">
        <x:v>0</x:v>
      </x:c>
    </x:row>
    <x:row r="471" spans="1:37" x14ac:dyDescent="0.25">
      <x:c r="A471" s="0">
        <x:f>ROW(A471)-1</x:f>
      </x:c>
      <x:c r="C471" s="0">
        <x:v>3084</x:v>
      </x:c>
      <x:c r="D471" s="0" t="s">
        <x:v>658</x:v>
      </x:c>
      <x:c r="E471" s="0" t="s">
        <x:v>659</x:v>
      </x:c>
      <x:c r="F471" s="0" t="s">
        <x:v>1464</x:v>
      </x:c>
      <x:c r="G471" s="0" t="s">
        <x:v>1320</x:v>
      </x:c>
      <x:c r="H471" s="0" t="s">
        <x:v>1465</x:v>
      </x:c>
      <x:c r="I471" s="0" t="s">
        <x:v>329</x:v>
      </x:c>
      <x:c r="J471" s="0" t="s">
        <x:v>1466</x:v>
      </x:c>
      <x:c r="K471" s="0" t="s">
        <x:v>1467</x:v>
      </x:c>
      <x:c r="M471" s="0">
        <x:v>0</x:v>
      </x:c>
      <x:c r="N471" s="0">
        <x:v>2022</x:v>
      </x:c>
      <x:c r="O471" s="0" t="s">
        <x:v>1482</x:v>
      </x:c>
      <x:c r="S471" s="0">
        <x:v>5656</x:v>
      </x:c>
      <x:c r="T471" s="0">
        <x:v>0</x:v>
      </x:c>
      <x:c r="V471" s="0">
        <x:v>0</x:v>
      </x:c>
      <x:c r="W471" s="21">
        <x:v>0</x:v>
      </x:c>
      <x:c r="X471" s="0">
        <x:v>0</x:v>
      </x:c>
      <x:c r="Y471" s="21">
        <x:v>0</x:v>
      </x:c>
      <x:c r="AK471" s="0" t="s">
        <x:v>1468</x:v>
      </x:c>
    </x:row>
    <x:row r="472" spans="1:37" x14ac:dyDescent="0.25">
      <x:c r="A472" s="0">
        <x:f>ROW(A472)-1</x:f>
      </x:c>
      <x:c r="C472" s="0">
        <x:v>3085</x:v>
      </x:c>
      <x:c r="D472" s="0" t="s">
        <x:v>663</x:v>
      </x:c>
      <x:c r="E472" s="0" t="s">
        <x:v>664</x:v>
      </x:c>
      <x:c r="F472" s="0" t="s">
        <x:v>1387</x:v>
      </x:c>
      <x:c r="G472" s="0" t="s">
        <x:v>1320</x:v>
      </x:c>
      <x:c r="H472" s="0" t="s">
        <x:v>1469</x:v>
      </x:c>
      <x:c r="I472" s="0" t="s">
        <x:v>270</x:v>
      </x:c>
      <x:c r="J472" s="0" t="s">
        <x:v>665</x:v>
      </x:c>
      <x:c r="K472" s="0" t="s">
        <x:v>1470</x:v>
      </x:c>
      <x:c r="M472" s="0">
        <x:v>0</x:v>
      </x:c>
      <x:c r="N472" s="0">
        <x:v>2021</x:v>
      </x:c>
      <x:c r="O472" s="0" t="s">
        <x:v>1482</x:v>
      </x:c>
      <x:c r="S472" s="0">
        <x:v>4000</x:v>
      </x:c>
      <x:c r="T472" s="0">
        <x:v>0</x:v>
      </x:c>
      <x:c r="V472" s="0">
        <x:v>0</x:v>
      </x:c>
      <x:c r="W472" s="21">
        <x:v>0</x:v>
      </x:c>
      <x:c r="X472" s="0">
        <x:v>170000</x:v>
      </x:c>
      <x:c r="Y472" s="21">
        <x:v>0</x:v>
      </x:c>
    </x:row>
    <x:row r="473" spans="1:37" x14ac:dyDescent="0.25">
      <x:c r="A473" s="0">
        <x:f>ROW(A473)-1</x:f>
      </x:c>
      <x:c r="C473" s="0">
        <x:v>3086</x:v>
      </x:c>
      <x:c r="D473" s="0" t="s">
        <x:v>666</x:v>
      </x:c>
      <x:c r="E473" s="0" t="s">
        <x:v>667</x:v>
      </x:c>
      <x:c r="F473" s="0" t="s">
        <x:v>1471</x:v>
      </x:c>
      <x:c r="G473" s="0" t="s">
        <x:v>1320</x:v>
      </x:c>
      <x:c r="H473" s="0" t="s">
        <x:v>1472</x:v>
      </x:c>
      <x:c r="I473" s="0" t="s">
        <x:v>668</x:v>
      </x:c>
      <x:c r="J473" s="0" t="s">
        <x:v>338</x:v>
      </x:c>
      <x:c r="K473" s="0" t="s">
        <x:v>1473</x:v>
      </x:c>
      <x:c r="M473" s="0">
        <x:v>0</x:v>
      </x:c>
      <x:c r="N473" s="0">
        <x:v>2021</x:v>
      </x:c>
      <x:c r="O473" s="0" t="s">
        <x:v>1586</x:v>
      </x:c>
      <x:c r="S473" s="0">
        <x:v>150</x:v>
      </x:c>
      <x:c r="T473" s="0">
        <x:v>0</x:v>
      </x:c>
      <x:c r="V473" s="0">
        <x:v>0</x:v>
      </x:c>
      <x:c r="W473" s="21">
        <x:v>0</x:v>
      </x:c>
      <x:c r="X473" s="0">
        <x:v>45295</x:v>
      </x:c>
      <x:c r="Y473" s="21">
        <x:v>0</x:v>
      </x:c>
    </x:row>
    <x:row r="474" spans="1:37" x14ac:dyDescent="0.25">
      <x:c r="A474" s="0">
        <x:f>ROW(A474)-1</x:f>
      </x:c>
      <x:c r="C474" s="0">
        <x:v>3087</x:v>
      </x:c>
      <x:c r="D474" s="0" t="s">
        <x:v>224</x:v>
      </x:c>
      <x:c r="E474" s="0" t="s">
        <x:v>669</x:v>
      </x:c>
      <x:c r="F474" s="0" t="s">
        <x:v>1381</x:v>
      </x:c>
      <x:c r="G474" s="0" t="s">
        <x:v>1320</x:v>
      </x:c>
      <x:c r="M474" s="0">
        <x:v>0</x:v>
      </x:c>
      <x:c r="N474" s="0">
        <x:v>2020</x:v>
      </x:c>
      <x:c r="O474" s="0" t="s">
        <x:v>1482</x:v>
      </x:c>
      <x:c r="S474" s="0">
        <x:v>0</x:v>
      </x:c>
      <x:c r="T474" s="0">
        <x:v>0</x:v>
      </x:c>
      <x:c r="V474" s="0">
        <x:v>0</x:v>
      </x:c>
      <x:c r="W474" s="21">
        <x:v>0</x:v>
      </x:c>
      <x:c r="X474" s="0">
        <x:v>0</x:v>
      </x:c>
      <x:c r="Y474" s="21">
        <x:v>0</x:v>
      </x:c>
    </x:row>
    <x:row r="475" spans="1:37" x14ac:dyDescent="0.25">
      <x:c r="A475" s="0">
        <x:f>ROW(A475)-1</x:f>
      </x:c>
      <x:c r="C475" s="0">
        <x:v>3088</x:v>
      </x:c>
      <x:c r="D475" s="0" t="s">
        <x:v>666</x:v>
      </x:c>
      <x:c r="E475" s="0" t="s">
        <x:v>672</x:v>
      </x:c>
      <x:c r="F475" s="0" t="s">
        <x:v>1474</x:v>
      </x:c>
      <x:c r="G475" s="0" t="s">
        <x:v>1320</x:v>
      </x:c>
      <x:c r="H475" s="0" t="s">
        <x:v>1465</x:v>
      </x:c>
      <x:c r="I475" s="0" t="s">
        <x:v>329</x:v>
      </x:c>
      <x:c r="J475" s="0" t="s">
        <x:v>675</x:v>
      </x:c>
      <x:c r="K475" s="0" t="s">
        <x:v>1475</x:v>
      </x:c>
      <x:c r="M475" s="0">
        <x:v>1956</x:v>
      </x:c>
      <x:c r="N475" s="0">
        <x:v>2022</x:v>
      </x:c>
      <x:c r="O475" s="0" t="s">
        <x:v>1533</x:v>
      </x:c>
      <x:c r="Q475" s="0" t="s">
        <x:v>1476</x:v>
      </x:c>
      <x:c r="S475" s="0">
        <x:v>540</x:v>
      </x:c>
      <x:c r="T475" s="0">
        <x:v>0</x:v>
      </x:c>
      <x:c r="V475" s="0">
        <x:v>75000</x:v>
      </x:c>
      <x:c r="W475" s="21">
        <x:v>0</x:v>
      </x:c>
      <x:c r="X475" s="0">
        <x:v>10000</x:v>
      </x:c>
      <x:c r="Y475" s="21">
        <x:v>0</x:v>
      </x:c>
    </x:row>
    <x:row r="476" spans="1:37" x14ac:dyDescent="0.25">
      <x:c r="A476" s="0">
        <x:f>ROW(A476)-1</x:f>
      </x:c>
      <x:c r="C476" s="0">
        <x:v>3088</x:v>
      </x:c>
      <x:c r="D476" s="0" t="s">
        <x:v>692</x:v>
      </x:c>
      <x:c r="E476" s="0" t="s">
        <x:v>672</x:v>
      </x:c>
      <x:c r="F476" s="0" t="s">
        <x:v>1365</x:v>
      </x:c>
      <x:c r="G476" s="0" t="s">
        <x:v>1320</x:v>
      </x:c>
      <x:c r="H476" s="0" t="s">
        <x:v>1465</x:v>
      </x:c>
      <x:c r="I476" s="0" t="s">
        <x:v>735</x:v>
      </x:c>
      <x:c r="J476" s="0" t="s">
        <x:v>983</x:v>
      </x:c>
      <x:c r="K476" s="0" t="s">
        <x:v>1753</x:v>
      </x:c>
      <x:c r="M476" s="0">
        <x:v>0</x:v>
      </x:c>
      <x:c r="N476" s="0">
        <x:v>2021</x:v>
      </x:c>
      <x:c r="O476" s="0" t="s">
        <x:v>1482</x:v>
      </x:c>
      <x:c r="S476" s="0">
        <x:v>400</x:v>
      </x:c>
      <x:c r="T476" s="0">
        <x:v>0</x:v>
      </x:c>
      <x:c r="V476" s="0">
        <x:v>0</x:v>
      </x:c>
      <x:c r="W476" s="21">
        <x:v>0</x:v>
      </x:c>
      <x:c r="X476" s="0">
        <x:v>1500</x:v>
      </x:c>
      <x:c r="Y476" s="21">
        <x:v>0</x:v>
      </x:c>
    </x:row>
    <x:row r="477" spans="1:37" x14ac:dyDescent="0.25">
      <x:c r="A477" s="0">
        <x:f>ROW(A477)-1</x:f>
      </x:c>
      <x:c r="C477" s="0">
        <x:v>3089</x:v>
      </x:c>
      <x:c r="D477" s="0" t="s">
        <x:v>676</x:v>
      </x:c>
      <x:c r="E477" s="0" t="s">
        <x:v>677</x:v>
      </x:c>
      <x:c r="F477" s="0" t="s">
        <x:v>1365</x:v>
      </x:c>
      <x:c r="G477" s="0" t="s">
        <x:v>1320</x:v>
      </x:c>
      <x:c r="H477" s="0" t="s">
        <x:v>1465</x:v>
      </x:c>
      <x:c r="I477" s="0" t="s">
        <x:v>329</x:v>
      </x:c>
      <x:c r="J477" s="0" t="s">
        <x:v>680</x:v>
      </x:c>
      <x:c r="K477" s="0" t="s">
        <x:v>1477</x:v>
      </x:c>
      <x:c r="M477" s="0">
        <x:v>1894</x:v>
      </x:c>
      <x:c r="N477" s="0">
        <x:v>2022</x:v>
      </x:c>
      <x:c r="O477" s="0" t="s">
        <x:v>1533</x:v>
      </x:c>
      <x:c r="Q477" s="0" t="s">
        <x:v>1331</x:v>
      </x:c>
      <x:c r="S477" s="0">
        <x:v>800</x:v>
      </x:c>
      <x:c r="T477" s="0">
        <x:v>0</x:v>
      </x:c>
      <x:c r="V477" s="0">
        <x:v>93240</x:v>
      </x:c>
      <x:c r="W477" s="21">
        <x:v>0</x:v>
      </x:c>
      <x:c r="X477" s="0">
        <x:v>17500</x:v>
      </x:c>
      <x:c r="Y477" s="21">
        <x:v>0</x:v>
      </x:c>
    </x:row>
    <x:row r="478" spans="1:37" x14ac:dyDescent="0.25">
      <x:c r="A478" s="0">
        <x:f>ROW(A478)-1</x:f>
      </x:c>
      <x:c r="C478" s="0">
        <x:v>3090</x:v>
      </x:c>
      <x:c r="D478" s="0" t="s">
        <x:v>676</x:v>
      </x:c>
      <x:c r="E478" s="0" t="s">
        <x:v>1754</x:v>
      </x:c>
      <x:c r="F478" s="0" t="s">
        <x:v>1755</x:v>
      </x:c>
      <x:c r="G478" s="0" t="s">
        <x:v>1320</x:v>
      </x:c>
      <x:c r="M478" s="0">
        <x:v>1700</x:v>
      </x:c>
      <x:c r="N478" s="0">
        <x:v>2021</x:v>
      </x:c>
      <x:c r="O478" s="0" t="s">
        <x:v>1591</x:v>
      </x:c>
      <x:c r="S478" s="0">
        <x:v>150</x:v>
      </x:c>
      <x:c r="T478" s="0">
        <x:v>0</x:v>
      </x:c>
      <x:c r="V478" s="0">
        <x:v>28500</x:v>
      </x:c>
      <x:c r="W478" s="21">
        <x:v>0</x:v>
      </x:c>
      <x:c r="X478" s="0">
        <x:v>12350</x:v>
      </x:c>
      <x:c r="Y478" s="21">
        <x:v>0</x:v>
      </x:c>
      <x:c r="AK478" s="0" t="s">
        <x:v>1584</x:v>
      </x:c>
    </x:row>
    <x:row r="479" spans="1:37" x14ac:dyDescent="0.25">
      <x:c r="A479" s="0">
        <x:f>ROW(A479)-1</x:f>
      </x:c>
      <x:c r="C479" s="0">
        <x:v>3091</x:v>
      </x:c>
      <x:c r="D479" s="0" t="s">
        <x:v>1155</x:v>
      </x:c>
      <x:c r="E479" s="0" t="s">
        <x:v>1756</x:v>
      </x:c>
      <x:c r="F479" s="0" t="s">
        <x:v>1365</x:v>
      </x:c>
      <x:c r="G479" s="0" t="s">
        <x:v>1320</x:v>
      </x:c>
      <x:c r="H479" s="0" t="s">
        <x:v>1465</x:v>
      </x:c>
      <x:c r="I479" s="0" t="s">
        <x:v>329</x:v>
      </x:c>
      <x:c r="J479" s="0" t="s">
        <x:v>486</x:v>
      </x:c>
      <x:c r="K479" s="0" t="s">
        <x:v>1757</x:v>
      </x:c>
      <x:c r="M479" s="0">
        <x:v>0</x:v>
      </x:c>
      <x:c r="N479" s="0">
        <x:v>2021</x:v>
      </x:c>
      <x:c r="O479" s="0" t="s">
        <x:v>1586</x:v>
      </x:c>
      <x:c r="S479" s="0">
        <x:v>250</x:v>
      </x:c>
      <x:c r="T479" s="0">
        <x:v>0</x:v>
      </x:c>
      <x:c r="V479" s="0">
        <x:v>0</x:v>
      </x:c>
      <x:c r="W479" s="21">
        <x:v>0</x:v>
      </x:c>
      <x:c r="X479" s="0">
        <x:v>11500</x:v>
      </x:c>
      <x:c r="Y479" s="21">
        <x:v>0</x:v>
      </x:c>
    </x:row>
    <x:row r="480" spans="1:37" x14ac:dyDescent="0.25">
      <x:c r="A480" s="0">
        <x:f>ROW(A480)-1</x:f>
      </x:c>
      <x:c r="C480" s="0">
        <x:v>3092</x:v>
      </x:c>
      <x:c r="D480" s="0" t="s">
        <x:v>132</x:v>
      </x:c>
      <x:c r="E480" s="0" t="s">
        <x:v>681</x:v>
      </x:c>
      <x:c r="F480" s="0" t="s">
        <x:v>1365</x:v>
      </x:c>
      <x:c r="G480" s="0" t="s">
        <x:v>1320</x:v>
      </x:c>
      <x:c r="H480" s="0" t="s">
        <x:v>1465</x:v>
      </x:c>
      <x:c r="I480" s="0" t="s">
        <x:v>329</x:v>
      </x:c>
      <x:c r="J480" s="0" t="s">
        <x:v>680</x:v>
      </x:c>
      <x:c r="K480" s="0" t="s">
        <x:v>1478</x:v>
      </x:c>
      <x:c r="M480" s="0">
        <x:v>1900</x:v>
      </x:c>
      <x:c r="N480" s="0">
        <x:v>2022</x:v>
      </x:c>
      <x:c r="O480" s="0" t="s">
        <x:v>1586</x:v>
      </x:c>
      <x:c r="S480" s="0">
        <x:v>600</x:v>
      </x:c>
      <x:c r="T480" s="0">
        <x:v>0</x:v>
      </x:c>
      <x:c r="V480" s="0">
        <x:v>50000</x:v>
      </x:c>
      <x:c r="W480" s="21">
        <x:v>0</x:v>
      </x:c>
      <x:c r="X480" s="0">
        <x:v>14620</x:v>
      </x:c>
      <x:c r="Y480" s="21">
        <x:v>0</x:v>
      </x:c>
    </x:row>
    <x:row r="481" spans="1:37" x14ac:dyDescent="0.25">
      <x:c r="A481" s="0">
        <x:f>ROW(A481)-1</x:f>
      </x:c>
      <x:c r="C481" s="0">
        <x:v>3093</x:v>
      </x:c>
      <x:c r="D481" s="0" t="s">
        <x:v>1157</x:v>
      </x:c>
      <x:c r="E481" s="0" t="s">
        <x:v>1758</x:v>
      </x:c>
      <x:c r="F481" s="0" t="s">
        <x:v>1387</x:v>
      </x:c>
      <x:c r="G481" s="0" t="s">
        <x:v>1320</x:v>
      </x:c>
      <x:c r="H481" s="0" t="s">
        <x:v>1759</x:v>
      </x:c>
      <x:c r="I481" s="0" t="s">
        <x:v>1158</x:v>
      </x:c>
      <x:c r="J481" s="0" t="s">
        <x:v>1159</x:v>
      </x:c>
      <x:c r="K481" s="0" t="s">
        <x:v>1760</x:v>
      </x:c>
      <x:c r="M481" s="0">
        <x:v>0</x:v>
      </x:c>
      <x:c r="N481" s="0">
        <x:v>2021</x:v>
      </x:c>
      <x:c r="O481" s="0" t="s">
        <x:v>1482</x:v>
      </x:c>
      <x:c r="S481" s="0">
        <x:v>600</x:v>
      </x:c>
      <x:c r="T481" s="0">
        <x:v>0</x:v>
      </x:c>
      <x:c r="V481" s="0">
        <x:v>0</x:v>
      </x:c>
      <x:c r="W481" s="21">
        <x:v>0</x:v>
      </x:c>
      <x:c r="X481" s="0">
        <x:v>32000</x:v>
      </x:c>
      <x:c r="Y481" s="21">
        <x:v>0</x:v>
      </x:c>
    </x:row>
    <x:row r="482" spans="1:37" x14ac:dyDescent="0.25">
      <x:c r="A482" s="0">
        <x:f>ROW(A482)-1</x:f>
      </x:c>
      <x:c r="C482" s="0">
        <x:v>3094</x:v>
      </x:c>
      <x:c r="D482" s="0" t="s">
        <x:v>676</x:v>
      </x:c>
      <x:c r="E482" s="0" t="s">
        <x:v>684</x:v>
      </x:c>
      <x:c r="F482" s="0" t="s">
        <x:v>1365</x:v>
      </x:c>
      <x:c r="G482" s="0" t="s">
        <x:v>1320</x:v>
      </x:c>
      <x:c r="H482" s="0" t="s">
        <x:v>1479</x:v>
      </x:c>
      <x:c r="I482" s="0" t="s">
        <x:v>481</x:v>
      </x:c>
      <x:c r="J482" s="0" t="s">
        <x:v>687</x:v>
      </x:c>
      <x:c r="K482" s="0" t="s">
        <x:v>1480</x:v>
      </x:c>
      <x:c r="M482" s="0">
        <x:v>0</x:v>
      </x:c>
      <x:c r="N482" s="0">
        <x:v>2021</x:v>
      </x:c>
      <x:c r="O482" s="0" t="s">
        <x:v>1482</x:v>
      </x:c>
      <x:c r="S482" s="0">
        <x:v>600</x:v>
      </x:c>
      <x:c r="T482" s="0">
        <x:v>0</x:v>
      </x:c>
      <x:c r="V482" s="0">
        <x:v>0</x:v>
      </x:c>
      <x:c r="W482" s="21">
        <x:v>0</x:v>
      </x:c>
      <x:c r="X482" s="0">
        <x:v>35000</x:v>
      </x:c>
      <x:c r="Y482" s="21">
        <x:v>0</x:v>
      </x:c>
    </x:row>
    <x:row r="483" spans="1:37" x14ac:dyDescent="0.25">
      <x:c r="A483" s="0">
        <x:f>ROW(A483)-1</x:f>
      </x:c>
      <x:c r="C483" s="0">
        <x:v>3095</x:v>
      </x:c>
      <x:c r="D483" s="0" t="s">
        <x:v>676</x:v>
      </x:c>
      <x:c r="E483" s="0" t="s">
        <x:v>688</x:v>
      </x:c>
      <x:c r="F483" s="0" t="s">
        <x:v>1365</x:v>
      </x:c>
      <x:c r="G483" s="0" t="s">
        <x:v>1320</x:v>
      </x:c>
      <x:c r="H483" s="0" t="s">
        <x:v>1481</x:v>
      </x:c>
      <x:c r="I483" s="0" t="s">
        <x:v>297</x:v>
      </x:c>
      <x:c r="J483" s="0" t="s">
        <x:v>691</x:v>
      </x:c>
      <x:c r="K483" s="0" t="s">
        <x:v>1482</x:v>
      </x:c>
      <x:c r="M483" s="0">
        <x:v>0</x:v>
      </x:c>
      <x:c r="N483" s="0">
        <x:v>2021</x:v>
      </x:c>
      <x:c r="O483" s="0" t="s">
        <x:v>1482</x:v>
      </x:c>
      <x:c r="S483" s="0">
        <x:v>250</x:v>
      </x:c>
      <x:c r="T483" s="0">
        <x:v>0</x:v>
      </x:c>
      <x:c r="V483" s="0">
        <x:v>0</x:v>
      </x:c>
      <x:c r="W483" s="21">
        <x:v>0</x:v>
      </x:c>
      <x:c r="X483" s="0">
        <x:v>14434</x:v>
      </x:c>
      <x:c r="Y483" s="21">
        <x:v>0</x:v>
      </x:c>
    </x:row>
    <x:row r="484" spans="1:37" x14ac:dyDescent="0.25">
      <x:c r="A484" s="0">
        <x:f>ROW(A484)-1</x:f>
      </x:c>
      <x:c r="C484" s="0">
        <x:v>3096</x:v>
      </x:c>
      <x:c r="D484" s="0" t="s">
        <x:v>692</x:v>
      </x:c>
      <x:c r="E484" s="0" t="s">
        <x:v>693</x:v>
      </x:c>
      <x:c r="F484" s="0" t="s">
        <x:v>1386</x:v>
      </x:c>
      <x:c r="G484" s="0" t="s">
        <x:v>1320</x:v>
      </x:c>
      <x:c r="H484" s="0" t="s">
        <x:v>1479</x:v>
      </x:c>
      <x:c r="I484" s="0" t="s">
        <x:v>481</x:v>
      </x:c>
      <x:c r="J484" s="0" t="s">
        <x:v>75</x:v>
      </x:c>
      <x:c r="K484" s="0" t="s">
        <x:v>1355</x:v>
      </x:c>
      <x:c r="M484" s="0">
        <x:v>0</x:v>
      </x:c>
      <x:c r="N484" s="0">
        <x:v>2021</x:v>
      </x:c>
      <x:c r="O484" s="0" t="s">
        <x:v>1482</x:v>
      </x:c>
      <x:c r="S484" s="0">
        <x:v>1750</x:v>
      </x:c>
      <x:c r="T484" s="0">
        <x:v>0</x:v>
      </x:c>
      <x:c r="V484" s="0">
        <x:v>0</x:v>
      </x:c>
      <x:c r="W484" s="21">
        <x:v>0</x:v>
      </x:c>
      <x:c r="X484" s="0">
        <x:v>39552</x:v>
      </x:c>
      <x:c r="Y484" s="21">
        <x:v>0</x:v>
      </x:c>
    </x:row>
    <x:row r="485" spans="1:37" x14ac:dyDescent="0.25">
      <x:c r="A485" s="0">
        <x:f>ROW(A485)-1</x:f>
      </x:c>
      <x:c r="C485" s="0">
        <x:v>3097</x:v>
      </x:c>
      <x:c r="D485" s="0" t="s">
        <x:v>1160</x:v>
      </x:c>
      <x:c r="E485" s="0" t="s">
        <x:v>1761</x:v>
      </x:c>
      <x:c r="F485" s="0" t="s">
        <x:v>1365</x:v>
      </x:c>
      <x:c r="G485" s="0" t="s">
        <x:v>1320</x:v>
      </x:c>
      <x:c r="M485" s="0">
        <x:v>0</x:v>
      </x:c>
      <x:c r="N485" s="0">
        <x:v>2022</x:v>
      </x:c>
      <x:c r="O485" s="0" t="s">
        <x:v>1583</x:v>
      </x:c>
      <x:c r="S485" s="0">
        <x:v>320</x:v>
      </x:c>
      <x:c r="T485" s="0">
        <x:v>0</x:v>
      </x:c>
      <x:c r="V485" s="0">
        <x:v>0</x:v>
      </x:c>
      <x:c r="W485" s="21">
        <x:v>0</x:v>
      </x:c>
      <x:c r="X485" s="0">
        <x:v>15136</x:v>
      </x:c>
      <x:c r="Y485" s="21">
        <x:v>0</x:v>
      </x:c>
    </x:row>
    <x:row r="486" spans="1:37" x14ac:dyDescent="0.25">
      <x:c r="A486" s="0">
        <x:f>ROW(A486)-1</x:f>
      </x:c>
      <x:c r="C486" s="0">
        <x:v>3098</x:v>
      </x:c>
      <x:c r="D486" s="0" t="s">
        <x:v>696</x:v>
      </x:c>
      <x:c r="E486" s="0" t="s">
        <x:v>697</x:v>
      </x:c>
      <x:c r="F486" s="0" t="s">
        <x:v>1365</x:v>
      </x:c>
      <x:c r="G486" s="0" t="s">
        <x:v>1320</x:v>
      </x:c>
      <x:c r="M486" s="0">
        <x:v>0</x:v>
      </x:c>
      <x:c r="N486" s="0">
        <x:v>2022</x:v>
      </x:c>
      <x:c r="O486" s="0" t="s">
        <x:v>1482</x:v>
      </x:c>
      <x:c r="S486" s="0">
        <x:v>0</x:v>
      </x:c>
      <x:c r="T486" s="0">
        <x:v>0</x:v>
      </x:c>
      <x:c r="V486" s="0">
        <x:v>0</x:v>
      </x:c>
      <x:c r="W486" s="21">
        <x:v>0</x:v>
      </x:c>
      <x:c r="X486" s="0">
        <x:v>0</x:v>
      </x:c>
      <x:c r="Y486" s="21">
        <x:v>0</x:v>
      </x:c>
      <x:c r="AK486" s="0" t="s">
        <x:v>1483</x:v>
      </x:c>
    </x:row>
    <x:row r="487" spans="1:37" x14ac:dyDescent="0.25">
      <x:c r="A487" s="0">
        <x:f>ROW(A487)-1</x:f>
      </x:c>
      <x:c r="C487" s="0">
        <x:v>3099</x:v>
      </x:c>
      <x:c r="D487" s="0" t="s">
        <x:v>1164</x:v>
      </x:c>
      <x:c r="E487" s="0" t="s">
        <x:v>1762</x:v>
      </x:c>
      <x:c r="F487" s="0" t="s">
        <x:v>1763</x:v>
      </x:c>
      <x:c r="G487" s="0" t="s">
        <x:v>1320</x:v>
      </x:c>
      <x:c r="M487" s="0">
        <x:v>0</x:v>
      </x:c>
      <x:c r="N487" s="0">
        <x:v>2022</x:v>
      </x:c>
      <x:c r="O487" s="0" t="s">
        <x:v>1482</x:v>
      </x:c>
      <x:c r="S487" s="0">
        <x:v>0</x:v>
      </x:c>
      <x:c r="T487" s="0">
        <x:v>0</x:v>
      </x:c>
      <x:c r="V487" s="0">
        <x:v>0</x:v>
      </x:c>
      <x:c r="W487" s="21">
        <x:v>0</x:v>
      </x:c>
      <x:c r="X487" s="0">
        <x:v>200000</x:v>
      </x:c>
      <x:c r="Y487" s="21">
        <x:v>0</x:v>
      </x:c>
    </x:row>
    <x:row r="488" spans="1:37" x14ac:dyDescent="0.25">
      <x:c r="A488" s="0">
        <x:f>ROW(A488)-1</x:f>
      </x:c>
      <x:c r="C488" s="0">
        <x:v>3100</x:v>
      </x:c>
      <x:c r="D488" s="0" t="s">
        <x:v>1169</x:v>
      </x:c>
      <x:c r="E488" s="0" t="s">
        <x:v>1764</x:v>
      </x:c>
      <x:c r="F488" s="0" t="s">
        <x:v>1517</x:v>
      </x:c>
      <x:c r="G488" s="0" t="s">
        <x:v>1320</x:v>
      </x:c>
      <x:c r="M488" s="0">
        <x:v>0</x:v>
      </x:c>
      <x:c r="N488" s="0">
        <x:v>2022</x:v>
      </x:c>
      <x:c r="O488" s="0" t="s">
        <x:v>1482</x:v>
      </x:c>
      <x:c r="S488" s="0">
        <x:v>240</x:v>
      </x:c>
      <x:c r="T488" s="0">
        <x:v>0</x:v>
      </x:c>
      <x:c r="V488" s="0">
        <x:v>0</x:v>
      </x:c>
      <x:c r="W488" s="21">
        <x:v>0</x:v>
      </x:c>
      <x:c r="X488" s="0">
        <x:v>9500</x:v>
      </x:c>
      <x:c r="Y488" s="21">
        <x:v>0</x:v>
      </x:c>
      <x:c r="AK488" s="0" t="s">
        <x:v>1765</x:v>
      </x:c>
    </x:row>
    <x:row r="489" spans="1:37" x14ac:dyDescent="0.25">
      <x:c r="A489" s="0">
        <x:f>ROW(A489)-1</x:f>
      </x:c>
      <x:c r="C489" s="0">
        <x:v>3101</x:v>
      </x:c>
      <x:c r="D489" s="0" t="s">
        <x:v>224</x:v>
      </x:c>
      <x:c r="E489" s="0" t="s">
        <x:v>1766</x:v>
      </x:c>
      <x:c r="F489" s="0" t="s">
        <x:v>1767</x:v>
      </x:c>
      <x:c r="G489" s="0" t="s">
        <x:v>1320</x:v>
      </x:c>
      <x:c r="M489" s="0">
        <x:v>0</x:v>
      </x:c>
      <x:c r="N489" s="0">
        <x:v>2024</x:v>
      </x:c>
      <x:c r="O489" s="0" t="s">
        <x:v>1586</x:v>
      </x:c>
      <x:c r="Q489" s="0" t="s">
        <x:v>1368</x:v>
      </x:c>
      <x:c r="S489" s="0">
        <x:v>0</x:v>
      </x:c>
      <x:c r="T489" s="0">
        <x:v>0</x:v>
      </x:c>
      <x:c r="V489" s="0">
        <x:v>0</x:v>
      </x:c>
      <x:c r="W489" s="21">
        <x:v>0</x:v>
      </x:c>
      <x:c r="X489" s="0">
        <x:v>0</x:v>
      </x:c>
      <x:c r="Y489" s="21">
        <x:v>0</x:v>
      </x:c>
    </x:row>
    <x:row r="490" spans="1:37" x14ac:dyDescent="0.25">
      <x:c r="A490" s="0">
        <x:f>ROW(A490)-1</x:f>
      </x:c>
      <x:c r="C490" s="0">
        <x:v>3102</x:v>
      </x:c>
      <x:c r="D490" s="0" t="s">
        <x:v>224</x:v>
      </x:c>
      <x:c r="E490" s="0" t="s">
        <x:v>701</x:v>
      </x:c>
      <x:c r="F490" s="0" t="s">
        <x:v>1365</x:v>
      </x:c>
      <x:c r="G490" s="0" t="s">
        <x:v>1320</x:v>
      </x:c>
      <x:c r="M490" s="0">
        <x:v>0</x:v>
      </x:c>
      <x:c r="N490" s="0">
        <x:v>2020</x:v>
      </x:c>
      <x:c r="O490" s="0" t="s">
        <x:v>1482</x:v>
      </x:c>
      <x:c r="S490" s="0">
        <x:v>0</x:v>
      </x:c>
      <x:c r="T490" s="0">
        <x:v>0</x:v>
      </x:c>
      <x:c r="V490" s="0">
        <x:v>0</x:v>
      </x:c>
      <x:c r="W490" s="21">
        <x:v>0</x:v>
      </x:c>
      <x:c r="X490" s="0">
        <x:v>0</x:v>
      </x:c>
      <x:c r="Y490" s="21">
        <x:v>0</x:v>
      </x:c>
    </x:row>
    <x:row r="491" spans="1:37" x14ac:dyDescent="0.25">
      <x:c r="A491" s="0">
        <x:f>ROW(A491)-1</x:f>
      </x:c>
      <x:c r="C491" s="0">
        <x:v>3103</x:v>
      </x:c>
      <x:c r="D491" s="0" t="s">
        <x:v>1175</x:v>
      </x:c>
      <x:c r="E491" s="0" t="s">
        <x:v>1768</x:v>
      </x:c>
      <x:c r="F491" s="0" t="s">
        <x:v>1769</x:v>
      </x:c>
      <x:c r="G491" s="0" t="s">
        <x:v>1320</x:v>
      </x:c>
      <x:c r="M491" s="0">
        <x:v>0</x:v>
      </x:c>
      <x:c r="N491" s="0">
        <x:v>2022</x:v>
      </x:c>
      <x:c r="O491" s="0" t="s">
        <x:v>1482</x:v>
      </x:c>
      <x:c r="S491" s="0">
        <x:v>0</x:v>
      </x:c>
      <x:c r="T491" s="0">
        <x:v>0</x:v>
      </x:c>
      <x:c r="V491" s="0">
        <x:v>0</x:v>
      </x:c>
      <x:c r="W491" s="21">
        <x:v>0</x:v>
      </x:c>
      <x:c r="X491" s="0">
        <x:v>0</x:v>
      </x:c>
      <x:c r="Y491" s="21">
        <x:v>0</x:v>
      </x:c>
      <x:c r="AK491" s="0" t="s">
        <x:v>1770</x:v>
      </x:c>
    </x:row>
    <x:row r="492" spans="1:37" x14ac:dyDescent="0.25">
      <x:c r="A492" s="0">
        <x:f>ROW(A492)-1</x:f>
      </x:c>
      <x:c r="C492" s="0">
        <x:v>3104</x:v>
      </x:c>
      <x:c r="D492" s="0" t="s">
        <x:v>787</x:v>
      </x:c>
      <x:c r="E492" s="0" t="s">
        <x:v>1771</x:v>
      </x:c>
      <x:c r="F492" s="0" t="s">
        <x:v>1365</x:v>
      </x:c>
      <x:c r="G492" s="0" t="s">
        <x:v>1320</x:v>
      </x:c>
      <x:c r="M492" s="0">
        <x:v>0</x:v>
      </x:c>
      <x:c r="N492" s="0">
        <x:v>2022</x:v>
      </x:c>
      <x:c r="O492" s="0" t="s">
        <x:v>1482</x:v>
      </x:c>
      <x:c r="S492" s="0">
        <x:v>0</x:v>
      </x:c>
      <x:c r="T492" s="0">
        <x:v>0</x:v>
      </x:c>
      <x:c r="V492" s="0">
        <x:v>0</x:v>
      </x:c>
      <x:c r="W492" s="21">
        <x:v>0</x:v>
      </x:c>
      <x:c r="X492" s="0">
        <x:v>10000</x:v>
      </x:c>
      <x:c r="Y492" s="21">
        <x:v>0</x:v>
      </x:c>
    </x:row>
    <x:row r="493" spans="1:37" x14ac:dyDescent="0.25">
      <x:c r="A493" s="0">
        <x:f>ROW(A493)-1</x:f>
      </x:c>
      <x:c r="C493" s="0">
        <x:v>3105</x:v>
      </x:c>
      <x:c r="D493" s="0" t="s">
        <x:v>224</x:v>
      </x:c>
      <x:c r="E493" s="0" t="s">
        <x:v>707</x:v>
      </x:c>
      <x:c r="F493" s="0" t="s">
        <x:v>1365</x:v>
      </x:c>
      <x:c r="G493" s="0" t="s">
        <x:v>1320</x:v>
      </x:c>
      <x:c r="M493" s="0">
        <x:v>0</x:v>
      </x:c>
      <x:c r="N493" s="0">
        <x:v>2023</x:v>
      </x:c>
      <x:c r="O493" s="0" t="s">
        <x:v>1482</x:v>
      </x:c>
      <x:c r="S493" s="0">
        <x:v>0</x:v>
      </x:c>
      <x:c r="T493" s="0">
        <x:v>0</x:v>
      </x:c>
      <x:c r="V493" s="0">
        <x:v>0</x:v>
      </x:c>
      <x:c r="W493" s="21">
        <x:v>0</x:v>
      </x:c>
      <x:c r="X493" s="0">
        <x:v>0</x:v>
      </x:c>
      <x:c r="Y493" s="21">
        <x:v>0</x:v>
      </x:c>
    </x:row>
    <x:row r="494" spans="1:37" x14ac:dyDescent="0.25">
      <x:c r="A494" s="0">
        <x:f>ROW(A494)-1</x:f>
      </x:c>
      <x:c r="C494" s="0">
        <x:v>3106</x:v>
      </x:c>
      <x:c r="D494" s="0" t="s">
        <x:v>224</x:v>
      </x:c>
      <x:c r="E494" s="0" t="s">
        <x:v>1772</x:v>
      </x:c>
      <x:c r="F494" s="0" t="s">
        <x:v>1773</x:v>
      </x:c>
      <x:c r="G494" s="0" t="s">
        <x:v>1320</x:v>
      </x:c>
      <x:c r="H494" s="0" t="s">
        <x:v>1774</x:v>
      </x:c>
      <x:c r="I494" s="0" t="s">
        <x:v>1775</x:v>
      </x:c>
      <x:c r="J494" s="0" t="s">
        <x:v>1776</x:v>
      </x:c>
      <x:c r="K494" s="0" t="s">
        <x:v>1441</x:v>
      </x:c>
      <x:c r="M494" s="0">
        <x:v>0</x:v>
      </x:c>
      <x:c r="N494" s="0">
        <x:v>2022</x:v>
      </x:c>
      <x:c r="O494" s="0" t="s">
        <x:v>1482</x:v>
      </x:c>
      <x:c r="S494" s="0">
        <x:v>0</x:v>
      </x:c>
      <x:c r="T494" s="0">
        <x:v>0</x:v>
      </x:c>
      <x:c r="V494" s="0">
        <x:v>0</x:v>
      </x:c>
      <x:c r="W494" s="21">
        <x:v>0</x:v>
      </x:c>
      <x:c r="X494" s="0">
        <x:v>0</x:v>
      </x:c>
      <x:c r="Y494" s="21">
        <x:v>0</x:v>
      </x:c>
    </x:row>
    <x:row r="495" spans="1:37" x14ac:dyDescent="0.25">
      <x:c r="A495" s="0">
        <x:f>ROW(A495)-1</x:f>
      </x:c>
      <x:c r="C495" s="0">
        <x:v>3107</x:v>
      </x:c>
      <x:c r="D495" s="0" t="s">
        <x:v>224</x:v>
      </x:c>
      <x:c r="E495" s="0" t="s">
        <x:v>712</x:v>
      </x:c>
      <x:c r="F495" s="0" t="s">
        <x:v>1377</x:v>
      </x:c>
      <x:c r="G495" s="0" t="s">
        <x:v>1320</x:v>
      </x:c>
      <x:c r="M495" s="0">
        <x:v>0</x:v>
      </x:c>
      <x:c r="N495" s="0">
        <x:v>2020</x:v>
      </x:c>
      <x:c r="O495" s="0" t="s">
        <x:v>1591</x:v>
      </x:c>
      <x:c r="S495" s="0">
        <x:v>0</x:v>
      </x:c>
      <x:c r="T495" s="0">
        <x:v>0</x:v>
      </x:c>
      <x:c r="V495" s="0">
        <x:v>0</x:v>
      </x:c>
      <x:c r="W495" s="21">
        <x:v>0</x:v>
      </x:c>
      <x:c r="X495" s="0">
        <x:v>0</x:v>
      </x:c>
      <x:c r="Y495" s="21">
        <x:v>0</x:v>
      </x:c>
    </x:row>
    <x:row r="496" spans="1:37" x14ac:dyDescent="0.25">
      <x:c r="A496" s="0">
        <x:f>ROW(A496)-1</x:f>
      </x:c>
      <x:c r="C496" s="0">
        <x:v>3108</x:v>
      </x:c>
      <x:c r="D496" s="0" t="s">
        <x:v>203</x:v>
      </x:c>
      <x:c r="E496" s="0" t="s">
        <x:v>1777</x:v>
      </x:c>
      <x:c r="F496" s="0" t="s">
        <x:v>1365</x:v>
      </x:c>
      <x:c r="G496" s="0" t="s">
        <x:v>1320</x:v>
      </x:c>
      <x:c r="H496" s="0" t="s">
        <x:v>1456</x:v>
      </x:c>
      <x:c r="I496" s="0" t="s">
        <x:v>276</x:v>
      </x:c>
      <x:c r="J496" s="0" t="s">
        <x:v>276</x:v>
      </x:c>
      <x:c r="K496" s="0" t="s">
        <x:v>1778</x:v>
      </x:c>
      <x:c r="M496" s="0">
        <x:v>0</x:v>
      </x:c>
      <x:c r="N496" s="0">
        <x:v>2022</x:v>
      </x:c>
      <x:c r="O496" s="0" t="s">
        <x:v>1482</x:v>
      </x:c>
      <x:c r="S496" s="0">
        <x:v>220</x:v>
      </x:c>
      <x:c r="T496" s="0">
        <x:v>0</x:v>
      </x:c>
      <x:c r="V496" s="0">
        <x:v>0</x:v>
      </x:c>
      <x:c r="W496" s="21">
        <x:v>0</x:v>
      </x:c>
      <x:c r="X496" s="0">
        <x:v>3200</x:v>
      </x:c>
      <x:c r="Y496" s="21">
        <x:v>0</x:v>
      </x:c>
    </x:row>
    <x:row r="497" spans="1:37" x14ac:dyDescent="0.25">
      <x:c r="A497" s="0">
        <x:f>ROW(A497)-1</x:f>
      </x:c>
      <x:c r="C497" s="0">
        <x:v>3109</x:v>
      </x:c>
      <x:c r="D497" s="0" t="s">
        <x:v>719</x:v>
      </x:c>
      <x:c r="F497" s="0" t="s">
        <x:v>1779</x:v>
      </x:c>
      <x:c r="G497" s="0" t="s">
        <x:v>1320</x:v>
      </x:c>
      <x:c r="M497" s="0">
        <x:v>0</x:v>
      </x:c>
      <x:c r="N497" s="0">
        <x:v>2022</x:v>
      </x:c>
      <x:c r="O497" s="0" t="s">
        <x:v>1482</x:v>
      </x:c>
      <x:c r="S497" s="0">
        <x:v>0</x:v>
      </x:c>
      <x:c r="T497" s="0">
        <x:v>527</x:v>
      </x:c>
      <x:c r="V497" s="0">
        <x:v>0</x:v>
      </x:c>
      <x:c r="W497" s="21">
        <x:v>0</x:v>
      </x:c>
      <x:c r="X497" s="0">
        <x:v>15000</x:v>
      </x:c>
      <x:c r="Y497" s="21">
        <x:v>0</x:v>
      </x:c>
    </x:row>
    <x:row r="498" spans="1:37" x14ac:dyDescent="0.25">
      <x:c r="A498" s="0">
        <x:f>ROW(A498)-1</x:f>
      </x:c>
      <x:c r="C498" s="0">
        <x:v>3110</x:v>
      </x:c>
      <x:c r="D498" s="0" t="s">
        <x:v>224</x:v>
      </x:c>
      <x:c r="E498" s="0" t="s">
        <x:v>1780</x:v>
      </x:c>
      <x:c r="F498" s="0" t="s">
        <x:v>1365</x:v>
      </x:c>
      <x:c r="G498" s="0" t="s">
        <x:v>1320</x:v>
      </x:c>
      <x:c r="M498" s="0">
        <x:v>0</x:v>
      </x:c>
      <x:c r="N498" s="0">
        <x:v>2020</x:v>
      </x:c>
      <x:c r="O498" s="0" t="s">
        <x:v>1482</x:v>
      </x:c>
      <x:c r="S498" s="0">
        <x:v>0</x:v>
      </x:c>
      <x:c r="T498" s="0">
        <x:v>0</x:v>
      </x:c>
      <x:c r="V498" s="0">
        <x:v>0</x:v>
      </x:c>
      <x:c r="W498" s="21">
        <x:v>0</x:v>
      </x:c>
      <x:c r="X498" s="0">
        <x:v>0</x:v>
      </x:c>
      <x:c r="Y498" s="21">
        <x:v>0</x:v>
      </x:c>
    </x:row>
    <x:row r="499" spans="1:37" x14ac:dyDescent="0.25">
      <x:c r="A499" s="0">
        <x:f>ROW(A499)-1</x:f>
      </x:c>
      <x:c r="C499" s="0">
        <x:v>3111</x:v>
      </x:c>
      <x:c r="D499" s="0" t="s">
        <x:v>224</x:v>
      </x:c>
      <x:c r="E499" s="0" t="s">
        <x:v>1781</x:v>
      </x:c>
      <x:c r="G499" s="0" t="s">
        <x:v>1320</x:v>
      </x:c>
      <x:c r="M499" s="0">
        <x:v>0</x:v>
      </x:c>
      <x:c r="N499" s="0">
        <x:v>2022</x:v>
      </x:c>
      <x:c r="O499" s="0" t="s">
        <x:v>1586</x:v>
      </x:c>
      <x:c r="S499" s="0">
        <x:v>0</x:v>
      </x:c>
      <x:c r="T499" s="0">
        <x:v>0</x:v>
      </x:c>
      <x:c r="V499" s="0">
        <x:v>0</x:v>
      </x:c>
      <x:c r="W499" s="21">
        <x:v>0</x:v>
      </x:c>
      <x:c r="X499" s="0">
        <x:v>0</x:v>
      </x:c>
      <x:c r="Y499" s="21">
        <x:v>0</x:v>
      </x:c>
    </x:row>
    <x:row r="500" spans="1:37" x14ac:dyDescent="0.25">
      <x:c r="A500" s="0">
        <x:f>ROW(A500)-1</x:f>
      </x:c>
      <x:c r="C500" s="0">
        <x:v>3112</x:v>
      </x:c>
      <x:c r="D500" s="0" t="s">
        <x:v>224</x:v>
      </x:c>
      <x:c r="E500" s="0" t="s">
        <x:v>1782</x:v>
      </x:c>
      <x:c r="F500" s="0" t="s">
        <x:v>1769</x:v>
      </x:c>
      <x:c r="G500" s="0" t="s">
        <x:v>1320</x:v>
      </x:c>
      <x:c r="M500" s="0">
        <x:v>0</x:v>
      </x:c>
      <x:c r="N500" s="0">
        <x:v>2022</x:v>
      </x:c>
      <x:c r="O500" s="0" t="s">
        <x:v>1482</x:v>
      </x:c>
      <x:c r="S500" s="0">
        <x:v>0</x:v>
      </x:c>
      <x:c r="T500" s="0">
        <x:v>0</x:v>
      </x:c>
      <x:c r="V500" s="0">
        <x:v>0</x:v>
      </x:c>
      <x:c r="W500" s="21">
        <x:v>0</x:v>
      </x:c>
      <x:c r="X500" s="0">
        <x:v>0</x:v>
      </x:c>
      <x:c r="Y500" s="21">
        <x:v>0</x:v>
      </x:c>
    </x:row>
    <x:row r="501" spans="1:37" x14ac:dyDescent="0.25">
      <x:c r="A501" s="0">
        <x:f>ROW(A501)-1</x:f>
      </x:c>
      <x:c r="C501" s="0">
        <x:v>3113</x:v>
      </x:c>
      <x:c r="D501" s="0" t="s">
        <x:v>714</x:v>
      </x:c>
      <x:c r="E501" s="0" t="s">
        <x:v>715</x:v>
      </x:c>
      <x:c r="F501" s="0" t="s">
        <x:v>1484</x:v>
      </x:c>
      <x:c r="G501" s="0" t="s">
        <x:v>1320</x:v>
      </x:c>
      <x:c r="M501" s="0">
        <x:v>0</x:v>
      </x:c>
      <x:c r="N501" s="0">
        <x:v>2022</x:v>
      </x:c>
      <x:c r="O501" s="0" t="s">
        <x:v>1482</x:v>
      </x:c>
      <x:c r="S501" s="0">
        <x:v>0</x:v>
      </x:c>
      <x:c r="T501" s="0">
        <x:v>0</x:v>
      </x:c>
      <x:c r="V501" s="0">
        <x:v>0</x:v>
      </x:c>
      <x:c r="W501" s="21">
        <x:v>0</x:v>
      </x:c>
      <x:c r="X501" s="0">
        <x:v>0</x:v>
      </x:c>
      <x:c r="Y501" s="21">
        <x:v>0</x:v>
      </x:c>
      <x:c r="AK501" s="0" t="s">
        <x:v>1485</x:v>
      </x:c>
    </x:row>
    <x:row r="502" spans="1:37" x14ac:dyDescent="0.25">
      <x:c r="A502" s="0">
        <x:f>ROW(A502)-1</x:f>
      </x:c>
      <x:c r="C502" s="0">
        <x:v>3114</x:v>
      </x:c>
      <x:c r="D502" s="0" t="s">
        <x:v>1192</x:v>
      </x:c>
      <x:c r="E502" s="0" t="s">
        <x:v>1783</x:v>
      </x:c>
      <x:c r="F502" s="0" t="s">
        <x:v>1365</x:v>
      </x:c>
      <x:c r="G502" s="0" t="s">
        <x:v>1320</x:v>
      </x:c>
      <x:c r="M502" s="0">
        <x:v>0</x:v>
      </x:c>
      <x:c r="N502" s="0">
        <x:v>2022</x:v>
      </x:c>
      <x:c r="O502" s="0" t="s">
        <x:v>1482</x:v>
      </x:c>
      <x:c r="S502" s="0">
        <x:v>400</x:v>
      </x:c>
      <x:c r="T502" s="0">
        <x:v>0</x:v>
      </x:c>
      <x:c r="V502" s="0">
        <x:v>0</x:v>
      </x:c>
      <x:c r="W502" s="21">
        <x:v>0</x:v>
      </x:c>
      <x:c r="X502" s="0">
        <x:v>29424</x:v>
      </x:c>
      <x:c r="Y502" s="21">
        <x:v>0</x:v>
      </x:c>
      <x:c r="AK502" s="0" t="s">
        <x:v>1784</x:v>
      </x:c>
    </x:row>
    <x:row r="503" spans="1:37" x14ac:dyDescent="0.25">
      <x:c r="A503" s="0">
        <x:f>ROW(A503)-1</x:f>
      </x:c>
      <x:c r="C503" s="0">
        <x:v>3115</x:v>
      </x:c>
      <x:c r="D503" s="0" t="s">
        <x:v>692</x:v>
      </x:c>
      <x:c r="E503" s="0" t="s">
        <x:v>1785</x:v>
      </x:c>
      <x:c r="F503" s="0" t="s">
        <x:v>1365</x:v>
      </x:c>
      <x:c r="G503" s="0" t="s">
        <x:v>1320</x:v>
      </x:c>
      <x:c r="M503" s="0">
        <x:v>0</x:v>
      </x:c>
      <x:c r="N503" s="0">
        <x:v>2022</x:v>
      </x:c>
      <x:c r="O503" s="0" t="s">
        <x:v>1482</x:v>
      </x:c>
      <x:c r="S503" s="0">
        <x:v>250</x:v>
      </x:c>
      <x:c r="T503" s="0">
        <x:v>0</x:v>
      </x:c>
      <x:c r="V503" s="0">
        <x:v>0</x:v>
      </x:c>
      <x:c r="W503" s="21">
        <x:v>0</x:v>
      </x:c>
      <x:c r="X503" s="0">
        <x:v>0</x:v>
      </x:c>
      <x:c r="Y503" s="21">
        <x:v>0</x:v>
      </x:c>
    </x:row>
    <x:row r="504" spans="1:37" x14ac:dyDescent="0.25">
      <x:c r="A504" s="0">
        <x:f>ROW(A504)-1</x:f>
      </x:c>
      <x:c r="C504" s="0">
        <x:v>3116</x:v>
      </x:c>
      <x:c r="D504" s="0" t="s">
        <x:v>719</x:v>
      </x:c>
      <x:c r="E504" s="0" t="s">
        <x:v>720</x:v>
      </x:c>
      <x:c r="F504" s="0" t="s">
        <x:v>1387</x:v>
      </x:c>
      <x:c r="G504" s="0" t="s">
        <x:v>1320</x:v>
      </x:c>
      <x:c r="M504" s="0">
        <x:v>0</x:v>
      </x:c>
      <x:c r="N504" s="0">
        <x:v>2022</x:v>
      </x:c>
      <x:c r="O504" s="0" t="s">
        <x:v>1482</x:v>
      </x:c>
      <x:c r="S504" s="0">
        <x:v>800</x:v>
      </x:c>
      <x:c r="T504" s="0">
        <x:v>0</x:v>
      </x:c>
      <x:c r="V504" s="0">
        <x:v>0</x:v>
      </x:c>
      <x:c r="W504" s="21">
        <x:v>0</x:v>
      </x:c>
      <x:c r="X504" s="0">
        <x:v>0</x:v>
      </x:c>
      <x:c r="Y504" s="21">
        <x:v>0</x:v>
      </x:c>
    </x:row>
    <x:row r="505" spans="1:37" x14ac:dyDescent="0.25">
      <x:c r="A505" s="0">
        <x:f>ROW(A505)-1</x:f>
      </x:c>
      <x:c r="C505" s="0">
        <x:v>3119</x:v>
      </x:c>
      <x:c r="D505" s="0" t="s">
        <x:v>722</x:v>
      </x:c>
      <x:c r="E505" s="0" t="s">
        <x:v>723</x:v>
      </x:c>
      <x:c r="F505" s="0" t="s">
        <x:v>1365</x:v>
      </x:c>
      <x:c r="G505" s="0" t="s">
        <x:v>1320</x:v>
      </x:c>
      <x:c r="M505" s="0">
        <x:v>0</x:v>
      </x:c>
      <x:c r="N505" s="0">
        <x:v>2022</x:v>
      </x:c>
      <x:c r="O505" s="0" t="s">
        <x:v>1482</x:v>
      </x:c>
      <x:c r="S505" s="0">
        <x:v>150</x:v>
      </x:c>
      <x:c r="T505" s="0">
        <x:v>0</x:v>
      </x:c>
      <x:c r="V505" s="0">
        <x:v>0</x:v>
      </x:c>
      <x:c r="W505" s="21">
        <x:v>0</x:v>
      </x:c>
      <x:c r="X505" s="0">
        <x:v>5500</x:v>
      </x:c>
      <x:c r="Y505" s="21">
        <x:v>0</x:v>
      </x:c>
    </x:row>
    <x:row r="506" spans="1:37" x14ac:dyDescent="0.25">
      <x:c r="A506" s="0">
        <x:f>ROW(A506)-1</x:f>
      </x:c>
      <x:c r="C506" s="0">
        <x:v>3120</x:v>
      </x:c>
      <x:c r="D506" s="0" t="s">
        <x:v>727</x:v>
      </x:c>
      <x:c r="E506" s="0" t="s">
        <x:v>728</x:v>
      </x:c>
      <x:c r="F506" s="0" t="s">
        <x:v>1365</x:v>
      </x:c>
      <x:c r="G506" s="0" t="s">
        <x:v>1320</x:v>
      </x:c>
      <x:c r="M506" s="0">
        <x:v>0</x:v>
      </x:c>
      <x:c r="N506" s="0">
        <x:v>2022</x:v>
      </x:c>
      <x:c r="O506" s="0" t="s">
        <x:v>1482</x:v>
      </x:c>
      <x:c r="S506" s="0">
        <x:v>500</x:v>
      </x:c>
      <x:c r="T506" s="0">
        <x:v>0</x:v>
      </x:c>
      <x:c r="V506" s="0">
        <x:v>0</x:v>
      </x:c>
      <x:c r="W506" s="21">
        <x:v>0</x:v>
      </x:c>
      <x:c r="X506" s="0">
        <x:v>12000</x:v>
      </x:c>
      <x:c r="Y506" s="21">
        <x:v>0</x:v>
      </x:c>
    </x:row>
    <x:row r="507" spans="1:37" x14ac:dyDescent="0.25">
      <x:c r="A507" s="0">
        <x:f>ROW(A507)-1</x:f>
      </x:c>
      <x:c r="C507" s="0">
        <x:v>3121</x:v>
      </x:c>
      <x:c r="D507" s="0" t="s">
        <x:v>732</x:v>
      </x:c>
      <x:c r="E507" s="0" t="s">
        <x:v>733</x:v>
      </x:c>
      <x:c r="F507" s="0" t="s">
        <x:v>1365</x:v>
      </x:c>
      <x:c r="G507" s="0" t="s">
        <x:v>1320</x:v>
      </x:c>
      <x:c r="M507" s="0">
        <x:v>0</x:v>
      </x:c>
      <x:c r="N507" s="0">
        <x:v>2022</x:v>
      </x:c>
      <x:c r="O507" s="0" t="s">
        <x:v>1482</x:v>
      </x:c>
      <x:c r="S507" s="0">
        <x:v>200</x:v>
      </x:c>
      <x:c r="T507" s="0">
        <x:v>0</x:v>
      </x:c>
      <x:c r="V507" s="0">
        <x:v>0</x:v>
      </x:c>
      <x:c r="W507" s="21">
        <x:v>0</x:v>
      </x:c>
      <x:c r="X507" s="0">
        <x:v>25161</x:v>
      </x:c>
      <x:c r="Y507" s="21">
        <x:v>0</x:v>
      </x:c>
    </x:row>
    <x:row r="508" spans="1:37" x14ac:dyDescent="0.25">
      <x:c r="A508" s="0">
        <x:f>ROW(A508)-1</x:f>
      </x:c>
      <x:c r="C508" s="0">
        <x:v>3122</x:v>
      </x:c>
      <x:c r="D508" s="0" t="s">
        <x:v>1200</x:v>
      </x:c>
      <x:c r="E508" s="0" t="s">
        <x:v>1786</x:v>
      </x:c>
      <x:c r="F508" s="0" t="s">
        <x:v>1711</x:v>
      </x:c>
      <x:c r="G508" s="0" t="s">
        <x:v>1320</x:v>
      </x:c>
      <x:c r="M508" s="0">
        <x:v>0</x:v>
      </x:c>
      <x:c r="N508" s="0">
        <x:v>2022</x:v>
      </x:c>
      <x:c r="O508" s="0" t="s">
        <x:v>1586</x:v>
      </x:c>
      <x:c r="S508" s="0">
        <x:v>550</x:v>
      </x:c>
      <x:c r="T508" s="0">
        <x:v>0</x:v>
      </x:c>
      <x:c r="V508" s="0">
        <x:v>0</x:v>
      </x:c>
      <x:c r="W508" s="21">
        <x:v>0</x:v>
      </x:c>
      <x:c r="X508" s="0">
        <x:v>4500</x:v>
      </x:c>
      <x:c r="Y508" s="21">
        <x:v>0</x:v>
      </x:c>
    </x:row>
    <x:row r="509" spans="1:37" x14ac:dyDescent="0.25">
      <x:c r="A509" s="0">
        <x:f>ROW(A509)-1</x:f>
      </x:c>
      <x:c r="C509" s="0">
        <x:v>3123</x:v>
      </x:c>
      <x:c r="D509" s="0" t="s">
        <x:v>224</x:v>
      </x:c>
      <x:c r="E509" s="0" t="s">
        <x:v>737</x:v>
      </x:c>
      <x:c r="G509" s="0" t="s">
        <x:v>1320</x:v>
      </x:c>
      <x:c r="M509" s="0">
        <x:v>0</x:v>
      </x:c>
      <x:c r="N509" s="0">
        <x:v>2023</x:v>
      </x:c>
      <x:c r="S509" s="0">
        <x:v>0</x:v>
      </x:c>
      <x:c r="T509" s="0">
        <x:v>0</x:v>
      </x:c>
      <x:c r="V509" s="0">
        <x:v>0</x:v>
      </x:c>
      <x:c r="W509" s="21">
        <x:v>0</x:v>
      </x:c>
      <x:c r="X509" s="0">
        <x:v>0</x:v>
      </x:c>
      <x:c r="Y509" s="21">
        <x:v>0</x:v>
      </x:c>
    </x:row>
    <x:row r="510" spans="1:37" x14ac:dyDescent="0.25">
      <x:c r="A510" s="0">
        <x:f>ROW(A510)-1</x:f>
      </x:c>
      <x:c r="C510" s="0">
        <x:v>3125</x:v>
      </x:c>
      <x:c r="D510" s="0" t="s">
        <x:v>224</x:v>
      </x:c>
      <x:c r="E510" s="0" t="s">
        <x:v>742</x:v>
      </x:c>
      <x:c r="F510" s="0" t="s">
        <x:v>1365</x:v>
      </x:c>
      <x:c r="G510" s="0" t="s">
        <x:v>1320</x:v>
      </x:c>
      <x:c r="M510" s="0">
        <x:v>0</x:v>
      </x:c>
      <x:c r="N510" s="0">
        <x:v>2023</x:v>
      </x:c>
      <x:c r="O510" s="0" t="s">
        <x:v>1482</x:v>
      </x:c>
      <x:c r="S510" s="0">
        <x:v>0</x:v>
      </x:c>
      <x:c r="T510" s="0">
        <x:v>0</x:v>
      </x:c>
      <x:c r="V510" s="0">
        <x:v>0</x:v>
      </x:c>
      <x:c r="W510" s="21">
        <x:v>0</x:v>
      </x:c>
      <x:c r="X510" s="0">
        <x:v>0</x:v>
      </x:c>
      <x:c r="Y510" s="21">
        <x:v>0</x:v>
      </x:c>
    </x:row>
    <x:row r="511" spans="1:37" x14ac:dyDescent="0.25">
      <x:c r="A511" s="0">
        <x:f>ROW(A511)-1</x:f>
      </x:c>
      <x:c r="C511" s="0">
        <x:v>3126</x:v>
      </x:c>
      <x:c r="D511" s="0" t="s">
        <x:v>224</x:v>
      </x:c>
      <x:c r="E511" s="0" t="s">
        <x:v>745</x:v>
      </x:c>
      <x:c r="F511" s="0" t="s">
        <x:v>1377</x:v>
      </x:c>
      <x:c r="G511" s="0" t="s">
        <x:v>1320</x:v>
      </x:c>
      <x:c r="M511" s="0">
        <x:v>0</x:v>
      </x:c>
      <x:c r="N511" s="0">
        <x:v>2023</x:v>
      </x:c>
      <x:c r="O511" s="0" t="s">
        <x:v>1591</x:v>
      </x:c>
      <x:c r="S511" s="0">
        <x:v>0</x:v>
      </x:c>
      <x:c r="T511" s="0">
        <x:v>0</x:v>
      </x:c>
      <x:c r="V511" s="0">
        <x:v>0</x:v>
      </x:c>
      <x:c r="W511" s="21">
        <x:v>0</x:v>
      </x:c>
      <x:c r="X511" s="0">
        <x:v>37720</x:v>
      </x:c>
      <x:c r="Y511" s="21">
        <x:v>0</x:v>
      </x:c>
    </x:row>
    <x:row r="512" spans="1:37" x14ac:dyDescent="0.25">
      <x:c r="A512" s="0">
        <x:f>ROW(A512)-1</x:f>
      </x:c>
      <x:c r="C512" s="0">
        <x:v>3127</x:v>
      </x:c>
      <x:c r="D512" s="0" t="s">
        <x:v>224</x:v>
      </x:c>
      <x:c r="E512" s="0" t="s">
        <x:v>748</x:v>
      </x:c>
      <x:c r="G512" s="0" t="s">
        <x:v>1320</x:v>
      </x:c>
      <x:c r="M512" s="0">
        <x:v>0</x:v>
      </x:c>
      <x:c r="N512" s="0">
        <x:v>2023</x:v>
      </x:c>
      <x:c r="S512" s="0">
        <x:v>0</x:v>
      </x:c>
      <x:c r="T512" s="0">
        <x:v>0</x:v>
      </x:c>
      <x:c r="V512" s="0">
        <x:v>0</x:v>
      </x:c>
      <x:c r="W512" s="21">
        <x:v>0</x:v>
      </x:c>
      <x:c r="X512" s="0">
        <x:v>0</x:v>
      </x:c>
      <x:c r="Y512" s="21">
        <x:v>0</x:v>
      </x:c>
      <x:c r="AK512" s="0" t="s">
        <x:v>1486</x:v>
      </x:c>
    </x:row>
    <x:row r="513" spans="1:37" x14ac:dyDescent="0.25">
      <x:c r="A513" s="0">
        <x:f>ROW(A513)-1</x:f>
      </x:c>
      <x:c r="C513" s="0">
        <x:v>3128</x:v>
      </x:c>
      <x:c r="D513" s="0" t="s">
        <x:v>224</x:v>
      </x:c>
      <x:c r="E513" s="0" t="s">
        <x:v>751</x:v>
      </x:c>
      <x:c r="F513" s="0" t="s">
        <x:v>1407</x:v>
      </x:c>
      <x:c r="G513" s="0" t="s">
        <x:v>1320</x:v>
      </x:c>
      <x:c r="M513" s="0">
        <x:v>0</x:v>
      </x:c>
      <x:c r="N513" s="0">
        <x:v>2023</x:v>
      </x:c>
      <x:c r="O513" s="0" t="s">
        <x:v>1482</x:v>
      </x:c>
      <x:c r="S513" s="0">
        <x:v>0</x:v>
      </x:c>
      <x:c r="T513" s="0">
        <x:v>0</x:v>
      </x:c>
      <x:c r="V513" s="0">
        <x:v>0</x:v>
      </x:c>
      <x:c r="W513" s="21">
        <x:v>0</x:v>
      </x:c>
      <x:c r="X513" s="0">
        <x:v>0</x:v>
      </x:c>
      <x:c r="Y513" s="21">
        <x:v>0</x:v>
      </x:c>
    </x:row>
    <x:row r="514" spans="1:37" x14ac:dyDescent="0.25">
      <x:c r="A514" s="0">
        <x:f>ROW(A514)-1</x:f>
      </x:c>
      <x:c r="C514" s="0">
        <x:v>3129</x:v>
      </x:c>
      <x:c r="D514" s="0" t="s">
        <x:v>224</x:v>
      </x:c>
      <x:c r="E514" s="0" t="s">
        <x:v>198</x:v>
      </x:c>
      <x:c r="F514" s="0" t="s">
        <x:v>1487</x:v>
      </x:c>
      <x:c r="G514" s="0" t="s">
        <x:v>1320</x:v>
      </x:c>
      <x:c r="M514" s="0">
        <x:v>0</x:v>
      </x:c>
      <x:c r="N514" s="0">
        <x:v>2023</x:v>
      </x:c>
      <x:c r="O514" s="0" t="s">
        <x:v>1482</x:v>
      </x:c>
      <x:c r="S514" s="0">
        <x:v>0</x:v>
      </x:c>
      <x:c r="T514" s="0">
        <x:v>0</x:v>
      </x:c>
      <x:c r="V514" s="0">
        <x:v>0</x:v>
      </x:c>
      <x:c r="W514" s="21">
        <x:v>0</x:v>
      </x:c>
      <x:c r="X514" s="0">
        <x:v>0</x:v>
      </x:c>
      <x:c r="Y514" s="21">
        <x:v>0</x:v>
      </x:c>
      <x:c r="AK514" s="0" t="s">
        <x:v>1488</x:v>
      </x:c>
    </x:row>
    <x:row r="515" spans="1:37" x14ac:dyDescent="0.25">
      <x:c r="A515" s="0">
        <x:f>ROW(A515)-1</x:f>
      </x:c>
      <x:c r="C515" s="0">
        <x:v>3130</x:v>
      </x:c>
      <x:c r="D515" s="0" t="s">
        <x:v>756</x:v>
      </x:c>
      <x:c r="E515" s="0" t="s">
        <x:v>757</x:v>
      </x:c>
      <x:c r="F515" s="0" t="s">
        <x:v>1365</x:v>
      </x:c>
      <x:c r="G515" s="0" t="s">
        <x:v>1320</x:v>
      </x:c>
      <x:c r="M515" s="0">
        <x:v>0</x:v>
      </x:c>
      <x:c r="N515" s="0">
        <x:v>2023</x:v>
      </x:c>
      <x:c r="O515" s="0" t="s">
        <x:v>1482</x:v>
      </x:c>
      <x:c r="S515" s="0">
        <x:v>0</x:v>
      </x:c>
      <x:c r="T515" s="0">
        <x:v>0</x:v>
      </x:c>
      <x:c r="V515" s="0">
        <x:v>0</x:v>
      </x:c>
      <x:c r="W515" s="21">
        <x:v>0</x:v>
      </x:c>
      <x:c r="X515" s="0">
        <x:v>0</x:v>
      </x:c>
      <x:c r="Y515" s="21">
        <x:v>0</x:v>
      </x:c>
    </x:row>
    <x:row r="516" spans="1:37" x14ac:dyDescent="0.25">
      <x:c r="A516" s="0">
        <x:f>ROW(A516)-1</x:f>
      </x:c>
      <x:c r="C516" s="0">
        <x:v>3131</x:v>
      </x:c>
      <x:c r="D516" s="0" t="s">
        <x:v>224</x:v>
      </x:c>
      <x:c r="E516" s="0" t="s">
        <x:v>1787</x:v>
      </x:c>
      <x:c r="F516" s="0" t="s">
        <x:v>1365</x:v>
      </x:c>
      <x:c r="G516" s="0" t="s">
        <x:v>1320</x:v>
      </x:c>
      <x:c r="M516" s="0">
        <x:v>0</x:v>
      </x:c>
      <x:c r="N516" s="0">
        <x:v>2023</x:v>
      </x:c>
      <x:c r="O516" s="0" t="s">
        <x:v>1586</x:v>
      </x:c>
      <x:c r="S516" s="0">
        <x:v>0</x:v>
      </x:c>
      <x:c r="T516" s="0">
        <x:v>0</x:v>
      </x:c>
      <x:c r="V516" s="0">
        <x:v>0</x:v>
      </x:c>
      <x:c r="W516" s="21">
        <x:v>0</x:v>
      </x:c>
      <x:c r="X516" s="0">
        <x:v>0</x:v>
      </x:c>
      <x:c r="Y516" s="21">
        <x:v>0</x:v>
      </x:c>
    </x:row>
    <x:row r="517" spans="1:37" x14ac:dyDescent="0.25">
      <x:c r="A517" s="0">
        <x:f>ROW(A517)-1</x:f>
      </x:c>
      <x:c r="C517" s="0">
        <x:v>3132</x:v>
      </x:c>
      <x:c r="D517" s="0" t="s">
        <x:v>224</x:v>
      </x:c>
      <x:c r="E517" s="0" t="s">
        <x:v>759</x:v>
      </x:c>
      <x:c r="F517" s="0" t="s">
        <x:v>1489</x:v>
      </x:c>
      <x:c r="G517" s="0" t="s">
        <x:v>1320</x:v>
      </x:c>
      <x:c r="M517" s="0">
        <x:v>0</x:v>
      </x:c>
      <x:c r="N517" s="0">
        <x:v>2023</x:v>
      </x:c>
      <x:c r="O517" s="0" t="s">
        <x:v>1533</x:v>
      </x:c>
      <x:c r="S517" s="0">
        <x:v>0</x:v>
      </x:c>
      <x:c r="T517" s="0">
        <x:v>0</x:v>
      </x:c>
      <x:c r="V517" s="0">
        <x:v>0</x:v>
      </x:c>
      <x:c r="W517" s="21">
        <x:v>0</x:v>
      </x:c>
      <x:c r="X517" s="0">
        <x:v>0</x:v>
      </x:c>
      <x:c r="Y517" s="21">
        <x:v>0</x:v>
      </x:c>
      <x:c r="AK517" s="0" t="s">
        <x:v>1490</x:v>
      </x:c>
    </x:row>
    <x:row r="518" spans="1:37" x14ac:dyDescent="0.25">
      <x:c r="A518" s="0">
        <x:f>ROW(A518)-1</x:f>
      </x:c>
      <x:c r="C518" s="0">
        <x:v>3133</x:v>
      </x:c>
      <x:c r="D518" s="0" t="s">
        <x:v>761</x:v>
      </x:c>
      <x:c r="E518" s="0" t="s">
        <x:v>762</x:v>
      </x:c>
      <x:c r="F518" s="0" t="s">
        <x:v>1491</x:v>
      </x:c>
      <x:c r="G518" s="0" t="s">
        <x:v>1320</x:v>
      </x:c>
      <x:c r="M518" s="0">
        <x:v>0</x:v>
      </x:c>
      <x:c r="N518" s="0">
        <x:v>2023</x:v>
      </x:c>
      <x:c r="O518" s="0" t="s">
        <x:v>1533</x:v>
      </x:c>
      <x:c r="S518" s="0">
        <x:v>143</x:v>
      </x:c>
      <x:c r="T518" s="0">
        <x:v>0</x:v>
      </x:c>
      <x:c r="V518" s="0">
        <x:v>0</x:v>
      </x:c>
      <x:c r="W518" s="21">
        <x:v>0</x:v>
      </x:c>
      <x:c r="X518" s="0">
        <x:v>8566</x:v>
      </x:c>
      <x:c r="Y518" s="21">
        <x:v>2057.86</x:v>
      </x:c>
      <x:c r="AK518" s="0" t="s">
        <x:v>1492</x:v>
      </x:c>
    </x:row>
    <x:row r="519" spans="1:37" x14ac:dyDescent="0.25">
      <x:c r="A519" s="0">
        <x:f>ROW(A519)-1</x:f>
      </x:c>
      <x:c r="C519" s="0">
        <x:v>3135</x:v>
      </x:c>
      <x:c r="D519" s="0" t="s">
        <x:v>765</x:v>
      </x:c>
      <x:c r="E519" s="0" t="s">
        <x:v>766</x:v>
      </x:c>
      <x:c r="F519" s="0" t="s">
        <x:v>1365</x:v>
      </x:c>
      <x:c r="G519" s="0" t="s">
        <x:v>1320</x:v>
      </x:c>
      <x:c r="M519" s="0">
        <x:v>0</x:v>
      </x:c>
      <x:c r="N519" s="0">
        <x:v>2023</x:v>
      </x:c>
      <x:c r="O519" s="0" t="s">
        <x:v>1482</x:v>
      </x:c>
      <x:c r="S519" s="0">
        <x:v>3170</x:v>
      </x:c>
      <x:c r="T519" s="0">
        <x:v>0</x:v>
      </x:c>
      <x:c r="V519" s="0">
        <x:v>0</x:v>
      </x:c>
      <x:c r="W519" s="21">
        <x:v>0</x:v>
      </x:c>
      <x:c r="X519" s="0">
        <x:v>331636</x:v>
      </x:c>
      <x:c r="Y519" s="21">
        <x:v>0</x:v>
      </x:c>
    </x:row>
    <x:row r="520" spans="1:37" x14ac:dyDescent="0.25">
      <x:c r="A520" s="0">
        <x:f>ROW(A520)-1</x:f>
      </x:c>
      <x:c r="C520" s="0">
        <x:v>3136</x:v>
      </x:c>
      <x:c r="D520" s="0" t="s">
        <x:v>714</x:v>
      </x:c>
      <x:c r="E520" s="0" t="s">
        <x:v>766</x:v>
      </x:c>
      <x:c r="G520" s="0" t="s">
        <x:v>1320</x:v>
      </x:c>
      <x:c r="N520" s="0">
        <x:v>2023</x:v>
      </x:c>
      <x:c r="S520" s="0">
        <x:v>0</x:v>
      </x:c>
      <x:c r="T520" s="0">
        <x:v>0</x:v>
      </x:c>
      <x:c r="V520" s="0">
        <x:v>0</x:v>
      </x:c>
      <x:c r="W520" s="21">
        <x:v>0</x:v>
      </x:c>
      <x:c r="X520" s="0">
        <x:v>0</x:v>
      </x:c>
      <x:c r="Y520" s="21">
        <x:v>0</x:v>
      </x:c>
    </x:row>
    <x:row r="521" spans="1:37" x14ac:dyDescent="0.25">
      <x:c r="A521" s="0">
        <x:f>ROW(A521)-1</x:f>
      </x:c>
      <x:c r="C521" s="0">
        <x:v>3137</x:v>
      </x:c>
      <x:c r="D521" s="0" t="s">
        <x:v>224</x:v>
      </x:c>
      <x:c r="E521" s="0" t="s">
        <x:v>769</x:v>
      </x:c>
      <x:c r="F521" s="0" t="s">
        <x:v>1493</x:v>
      </x:c>
      <x:c r="G521" s="0" t="s">
        <x:v>1320</x:v>
      </x:c>
      <x:c r="M521" s="0">
        <x:v>0</x:v>
      </x:c>
      <x:c r="N521" s="0">
        <x:v>2023</x:v>
      </x:c>
      <x:c r="O521" s="0" t="s">
        <x:v>1482</x:v>
      </x:c>
      <x:c r="S521" s="0">
        <x:v>0</x:v>
      </x:c>
      <x:c r="T521" s="0">
        <x:v>0</x:v>
      </x:c>
      <x:c r="V521" s="0">
        <x:v>0</x:v>
      </x:c>
      <x:c r="W521" s="21">
        <x:v>0</x:v>
      </x:c>
      <x:c r="X521" s="0">
        <x:v>0</x:v>
      </x:c>
      <x:c r="Y521" s="21">
        <x:v>0</x:v>
      </x:c>
    </x:row>
    <x:row r="522" spans="1:37" x14ac:dyDescent="0.25">
      <x:c r="A522" s="0">
        <x:f>ROW(A522)-1</x:f>
      </x:c>
      <x:c r="C522" s="0">
        <x:v>3139</x:v>
      </x:c>
      <x:c r="D522" s="0" t="s">
        <x:v>773</x:v>
      </x:c>
      <x:c r="E522" s="0" t="s">
        <x:v>774</x:v>
      </x:c>
      <x:c r="F522" s="0" t="s">
        <x:v>1365</x:v>
      </x:c>
      <x:c r="G522" s="0" t="s">
        <x:v>1320</x:v>
      </x:c>
      <x:c r="M522" s="0">
        <x:v>0</x:v>
      </x:c>
      <x:c r="N522" s="0">
        <x:v>2023</x:v>
      </x:c>
      <x:c r="O522" s="0" t="s">
        <x:v>1482</x:v>
      </x:c>
      <x:c r="S522" s="0">
        <x:v>0</x:v>
      </x:c>
      <x:c r="T522" s="0">
        <x:v>0</x:v>
      </x:c>
      <x:c r="V522" s="0">
        <x:v>0</x:v>
      </x:c>
      <x:c r="W522" s="21">
        <x:v>0</x:v>
      </x:c>
      <x:c r="X522" s="0">
        <x:v>290000</x:v>
      </x:c>
      <x:c r="Y522" s="21">
        <x:v>0</x:v>
      </x:c>
    </x:row>
    <x:row r="523" spans="1:37" x14ac:dyDescent="0.25">
      <x:c r="A523" s="0">
        <x:f>ROW(A523)-1</x:f>
      </x:c>
      <x:c r="C523" s="0">
        <x:v>3142</x:v>
      </x:c>
      <x:c r="D523" s="0" t="s">
        <x:v>224</x:v>
      </x:c>
      <x:c r="E523" s="0" t="s">
        <x:v>777</x:v>
      </x:c>
      <x:c r="F523" s="0" t="s">
        <x:v>1365</x:v>
      </x:c>
      <x:c r="G523" s="0" t="s">
        <x:v>1320</x:v>
      </x:c>
      <x:c r="M523" s="0">
        <x:v>0</x:v>
      </x:c>
      <x:c r="N523" s="0">
        <x:v>2024</x:v>
      </x:c>
      <x:c r="O523" s="0" t="s">
        <x:v>1482</x:v>
      </x:c>
      <x:c r="S523" s="0">
        <x:v>0</x:v>
      </x:c>
      <x:c r="T523" s="0">
        <x:v>0</x:v>
      </x:c>
      <x:c r="V523" s="0">
        <x:v>0</x:v>
      </x:c>
      <x:c r="W523" s="21">
        <x:v>0</x:v>
      </x:c>
      <x:c r="X523" s="0">
        <x:v>8000</x:v>
      </x:c>
      <x:c r="Y523" s="21">
        <x:v>0</x:v>
      </x:c>
    </x:row>
    <x:row r="524" spans="1:37" x14ac:dyDescent="0.25">
      <x:c r="A524" s="0">
        <x:f>ROW(A524)-1</x:f>
      </x:c>
      <x:c r="C524" s="0">
        <x:v>3144</x:v>
      </x:c>
      <x:c r="D524" s="0" t="s">
        <x:v>780</x:v>
      </x:c>
      <x:c r="E524" s="0" t="s">
        <x:v>781</x:v>
      </x:c>
      <x:c r="F524" s="0" t="s">
        <x:v>1365</x:v>
      </x:c>
      <x:c r="G524" s="0" t="s">
        <x:v>1320</x:v>
      </x:c>
      <x:c r="M524" s="0">
        <x:v>0</x:v>
      </x:c>
      <x:c r="N524" s="0">
        <x:v>2024</x:v>
      </x:c>
      <x:c r="O524" s="0" t="s">
        <x:v>1482</x:v>
      </x:c>
      <x:c r="S524" s="0">
        <x:v>0</x:v>
      </x:c>
      <x:c r="T524" s="0">
        <x:v>0</x:v>
      </x:c>
      <x:c r="V524" s="0">
        <x:v>0</x:v>
      </x:c>
      <x:c r="W524" s="21">
        <x:v>0</x:v>
      </x:c>
      <x:c r="X524" s="0">
        <x:v>250000</x:v>
      </x:c>
      <x:c r="Y524" s="21">
        <x:v>0</x:v>
      </x:c>
    </x:row>
    <x:row r="525" spans="1:37" x14ac:dyDescent="0.25">
      <x:c r="A525" s="0">
        <x:f>ROW(A525)-1</x:f>
      </x:c>
      <x:c r="C525" s="0">
        <x:v>3146</x:v>
      </x:c>
      <x:c r="D525" s="0" t="s">
        <x:v>784</x:v>
      </x:c>
      <x:c r="E525" s="0" t="s">
        <x:v>785</x:v>
      </x:c>
      <x:c r="F525" s="0" t="s">
        <x:v>1365</x:v>
      </x:c>
      <x:c r="G525" s="0" t="s">
        <x:v>1320</x:v>
      </x:c>
      <x:c r="M525" s="0">
        <x:v>0</x:v>
      </x:c>
      <x:c r="N525" s="0">
        <x:v>2024</x:v>
      </x:c>
      <x:c r="O525" s="0" t="s">
        <x:v>1482</x:v>
      </x:c>
      <x:c r="S525" s="0">
        <x:v>0</x:v>
      </x:c>
      <x:c r="T525" s="0">
        <x:v>0</x:v>
      </x:c>
      <x:c r="V525" s="0">
        <x:v>0</x:v>
      </x:c>
      <x:c r="W525" s="21">
        <x:v>0</x:v>
      </x:c>
      <x:c r="X525" s="0">
        <x:v>0</x:v>
      </x:c>
      <x:c r="Y525" s="21">
        <x:v>0</x:v>
      </x:c>
    </x:row>
    <x:row r="526" spans="1:37" x14ac:dyDescent="0.25">
      <x:c r="A526" s="0">
        <x:f>ROW(A526)-1</x:f>
      </x:c>
      <x:c r="C526" s="0">
        <x:v>3147</x:v>
      </x:c>
      <x:c r="D526" s="0" t="s">
        <x:v>787</x:v>
      </x:c>
      <x:c r="E526" s="0" t="s">
        <x:v>788</x:v>
      </x:c>
      <x:c r="F526" s="0" t="s">
        <x:v>1494</x:v>
      </x:c>
      <x:c r="G526" s="0" t="s">
        <x:v>1320</x:v>
      </x:c>
      <x:c r="M526" s="0">
        <x:v>0</x:v>
      </x:c>
      <x:c r="N526" s="0">
        <x:v>2024</x:v>
      </x:c>
      <x:c r="O526" s="0" t="s">
        <x:v>1591</x:v>
      </x:c>
      <x:c r="S526" s="0">
        <x:v>0</x:v>
      </x:c>
      <x:c r="T526" s="0">
        <x:v>0</x:v>
      </x:c>
      <x:c r="V526" s="0">
        <x:v>0</x:v>
      </x:c>
      <x:c r="W526" s="21">
        <x:v>0</x:v>
      </x:c>
      <x:c r="X526" s="0">
        <x:v>40085</x:v>
      </x:c>
      <x:c r="Y526" s="21">
        <x:v>0</x:v>
      </x:c>
    </x:row>
    <x:row r="527" spans="1:37" x14ac:dyDescent="0.25">
      <x:c r="A527" s="0">
        <x:f>ROW(A527)-1</x:f>
      </x:c>
      <x:c r="C527" s="0">
        <x:v>3153</x:v>
      </x:c>
      <x:c r="D527" s="0" t="s">
        <x:v>793</x:v>
      </x:c>
      <x:c r="E527" s="0" t="s">
        <x:v>794</x:v>
      </x:c>
      <x:c r="F527" s="0" t="s">
        <x:v>1377</x:v>
      </x:c>
      <x:c r="G527" s="0" t="s">
        <x:v>1320</x:v>
      </x:c>
      <x:c r="M527" s="0">
        <x:v>0</x:v>
      </x:c>
      <x:c r="N527" s="0">
        <x:v>2024</x:v>
      </x:c>
      <x:c r="O527" s="0" t="s">
        <x:v>1591</x:v>
      </x:c>
      <x:c r="S527" s="0">
        <x:v>240</x:v>
      </x:c>
      <x:c r="T527" s="0">
        <x:v>0</x:v>
      </x:c>
      <x:c r="V527" s="0">
        <x:v>0</x:v>
      </x:c>
      <x:c r="W527" s="21">
        <x:v>0</x:v>
      </x:c>
      <x:c r="X527" s="0">
        <x:v>11362</x:v>
      </x:c>
      <x:c r="Y527" s="21">
        <x:v>0</x:v>
      </x:c>
    </x:row>
    <x:row r="528" spans="1:37" x14ac:dyDescent="0.25">
      <x:c r="A528" s="0">
        <x:f>ROW(A528)-1</x:f>
      </x:c>
      <x:c r="C528" s="0">
        <x:v>3154</x:v>
      </x:c>
      <x:c r="D528" s="0" t="s">
        <x:v>798</x:v>
      </x:c>
      <x:c r="E528" s="0" t="s">
        <x:v>799</x:v>
      </x:c>
      <x:c r="F528" s="0" t="s">
        <x:v>1365</x:v>
      </x:c>
      <x:c r="G528" s="0" t="s">
        <x:v>1320</x:v>
      </x:c>
      <x:c r="M528" s="0">
        <x:v>0</x:v>
      </x:c>
      <x:c r="N528" s="0">
        <x:v>2024</x:v>
      </x:c>
      <x:c r="S528" s="0">
        <x:v>1200</x:v>
      </x:c>
      <x:c r="T528" s="0">
        <x:v>0</x:v>
      </x:c>
      <x:c r="V528" s="0">
        <x:v>0</x:v>
      </x:c>
      <x:c r="W528" s="21">
        <x:v>0</x:v>
      </x:c>
      <x:c r="X528" s="0">
        <x:v>28000</x:v>
      </x:c>
      <x:c r="Y528" s="21">
        <x:v>0</x:v>
      </x:c>
    </x:row>
    <x:row r="529" spans="1:37" x14ac:dyDescent="0.25">
      <x:c r="A529" s="0">
        <x:f>ROW(A529)-1</x:f>
      </x:c>
      <x:c r="C529" s="0">
        <x:v>3155</x:v>
      </x:c>
      <x:c r="D529" s="0" t="s">
        <x:v>203</x:v>
      </x:c>
      <x:c r="E529" s="0" t="s">
        <x:v>800</x:v>
      </x:c>
      <x:c r="F529" s="0" t="s">
        <x:v>1365</x:v>
      </x:c>
      <x:c r="G529" s="0" t="s">
        <x:v>1320</x:v>
      </x:c>
      <x:c r="M529" s="0">
        <x:v>0</x:v>
      </x:c>
      <x:c r="N529" s="0">
        <x:v>2024</x:v>
      </x:c>
      <x:c r="O529" s="0" t="s">
        <x:v>1482</x:v>
      </x:c>
      <x:c r="S529" s="0">
        <x:v>180</x:v>
      </x:c>
      <x:c r="T529" s="0">
        <x:v>0</x:v>
      </x:c>
      <x:c r="V529" s="0">
        <x:v>0</x:v>
      </x:c>
      <x:c r="W529" s="21">
        <x:v>0</x:v>
      </x:c>
      <x:c r="X529" s="0">
        <x:v>1500</x:v>
      </x:c>
      <x:c r="Y529" s="21">
        <x:v>0</x:v>
      </x:c>
    </x:row>
    <x:row r="530" spans="1:37" x14ac:dyDescent="0.25">
      <x:c r="A530" s="0">
        <x:f>ROW(A530)-1</x:f>
      </x:c>
      <x:c r="C530" s="0">
        <x:v>3159</x:v>
      </x:c>
      <x:c r="D530" s="0" t="s">
        <x:v>106</x:v>
      </x:c>
      <x:c r="E530" s="0" t="s">
        <x:v>804</x:v>
      </x:c>
      <x:c r="F530" s="0" t="s">
        <x:v>1358</x:v>
      </x:c>
      <x:c r="G530" s="0" t="s">
        <x:v>1320</x:v>
      </x:c>
      <x:c r="M530" s="0">
        <x:v>0</x:v>
      </x:c>
      <x:c r="N530" s="0">
        <x:v>2025</x:v>
      </x:c>
      <x:c r="O530" s="0" t="s">
        <x:v>1482</x:v>
      </x:c>
      <x:c r="S530" s="0">
        <x:v>340</x:v>
      </x:c>
      <x:c r="T530" s="0">
        <x:v>0</x:v>
      </x:c>
      <x:c r="V530" s="0">
        <x:v>0</x:v>
      </x:c>
      <x:c r="W530" s="21">
        <x:v>0</x:v>
      </x:c>
      <x:c r="X530" s="0">
        <x:v>725000</x:v>
      </x:c>
      <x:c r="Y530" s="21">
        <x:v>0</x:v>
      </x:c>
    </x:row>
    <x:row r="531" spans="1:37" x14ac:dyDescent="0.25">
      <x:c r="A531" s="0">
        <x:f>ROW(A531)-1</x:f>
      </x:c>
      <x:c r="C531" s="0">
        <x:v>3160</x:v>
      </x:c>
      <x:c r="D531" s="0" t="s">
        <x:v>809</x:v>
      </x:c>
      <x:c r="E531" s="0" t="s">
        <x:v>810</x:v>
      </x:c>
      <x:c r="F531" s="0" t="s">
        <x:v>1365</x:v>
      </x:c>
      <x:c r="G531" s="0" t="s">
        <x:v>1320</x:v>
      </x:c>
      <x:c r="M531" s="0">
        <x:v>0</x:v>
      </x:c>
      <x:c r="N531" s="0">
        <x:v>2025</x:v>
      </x:c>
      <x:c r="O531" s="0" t="s">
        <x:v>1482</x:v>
      </x:c>
      <x:c r="S531" s="0">
        <x:v>180</x:v>
      </x:c>
      <x:c r="T531" s="0">
        <x:v>0</x:v>
      </x:c>
      <x:c r="V531" s="0">
        <x:v>0</x:v>
      </x:c>
      <x:c r="W531" s="21">
        <x:v>0</x:v>
      </x:c>
      <x:c r="X531" s="0">
        <x:v>25000</x:v>
      </x:c>
      <x:c r="Y531" s="21">
        <x:v>0</x:v>
      </x:c>
    </x:row>
    <x:row r="532" spans="1:37" x14ac:dyDescent="0.25">
      <x:c r="A532" s="0">
        <x:f>ROW(A532)-1</x:f>
      </x:c>
      <x:c r="C532" s="0">
        <x:v>3162</x:v>
      </x:c>
      <x:c r="D532" s="0" t="s">
        <x:v>813</x:v>
      </x:c>
      <x:c r="E532" s="0" t="s">
        <x:v>814</x:v>
      </x:c>
      <x:c r="F532" s="0" t="s">
        <x:v>1365</x:v>
      </x:c>
      <x:c r="G532" s="0" t="s">
        <x:v>1320</x:v>
      </x:c>
      <x:c r="M532" s="0">
        <x:v>0</x:v>
      </x:c>
      <x:c r="N532" s="0">
        <x:v>2025</x:v>
      </x:c>
      <x:c r="O532" s="0" t="s">
        <x:v>1482</x:v>
      </x:c>
      <x:c r="S532" s="0">
        <x:v>180</x:v>
      </x:c>
      <x:c r="T532" s="0">
        <x:v>0</x:v>
      </x:c>
      <x:c r="V532" s="0">
        <x:v>0</x:v>
      </x:c>
      <x:c r="W532" s="21">
        <x:v>0</x:v>
      </x:c>
      <x:c r="X532" s="0">
        <x:v>120000</x:v>
      </x:c>
      <x:c r="Y532" s="21">
        <x:v>0</x:v>
      </x:c>
    </x:row>
    <x:row r="533" spans="1:37" x14ac:dyDescent="0.25">
      <x:c r="A533" s="0">
        <x:f>ROW(A533)-1</x:f>
      </x:c>
      <x:c r="C533" s="0">
        <x:v>3164</x:v>
      </x:c>
      <x:c r="D533" s="0" t="s">
        <x:v>817</x:v>
      </x:c>
      <x:c r="E533" s="0" t="s">
        <x:v>818</x:v>
      </x:c>
      <x:c r="F533" s="0" t="s">
        <x:v>1454</x:v>
      </x:c>
      <x:c r="G533" s="0" t="s">
        <x:v>1320</x:v>
      </x:c>
      <x:c r="M533" s="0">
        <x:v>0</x:v>
      </x:c>
      <x:c r="N533" s="0">
        <x:v>2025</x:v>
      </x:c>
      <x:c r="O533" s="0" t="s">
        <x:v>1441</x:v>
      </x:c>
      <x:c r="S533" s="0">
        <x:v>7995</x:v>
      </x:c>
      <x:c r="T533" s="0">
        <x:v>0</x:v>
      </x:c>
      <x:c r="V533" s="0">
        <x:v>0</x:v>
      </x:c>
      <x:c r="W533" s="21">
        <x:v>0</x:v>
      </x:c>
      <x:c r="X533" s="0">
        <x:v>0</x:v>
      </x:c>
      <x:c r="Y533" s="21">
        <x:v>0</x:v>
      </x:c>
    </x:row>
    <x:row r="534" spans="1:37" x14ac:dyDescent="0.25">
      <x:c r="A534" s="0">
        <x:f>ROW(A534)-1</x:f>
      </x:c>
      <x:c r="C534" s="0">
        <x:v>855</x:v>
      </x:c>
      <x:c r="D534" s="0" t="s">
        <x:v>1204</x:v>
      </x:c>
      <x:c r="E534" s="0" t="s">
        <x:v>1788</x:v>
      </x:c>
      <x:c r="F534" s="0" t="s">
        <x:v>1365</x:v>
      </x:c>
      <x:c r="G534" s="0" t="s">
        <x:v>1320</x:v>
      </x:c>
      <x:c r="M534" s="0">
        <x:v>0</x:v>
      </x:c>
      <x:c r="N534" s="0">
        <x:v>2025</x:v>
      </x:c>
      <x:c r="O534" s="0" t="s">
        <x:v>1441</x:v>
      </x:c>
      <x:c r="S534" s="0">
        <x:v>1792</x:v>
      </x:c>
      <x:c r="T534" s="0">
        <x:v>0</x:v>
      </x:c>
      <x:c r="V534" s="0">
        <x:v>0</x:v>
      </x:c>
      <x:c r="W534" s="21">
        <x:v>0</x:v>
      </x:c>
      <x:c r="X534" s="0">
        <x:v>90700</x:v>
      </x:c>
      <x:c r="Y534" s="21">
        <x:v>0</x:v>
      </x:c>
    </x:row>
    <x:row r="535" spans="1:37" x14ac:dyDescent="0.25">
      <x:c r="A535" s="0">
        <x:f>ROW(A535)-1</x:f>
      </x:c>
      <x:c r="C535" s="0">
        <x:v>854</x:v>
      </x:c>
      <x:c r="D535" s="0" t="s">
        <x:v>823</x:v>
      </x:c>
      <x:c r="E535" s="0" t="s">
        <x:v>824</x:v>
      </x:c>
      <x:c r="G535" s="0" t="s">
        <x:v>1320</x:v>
      </x:c>
      <x:c r="M535" s="0">
        <x:v>0</x:v>
      </x:c>
      <x:c r="N535" s="0">
        <x:v>2024</x:v>
      </x:c>
      <x:c r="S535" s="0">
        <x:v>7500</x:v>
      </x:c>
      <x:c r="T535" s="0">
        <x:v>0</x:v>
      </x:c>
      <x:c r="V535" s="0">
        <x:v>0</x:v>
      </x:c>
      <x:c r="W535" s="21">
        <x:v>0</x:v>
      </x:c>
      <x:c r="X535" s="0">
        <x:v>290000</x:v>
      </x:c>
      <x:c r="Y535" s="21">
        <x:v>0</x:v>
      </x:c>
    </x:row>
    <x:row r="536" spans="1:37" x14ac:dyDescent="0.25">
      <x:c r="A536" s="0">
        <x:f>ROW(A536)-1</x:f>
      </x:c>
      <x:c r="C536" s="0">
        <x:v>853</x:v>
      </x:c>
      <x:c r="D536" s="0" t="s">
        <x:v>1205</x:v>
      </x:c>
      <x:c r="E536" s="0" t="s">
        <x:v>1789</x:v>
      </x:c>
      <x:c r="F536" s="0" t="s">
        <x:v>1365</x:v>
      </x:c>
      <x:c r="G536" s="0" t="s">
        <x:v>1320</x:v>
      </x:c>
      <x:c r="M536" s="0">
        <x:v>0</x:v>
      </x:c>
      <x:c r="N536" s="0">
        <x:v>2023</x:v>
      </x:c>
      <x:c r="S536" s="0">
        <x:v>980</x:v>
      </x:c>
      <x:c r="T536" s="0">
        <x:v>0</x:v>
      </x:c>
      <x:c r="V536" s="0">
        <x:v>0</x:v>
      </x:c>
      <x:c r="W536" s="21">
        <x:v>0</x:v>
      </x:c>
      <x:c r="X536" s="0">
        <x:v>155000</x:v>
      </x:c>
      <x:c r="Y536" s="21">
        <x:v>0</x:v>
      </x:c>
    </x:row>
    <x:row r="537" spans="1:37" x14ac:dyDescent="0.25">
      <x:c r="A537" s="0">
        <x:f>ROW(A537)-1</x:f>
      </x:c>
      <x:c r="C537" s="0">
        <x:v>852</x:v>
      </x:c>
      <x:c r="D537" s="0" t="s">
        <x:v>1207</x:v>
      </x:c>
      <x:c r="E537" s="0" t="s">
        <x:v>1790</x:v>
      </x:c>
      <x:c r="F537" s="0" t="s">
        <x:v>1791</x:v>
      </x:c>
      <x:c r="G537" s="0" t="s">
        <x:v>1320</x:v>
      </x:c>
      <x:c r="M537" s="0">
        <x:v>0</x:v>
      </x:c>
      <x:c r="N537" s="0">
        <x:v>2024</x:v>
      </x:c>
      <x:c r="O537" s="0" t="s">
        <x:v>1482</x:v>
      </x:c>
      <x:c r="S537" s="0">
        <x:v>0</x:v>
      </x:c>
      <x:c r="T537" s="0">
        <x:v>0</x:v>
      </x:c>
      <x:c r="V537" s="0">
        <x:v>0</x:v>
      </x:c>
      <x:c r="W537" s="21">
        <x:v>0</x:v>
      </x:c>
      <x:c r="X537" s="0">
        <x:v>160000</x:v>
      </x:c>
      <x:c r="Y537" s="21">
        <x:v>0</x:v>
      </x:c>
    </x:row>
    <x:row r="538" spans="1:37" x14ac:dyDescent="0.25">
      <x:c r="A538" s="0">
        <x:f>ROW(A538)-1</x:f>
      </x:c>
      <x:c r="C538" s="0">
        <x:v>849</x:v>
      </x:c>
      <x:c r="D538" s="0" t="s">
        <x:v>1210</x:v>
      </x:c>
      <x:c r="E538" s="0" t="s">
        <x:v>1792</x:v>
      </x:c>
      <x:c r="F538" s="0" t="s">
        <x:v>1365</x:v>
      </x:c>
      <x:c r="G538" s="0" t="s">
        <x:v>1320</x:v>
      </x:c>
      <x:c r="M538" s="0">
        <x:v>0</x:v>
      </x:c>
      <x:c r="N538" s="0">
        <x:v>2023</x:v>
      </x:c>
      <x:c r="O538" s="0" t="s">
        <x:v>1362</x:v>
      </x:c>
      <x:c r="S538" s="0">
        <x:v>250</x:v>
      </x:c>
      <x:c r="T538" s="0">
        <x:v>0</x:v>
      </x:c>
      <x:c r="V538" s="0">
        <x:v>0</x:v>
      </x:c>
      <x:c r="W538" s="21">
        <x:v>0</x:v>
      </x:c>
      <x:c r="X538" s="0">
        <x:v>30000</x:v>
      </x:c>
      <x:c r="Y538" s="21">
        <x:v>0</x:v>
      </x:c>
    </x:row>
    <x:row r="539" spans="1:37" x14ac:dyDescent="0.25">
      <x:c r="A539" s="0">
        <x:f>ROW(A539)-1</x:f>
      </x:c>
      <x:c r="C539" s="0">
        <x:v>847</x:v>
      </x:c>
      <x:c r="D539" s="0" t="s">
        <x:v>1211</x:v>
      </x:c>
      <x:c r="E539" s="0" t="s">
        <x:v>1793</x:v>
      </x:c>
      <x:c r="G539" s="0" t="s">
        <x:v>1320</x:v>
      </x:c>
      <x:c r="M539" s="0">
        <x:v>0</x:v>
      </x:c>
      <x:c r="N539" s="0">
        <x:v>2023</x:v>
      </x:c>
      <x:c r="S539" s="0">
        <x:v>496</x:v>
      </x:c>
      <x:c r="T539" s="0">
        <x:v>0</x:v>
      </x:c>
      <x:c r="V539" s="0">
        <x:v>0</x:v>
      </x:c>
      <x:c r="W539" s="21">
        <x:v>0</x:v>
      </x:c>
      <x:c r="X539" s="0">
        <x:v>52000</x:v>
      </x:c>
      <x:c r="Y539" s="21">
        <x:v>0</x:v>
      </x:c>
    </x:row>
    <x:row r="540" spans="1:37" x14ac:dyDescent="0.25">
      <x:c r="A540" s="0">
        <x:f>ROW(A540)-1</x:f>
      </x:c>
      <x:c r="C540" s="0">
        <x:v>846</x:v>
      </x:c>
      <x:c r="D540" s="0" t="s">
        <x:v>825</x:v>
      </x:c>
      <x:c r="E540" s="0" t="s">
        <x:v>826</x:v>
      </x:c>
      <x:c r="F540" s="0" t="s">
        <x:v>1365</x:v>
      </x:c>
      <x:c r="G540" s="0" t="s">
        <x:v>1320</x:v>
      </x:c>
      <x:c r="M540" s="0">
        <x:v>0</x:v>
      </x:c>
      <x:c r="N540" s="0">
        <x:v>2023</x:v>
      </x:c>
      <x:c r="O540" s="0" t="s">
        <x:v>1482</x:v>
      </x:c>
      <x:c r="S540" s="0">
        <x:v>0</x:v>
      </x:c>
      <x:c r="T540" s="0">
        <x:v>0</x:v>
      </x:c>
      <x:c r="V540" s="0">
        <x:v>0</x:v>
      </x:c>
      <x:c r="W540" s="21">
        <x:v>0</x:v>
      </x:c>
      <x:c r="X540" s="0">
        <x:v>0</x:v>
      </x:c>
      <x:c r="Y540" s="21">
        <x:v>0</x:v>
      </x:c>
    </x:row>
    <x:row r="541" spans="1:37" x14ac:dyDescent="0.25">
      <x:c r="A541" s="0">
        <x:f>ROW(A541)-1</x:f>
      </x:c>
      <x:c r="C541" s="0">
        <x:v>842</x:v>
      </x:c>
      <x:c r="D541" s="0" t="s">
        <x:v>1215</x:v>
      </x:c>
      <x:c r="E541" s="0" t="s">
        <x:v>1794</x:v>
      </x:c>
      <x:c r="G541" s="0" t="s">
        <x:v>1320</x:v>
      </x:c>
      <x:c r="M541" s="0">
        <x:v>0</x:v>
      </x:c>
      <x:c r="N541" s="0">
        <x:v>2023</x:v>
      </x:c>
      <x:c r="S541" s="0">
        <x:v>0</x:v>
      </x:c>
      <x:c r="T541" s="0">
        <x:v>0</x:v>
      </x:c>
      <x:c r="V541" s="0">
        <x:v>0</x:v>
      </x:c>
      <x:c r="W541" s="21">
        <x:v>0</x:v>
      </x:c>
      <x:c r="X541" s="0">
        <x:v>50000</x:v>
      </x:c>
      <x:c r="Y541" s="21">
        <x:v>0</x:v>
      </x:c>
    </x:row>
    <x:row r="542" spans="1:37" x14ac:dyDescent="0.25">
      <x:c r="A542" s="0">
        <x:f>ROW(A542)-1</x:f>
      </x:c>
      <x:c r="C542" s="0">
        <x:v>840</x:v>
      </x:c>
      <x:c r="D542" s="0" t="s">
        <x:v>829</x:v>
      </x:c>
      <x:c r="E542" s="0" t="s">
        <x:v>830</x:v>
      </x:c>
      <x:c r="F542" s="0" t="s">
        <x:v>1365</x:v>
      </x:c>
      <x:c r="G542" s="0" t="s">
        <x:v>1320</x:v>
      </x:c>
      <x:c r="M542" s="0">
        <x:v>0</x:v>
      </x:c>
      <x:c r="N542" s="0">
        <x:v>2023</x:v>
      </x:c>
      <x:c r="S542" s="0">
        <x:v>770</x:v>
      </x:c>
      <x:c r="T542" s="0">
        <x:v>0</x:v>
      </x:c>
      <x:c r="V542" s="0">
        <x:v>0</x:v>
      </x:c>
      <x:c r="W542" s="21">
        <x:v>0</x:v>
      </x:c>
      <x:c r="X542" s="0">
        <x:v>37500</x:v>
      </x:c>
      <x:c r="Y542" s="21">
        <x:v>0</x:v>
      </x:c>
    </x:row>
    <x:row r="543" spans="1:37" x14ac:dyDescent="0.25">
      <x:c r="A543" s="0">
        <x:f>ROW(A543)-1</x:f>
      </x:c>
      <x:c r="C543" s="0">
        <x:v>839</x:v>
      </x:c>
      <x:c r="D543" s="0" t="s">
        <x:v>833</x:v>
      </x:c>
      <x:c r="E543" s="0" t="s">
        <x:v>834</x:v>
      </x:c>
      <x:c r="F543" s="0" t="s">
        <x:v>1365</x:v>
      </x:c>
      <x:c r="G543" s="0" t="s">
        <x:v>1320</x:v>
      </x:c>
      <x:c r="M543" s="0">
        <x:v>0</x:v>
      </x:c>
      <x:c r="N543" s="0">
        <x:v>2023</x:v>
      </x:c>
      <x:c r="O543" s="0" t="s">
        <x:v>1482</x:v>
      </x:c>
      <x:c r="S543" s="0">
        <x:v>0</x:v>
      </x:c>
      <x:c r="T543" s="0">
        <x:v>0</x:v>
      </x:c>
      <x:c r="V543" s="0">
        <x:v>0</x:v>
      </x:c>
      <x:c r="W543" s="21">
        <x:v>0</x:v>
      </x:c>
      <x:c r="X543" s="0">
        <x:v>8000</x:v>
      </x:c>
      <x:c r="Y543" s="21">
        <x:v>0</x:v>
      </x:c>
    </x:row>
    <x:row r="544" spans="1:37" x14ac:dyDescent="0.25">
      <x:c r="A544" s="0">
        <x:f>ROW(A544)-1</x:f>
      </x:c>
      <x:c r="C544" s="0">
        <x:v>838</x:v>
      </x:c>
      <x:c r="D544" s="0" t="s">
        <x:v>837</x:v>
      </x:c>
      <x:c r="E544" s="0" t="s">
        <x:v>838</x:v>
      </x:c>
      <x:c r="F544" s="0" t="s">
        <x:v>1365</x:v>
      </x:c>
      <x:c r="G544" s="0" t="s">
        <x:v>1320</x:v>
      </x:c>
      <x:c r="M544" s="0">
        <x:v>0</x:v>
      </x:c>
      <x:c r="N544" s="0">
        <x:v>2024</x:v>
      </x:c>
      <x:c r="O544" s="0" t="s">
        <x:v>1583</x:v>
      </x:c>
      <x:c r="S544" s="0">
        <x:v>450</x:v>
      </x:c>
      <x:c r="T544" s="0">
        <x:v>0</x:v>
      </x:c>
      <x:c r="V544" s="0">
        <x:v>0</x:v>
      </x:c>
      <x:c r="W544" s="21">
        <x:v>0</x:v>
      </x:c>
      <x:c r="X544" s="0">
        <x:v>11500</x:v>
      </x:c>
      <x:c r="Y544" s="21">
        <x:v>0</x:v>
      </x:c>
    </x:row>
    <x:row r="545" spans="1:37" x14ac:dyDescent="0.25">
      <x:c r="A545" s="0">
        <x:f>ROW(A545)-1</x:f>
      </x:c>
      <x:c r="D545" s="0" t="s">
        <x:v>841</x:v>
      </x:c>
      <x:c r="E545" s="0" t="s">
        <x:v>842</x:v>
      </x:c>
      <x:c r="F545" s="0" t="s">
        <x:v>1365</x:v>
      </x:c>
      <x:c r="G545" s="0" t="s">
        <x:v>1320</x:v>
      </x:c>
      <x:c r="M545" s="0">
        <x:v>0</x:v>
      </x:c>
      <x:c r="N545" s="0">
        <x:v>2023</x:v>
      </x:c>
      <x:c r="O545" s="0" t="s">
        <x:v>1482</x:v>
      </x:c>
      <x:c r="S545" s="0">
        <x:v>0</x:v>
      </x:c>
      <x:c r="T545" s="0">
        <x:v>0</x:v>
      </x:c>
      <x:c r="V545" s="0">
        <x:v>0</x:v>
      </x:c>
      <x:c r="W545" s="21">
        <x:v>0</x:v>
      </x:c>
      <x:c r="X545" s="0">
        <x:v>0</x:v>
      </x:c>
      <x:c r="Y545" s="21">
        <x:v>0</x:v>
      </x:c>
    </x:row>
    <x:row r="546" spans="1:37" x14ac:dyDescent="0.25">
      <x:c r="A546" s="0">
        <x:f>ROW(A546)-1</x:f>
      </x:c>
      <x:c r="C546" s="0">
        <x:v>828</x:v>
      </x:c>
      <x:c r="D546" s="0" t="s">
        <x:v>844</x:v>
      </x:c>
      <x:c r="E546" s="0" t="s">
        <x:v>845</x:v>
      </x:c>
      <x:c r="F546" s="0" t="s">
        <x:v>1365</x:v>
      </x:c>
      <x:c r="G546" s="0" t="s">
        <x:v>1320</x:v>
      </x:c>
      <x:c r="M546" s="0">
        <x:v>0</x:v>
      </x:c>
      <x:c r="N546" s="0">
        <x:v>2023</x:v>
      </x:c>
      <x:c r="O546" s="0" t="s">
        <x:v>1482</x:v>
      </x:c>
      <x:c r="S546" s="0">
        <x:v>0</x:v>
      </x:c>
      <x:c r="T546" s="0">
        <x:v>0</x:v>
      </x:c>
      <x:c r="V546" s="0">
        <x:v>0</x:v>
      </x:c>
      <x:c r="W546" s="21">
        <x:v>0</x:v>
      </x:c>
      <x:c r="X546" s="0">
        <x:v>0</x:v>
      </x:c>
      <x:c r="Y546" s="21">
        <x:v>0</x:v>
      </x:c>
    </x:row>
    <x:row r="547" spans="1:37" x14ac:dyDescent="0.25">
      <x:c r="A547" s="0">
        <x:f>ROW(A547)-1</x:f>
      </x:c>
      <x:c r="C547" s="0">
        <x:v>827</x:v>
      </x:c>
      <x:c r="E547" s="0" t="s">
        <x:v>1795</x:v>
      </x:c>
      <x:c r="G547" s="0" t="s">
        <x:v>1320</x:v>
      </x:c>
      <x:c r="M547" s="0">
        <x:v>0</x:v>
      </x:c>
      <x:c r="N547" s="0">
        <x:v>2021</x:v>
      </x:c>
      <x:c r="S547" s="0">
        <x:v>0</x:v>
      </x:c>
      <x:c r="T547" s="0">
        <x:v>0</x:v>
      </x:c>
      <x:c r="V547" s="0">
        <x:v>0</x:v>
      </x:c>
      <x:c r="W547" s="21">
        <x:v>0</x:v>
      </x:c>
      <x:c r="X547" s="0">
        <x:v>0</x:v>
      </x:c>
      <x:c r="Y547" s="21">
        <x:v>0</x:v>
      </x:c>
    </x:row>
    <x:row r="548" spans="1:37" x14ac:dyDescent="0.25">
      <x:c r="A548" s="0">
        <x:f>ROW(A548)-1</x:f>
      </x:c>
      <x:c r="C548" s="0">
        <x:v>826</x:v>
      </x:c>
      <x:c r="D548" s="0" t="s">
        <x:v>1217</x:v>
      </x:c>
      <x:c r="G548" s="0" t="s">
        <x:v>1320</x:v>
      </x:c>
      <x:c r="M548" s="0">
        <x:v>0</x:v>
      </x:c>
      <x:c r="N548" s="0">
        <x:v>0</x:v>
      </x:c>
      <x:c r="S548" s="0">
        <x:v>0</x:v>
      </x:c>
      <x:c r="T548" s="0">
        <x:v>0</x:v>
      </x:c>
      <x:c r="V548" s="0">
        <x:v>0</x:v>
      </x:c>
      <x:c r="W548" s="21">
        <x:v>0</x:v>
      </x:c>
      <x:c r="X548" s="0">
        <x:v>0</x:v>
      </x:c>
      <x:c r="Y548" s="21">
        <x:v>0</x:v>
      </x:c>
    </x:row>
    <x:row r="549" spans="1:37" x14ac:dyDescent="0.25">
      <x:c r="A549" s="0">
        <x:f>ROW(A549)-1</x:f>
      </x:c>
      <x:c r="C549" s="0">
        <x:v>825</x:v>
      </x:c>
      <x:c r="E549" s="0" t="s">
        <x:v>1796</x:v>
      </x:c>
      <x:c r="G549" s="0" t="s">
        <x:v>1320</x:v>
      </x:c>
      <x:c r="M549" s="0">
        <x:v>0</x:v>
      </x:c>
      <x:c r="N549" s="0">
        <x:v>2021</x:v>
      </x:c>
      <x:c r="S549" s="0">
        <x:v>0</x:v>
      </x:c>
      <x:c r="T549" s="0">
        <x:v>0</x:v>
      </x:c>
      <x:c r="V549" s="0">
        <x:v>0</x:v>
      </x:c>
      <x:c r="W549" s="21">
        <x:v>0</x:v>
      </x:c>
      <x:c r="X549" s="0">
        <x:v>0</x:v>
      </x:c>
      <x:c r="Y549" s="21">
        <x:v>0</x:v>
      </x:c>
    </x:row>
    <x:row r="550" spans="1:37" x14ac:dyDescent="0.25">
      <x:c r="A550" s="0">
        <x:f>ROW(A550)-1</x:f>
      </x:c>
      <x:c r="C550" s="0">
        <x:v>819</x:v>
      </x:c>
      <x:c r="E550" s="0" t="s">
        <x:v>848</x:v>
      </x:c>
      <x:c r="G550" s="0" t="s">
        <x:v>1320</x:v>
      </x:c>
      <x:c r="M550" s="0">
        <x:v>0</x:v>
      </x:c>
      <x:c r="N550" s="0">
        <x:v>2021</x:v>
      </x:c>
      <x:c r="S550" s="0">
        <x:v>0</x:v>
      </x:c>
      <x:c r="T550" s="0">
        <x:v>0</x:v>
      </x:c>
      <x:c r="V550" s="0">
        <x:v>0</x:v>
      </x:c>
      <x:c r="W550" s="21">
        <x:v>0</x:v>
      </x:c>
      <x:c r="X550" s="0">
        <x:v>0</x:v>
      </x:c>
      <x:c r="Y550" s="21">
        <x:v>0</x:v>
      </x:c>
    </x:row>
    <x:row r="551" spans="1:37" x14ac:dyDescent="0.25">
      <x:c r="A551" s="0">
        <x:f>ROW(A551)-1</x:f>
      </x:c>
      <x:c r="C551" s="0">
        <x:v>813</x:v>
      </x:c>
      <x:c r="D551" s="0" t="s">
        <x:v>852</x:v>
      </x:c>
      <x:c r="G551" s="0" t="s">
        <x:v>1320</x:v>
      </x:c>
      <x:c r="M551" s="0">
        <x:v>0</x:v>
      </x:c>
      <x:c r="N551" s="0">
        <x:v>2021</x:v>
      </x:c>
      <x:c r="S551" s="0">
        <x:v>0</x:v>
      </x:c>
      <x:c r="T551" s="0">
        <x:v>0</x:v>
      </x:c>
      <x:c r="V551" s="0">
        <x:v>0</x:v>
      </x:c>
      <x:c r="W551" s="21">
        <x:v>0</x:v>
      </x:c>
      <x:c r="X551" s="0">
        <x:v>0</x:v>
      </x:c>
      <x:c r="Y551" s="21">
        <x:v>0</x:v>
      </x:c>
    </x:row>
    <x:row r="552" spans="1:37" x14ac:dyDescent="0.25">
      <x:c r="A552" s="0">
        <x:f>ROW(A552)-1</x:f>
      </x:c>
      <x:c r="C552" s="0">
        <x:v>802</x:v>
      </x:c>
      <x:c r="D552" s="0" t="s">
        <x:v>855</x:v>
      </x:c>
      <x:c r="E552" s="0" t="s">
        <x:v>856</x:v>
      </x:c>
      <x:c r="G552" s="0" t="s">
        <x:v>1320</x:v>
      </x:c>
      <x:c r="M552" s="0">
        <x:v>0</x:v>
      </x:c>
      <x:c r="N552" s="0">
        <x:v>2019</x:v>
      </x:c>
      <x:c r="S552" s="0">
        <x:v>0</x:v>
      </x:c>
      <x:c r="T552" s="0">
        <x:v>0</x:v>
      </x:c>
      <x:c r="V552" s="0">
        <x:v>0</x:v>
      </x:c>
      <x:c r="W552" s="21">
        <x:v>0</x:v>
      </x:c>
      <x:c r="X552" s="0">
        <x:v>0</x:v>
      </x:c>
      <x:c r="Y552" s="21">
        <x:v>0</x:v>
      </x:c>
    </x:row>
    <x:row r="553" spans="1:37" x14ac:dyDescent="0.25">
      <x:c r="A553" s="0">
        <x:f>ROW(A553)-1</x:f>
      </x:c>
      <x:c r="C553" s="0">
        <x:v>801</x:v>
      </x:c>
      <x:c r="D553" s="0" t="s">
        <x:v>1220</x:v>
      </x:c>
      <x:c r="E553" s="0" t="s">
        <x:v>1797</x:v>
      </x:c>
      <x:c r="F553" s="0" t="s">
        <x:v>1798</x:v>
      </x:c>
      <x:c r="G553" s="0" t="s">
        <x:v>1320</x:v>
      </x:c>
      <x:c r="M553" s="0">
        <x:v>0</x:v>
      </x:c>
      <x:c r="N553" s="0">
        <x:v>2019</x:v>
      </x:c>
      <x:c r="O553" s="0" t="s">
        <x:v>1362</x:v>
      </x:c>
      <x:c r="S553" s="0">
        <x:v>0</x:v>
      </x:c>
      <x:c r="T553" s="0">
        <x:v>0</x:v>
      </x:c>
      <x:c r="V553" s="0">
        <x:v>0</x:v>
      </x:c>
      <x:c r="W553" s="21">
        <x:v>0</x:v>
      </x:c>
      <x:c r="X553" s="0">
        <x:v>0</x:v>
      </x:c>
      <x:c r="Y553" s="21">
        <x:v>0</x:v>
      </x:c>
    </x:row>
    <x:row r="554" spans="1:37" x14ac:dyDescent="0.25">
      <x:c r="A554" s="0">
        <x:f>ROW(A554)-1</x:f>
      </x:c>
      <x:c r="E554" s="0" t="s">
        <x:v>859</x:v>
      </x:c>
      <x:c r="G554" s="0" t="s">
        <x:v>1320</x:v>
      </x:c>
      <x:c r="M554" s="0">
        <x:v>0</x:v>
      </x:c>
      <x:c r="N554" s="0">
        <x:v>2019</x:v>
      </x:c>
      <x:c r="S554" s="0">
        <x:v>0</x:v>
      </x:c>
      <x:c r="T554" s="0">
        <x:v>0</x:v>
      </x:c>
      <x:c r="V554" s="0">
        <x:v>0</x:v>
      </x:c>
      <x:c r="W554" s="21">
        <x:v>0</x:v>
      </x:c>
      <x:c r="X554" s="0">
        <x:v>0</x:v>
      </x:c>
      <x:c r="Y554" s="21">
        <x:v>0</x:v>
      </x:c>
    </x:row>
    <x:row r="555" spans="1:37" x14ac:dyDescent="0.25">
      <x:c r="A555" s="0">
        <x:f>ROW(A555)-1</x:f>
      </x:c>
      <x:c r="C555" s="0">
        <x:v>798</x:v>
      </x:c>
      <x:c r="D555" s="0" t="s">
        <x:v>1222</x:v>
      </x:c>
      <x:c r="E555" s="0" t="s">
        <x:v>1799</x:v>
      </x:c>
      <x:c r="G555" s="0" t="s">
        <x:v>1320</x:v>
      </x:c>
      <x:c r="M555" s="0">
        <x:v>0</x:v>
      </x:c>
      <x:c r="N555" s="0">
        <x:v>2018</x:v>
      </x:c>
      <x:c r="S555" s="0">
        <x:v>0</x:v>
      </x:c>
      <x:c r="T555" s="0">
        <x:v>0</x:v>
      </x:c>
      <x:c r="V555" s="0">
        <x:v>0</x:v>
      </x:c>
      <x:c r="W555" s="21">
        <x:v>0</x:v>
      </x:c>
      <x:c r="X555" s="0">
        <x:v>0</x:v>
      </x:c>
      <x:c r="Y555" s="21">
        <x:v>200</x:v>
      </x:c>
    </x:row>
    <x:row r="556" spans="1:37" x14ac:dyDescent="0.25">
      <x:c r="A556" s="0">
        <x:f>ROW(A556)-1</x:f>
      </x:c>
      <x:c r="C556" s="0">
        <x:v>797</x:v>
      </x:c>
      <x:c r="D556" s="0" t="s">
        <x:v>1225</x:v>
      </x:c>
      <x:c r="E556" s="0" t="s">
        <x:v>1800</x:v>
      </x:c>
      <x:c r="F556" s="0" t="s">
        <x:v>1801</x:v>
      </x:c>
      <x:c r="G556" s="0" t="s">
        <x:v>1320</x:v>
      </x:c>
      <x:c r="M556" s="0">
        <x:v>0</x:v>
      </x:c>
      <x:c r="N556" s="0">
        <x:v>2019</x:v>
      </x:c>
      <x:c r="O556" s="0" t="s">
        <x:v>1482</x:v>
      </x:c>
      <x:c r="S556" s="0">
        <x:v>0</x:v>
      </x:c>
      <x:c r="T556" s="0">
        <x:v>0</x:v>
      </x:c>
      <x:c r="V556" s="0">
        <x:v>0</x:v>
      </x:c>
      <x:c r="W556" s="21">
        <x:v>0</x:v>
      </x:c>
      <x:c r="X556" s="0">
        <x:v>0</x:v>
      </x:c>
      <x:c r="Y556" s="21">
        <x:v>0</x:v>
      </x:c>
    </x:row>
    <x:row r="557" spans="1:37" x14ac:dyDescent="0.25">
      <x:c r="A557" s="0">
        <x:f>ROW(A557)-1</x:f>
      </x:c>
      <x:c r="C557" s="0">
        <x:v>796</x:v>
      </x:c>
      <x:c r="E557" s="0" t="s">
        <x:v>1802</x:v>
      </x:c>
      <x:c r="G557" s="0" t="s">
        <x:v>1320</x:v>
      </x:c>
      <x:c r="M557" s="0">
        <x:v>0</x:v>
      </x:c>
      <x:c r="N557" s="0">
        <x:v>2019</x:v>
      </x:c>
      <x:c r="S557" s="0">
        <x:v>0</x:v>
      </x:c>
      <x:c r="T557" s="0">
        <x:v>0</x:v>
      </x:c>
      <x:c r="V557" s="0">
        <x:v>0</x:v>
      </x:c>
      <x:c r="W557" s="21">
        <x:v>0</x:v>
      </x:c>
      <x:c r="X557" s="0">
        <x:v>0</x:v>
      </x:c>
      <x:c r="Y557" s="21"/>
    </x:row>
    <x:row r="558" spans="1:37" x14ac:dyDescent="0.25">
      <x:c r="A558" s="0">
        <x:f>ROW(A558)-1</x:f>
      </x:c>
      <x:c r="C558" s="0">
        <x:v>795</x:v>
      </x:c>
      <x:c r="D558" s="0" t="s">
        <x:v>1230</x:v>
      </x:c>
      <x:c r="E558" s="0" t="s">
        <x:v>1803</x:v>
      </x:c>
      <x:c r="F558" s="0" t="s">
        <x:v>1495</x:v>
      </x:c>
      <x:c r="G558" s="0" t="s">
        <x:v>1320</x:v>
      </x:c>
      <x:c r="M558" s="0">
        <x:v>0</x:v>
      </x:c>
      <x:c r="N558" s="0">
        <x:v>2018</x:v>
      </x:c>
      <x:c r="O558" s="0" t="s">
        <x:v>1482</x:v>
      </x:c>
      <x:c r="S558" s="0">
        <x:v>0</x:v>
      </x:c>
      <x:c r="T558" s="0">
        <x:v>0</x:v>
      </x:c>
      <x:c r="V558" s="0">
        <x:v>0</x:v>
      </x:c>
      <x:c r="W558" s="21">
        <x:v>0</x:v>
      </x:c>
      <x:c r="X558" s="0">
        <x:v>0</x:v>
      </x:c>
      <x:c r="Y558" s="21">
        <x:v>7000</x:v>
      </x:c>
    </x:row>
    <x:row r="559" spans="1:37" x14ac:dyDescent="0.25">
      <x:c r="A559" s="0">
        <x:f>ROW(A559)-1</x:f>
      </x:c>
      <x:c r="C559" s="0">
        <x:v>793</x:v>
      </x:c>
      <x:c r="D559" s="0" t="s">
        <x:v>1234</x:v>
      </x:c>
      <x:c r="E559" s="0" t="s">
        <x:v>1804</x:v>
      </x:c>
      <x:c r="F559" s="0" t="s">
        <x:v>1495</x:v>
      </x:c>
      <x:c r="G559" s="0" t="s">
        <x:v>1320</x:v>
      </x:c>
      <x:c r="M559" s="0">
        <x:v>0</x:v>
      </x:c>
      <x:c r="N559" s="0">
        <x:v>2017</x:v>
      </x:c>
      <x:c r="O559" s="0" t="s">
        <x:v>1482</x:v>
      </x:c>
      <x:c r="S559" s="0">
        <x:v>0</x:v>
      </x:c>
      <x:c r="T559" s="0">
        <x:v>0</x:v>
      </x:c>
      <x:c r="V559" s="0">
        <x:v>0</x:v>
      </x:c>
      <x:c r="W559" s="21">
        <x:v>0</x:v>
      </x:c>
      <x:c r="X559" s="0">
        <x:v>0</x:v>
      </x:c>
      <x:c r="Y559" s="21">
        <x:v>0</x:v>
      </x:c>
    </x:row>
    <x:row r="560" spans="1:37" x14ac:dyDescent="0.25">
      <x:c r="A560" s="0">
        <x:f>ROW(A560)-1</x:f>
      </x:c>
      <x:c r="C560" s="0">
        <x:v>792</x:v>
      </x:c>
      <x:c r="D560" s="0" t="s">
        <x:v>863</x:v>
      </x:c>
      <x:c r="E560" s="0" t="s">
        <x:v>864</x:v>
      </x:c>
      <x:c r="F560" s="0" t="s">
        <x:v>1495</x:v>
      </x:c>
      <x:c r="G560" s="0" t="s">
        <x:v>1320</x:v>
      </x:c>
      <x:c r="M560" s="0">
        <x:v>0</x:v>
      </x:c>
      <x:c r="N560" s="0">
        <x:v>2017</x:v>
      </x:c>
      <x:c r="O560" s="0" t="s">
        <x:v>1482</x:v>
      </x:c>
      <x:c r="S560" s="0">
        <x:v>0</x:v>
      </x:c>
      <x:c r="T560" s="0">
        <x:v>0</x:v>
      </x:c>
      <x:c r="V560" s="0">
        <x:v>0</x:v>
      </x:c>
      <x:c r="W560" s="21">
        <x:v>0</x:v>
      </x:c>
      <x:c r="X560" s="0">
        <x:v>17150</x:v>
      </x:c>
      <x:c r="Y560" s="21">
        <x:v>0</x:v>
      </x:c>
    </x:row>
    <x:row r="561" spans="1:37" x14ac:dyDescent="0.25">
      <x:c r="A561" s="0">
        <x:f>ROW(A561)-1</x:f>
      </x:c>
      <x:c r="C561" s="0">
        <x:v>791</x:v>
      </x:c>
      <x:c r="D561" s="0" t="s">
        <x:v>867</x:v>
      </x:c>
      <x:c r="E561" s="0" t="s">
        <x:v>868</x:v>
      </x:c>
      <x:c r="F561" s="0" t="s">
        <x:v>1365</x:v>
      </x:c>
      <x:c r="G561" s="0" t="s">
        <x:v>1320</x:v>
      </x:c>
      <x:c r="M561" s="0">
        <x:v>0</x:v>
      </x:c>
      <x:c r="N561" s="0">
        <x:v>2019</x:v>
      </x:c>
      <x:c r="O561" s="0" t="s">
        <x:v>1482</x:v>
      </x:c>
      <x:c r="S561" s="0">
        <x:v>0</x:v>
      </x:c>
      <x:c r="T561" s="0">
        <x:v>0</x:v>
      </x:c>
      <x:c r="V561" s="0">
        <x:v>0</x:v>
      </x:c>
      <x:c r="W561" s="21">
        <x:v>0</x:v>
      </x:c>
      <x:c r="X561" s="0">
        <x:v>0</x:v>
      </x:c>
      <x:c r="Y561" s="21">
        <x:v>0</x:v>
      </x:c>
    </x:row>
    <x:row r="562" spans="1:37" x14ac:dyDescent="0.25">
      <x:c r="A562" s="0">
        <x:f>ROW(A562)-1</x:f>
      </x:c>
      <x:c r="C562" s="0">
        <x:v>790</x:v>
      </x:c>
      <x:c r="D562" s="0" t="s">
        <x:v>1237</x:v>
      </x:c>
      <x:c r="E562" s="0" t="s">
        <x:v>1805</x:v>
      </x:c>
      <x:c r="F562" s="0" t="s">
        <x:v>1495</x:v>
      </x:c>
      <x:c r="G562" s="0" t="s">
        <x:v>1320</x:v>
      </x:c>
      <x:c r="M562" s="0">
        <x:v>0</x:v>
      </x:c>
      <x:c r="N562" s="0">
        <x:v>2017</x:v>
      </x:c>
      <x:c r="O562" s="0" t="s">
        <x:v>1482</x:v>
      </x:c>
      <x:c r="S562" s="0">
        <x:v>0</x:v>
      </x:c>
      <x:c r="T562" s="0">
        <x:v>0</x:v>
      </x:c>
      <x:c r="V562" s="0">
        <x:v>0</x:v>
      </x:c>
      <x:c r="W562" s="21">
        <x:v>0</x:v>
      </x:c>
      <x:c r="X562" s="0">
        <x:v>0</x:v>
      </x:c>
      <x:c r="Y562" s="21">
        <x:v>0</x:v>
      </x:c>
    </x:row>
    <x:row r="563" spans="1:37" x14ac:dyDescent="0.25">
      <x:c r="A563" s="0">
        <x:f>ROW(A563)-1</x:f>
      </x:c>
      <x:c r="C563" s="0">
        <x:v>789</x:v>
      </x:c>
      <x:c r="D563" s="0" t="s">
        <x:v>872</x:v>
      </x:c>
      <x:c r="E563" s="0" t="s">
        <x:v>331</x:v>
      </x:c>
      <x:c r="G563" s="0" t="s">
        <x:v>1320</x:v>
      </x:c>
      <x:c r="M563" s="0">
        <x:v>0</x:v>
      </x:c>
      <x:c r="N563" s="0">
        <x:v>2018</x:v>
      </x:c>
      <x:c r="S563" s="0">
        <x:v>0</x:v>
      </x:c>
      <x:c r="T563" s="0">
        <x:v>0</x:v>
      </x:c>
      <x:c r="V563" s="0">
        <x:v>0</x:v>
      </x:c>
      <x:c r="W563" s="21">
        <x:v>0</x:v>
      </x:c>
      <x:c r="X563" s="0">
        <x:v>0</x:v>
      </x:c>
      <x:c r="Y563" s="21">
        <x:v>0</x:v>
      </x:c>
    </x:row>
    <x:row r="564" spans="1:37" x14ac:dyDescent="0.25">
      <x:c r="A564" s="0">
        <x:f>ROW(A564)-1</x:f>
      </x:c>
      <x:c r="C564" s="0">
        <x:v>788</x:v>
      </x:c>
      <x:c r="E564" s="0" t="s">
        <x:v>1806</x:v>
      </x:c>
      <x:c r="G564" s="0" t="s">
        <x:v>1320</x:v>
      </x:c>
      <x:c r="M564" s="0">
        <x:v>0</x:v>
      </x:c>
      <x:c r="N564" s="0">
        <x:v>2018</x:v>
      </x:c>
      <x:c r="S564" s="0">
        <x:v>0</x:v>
      </x:c>
      <x:c r="T564" s="0">
        <x:v>0</x:v>
      </x:c>
      <x:c r="V564" s="0">
        <x:v>0</x:v>
      </x:c>
      <x:c r="W564" s="21">
        <x:v>0</x:v>
      </x:c>
      <x:c r="X564" s="0">
        <x:v>0</x:v>
      </x:c>
      <x:c r="Y564" s="21">
        <x:v>0</x:v>
      </x:c>
    </x:row>
    <x:row r="565" spans="1:37" x14ac:dyDescent="0.25">
      <x:c r="A565" s="0">
        <x:f>ROW(A565)-1</x:f>
      </x:c>
      <x:c r="C565" s="0">
        <x:v>787</x:v>
      </x:c>
      <x:c r="D565" s="0" t="s">
        <x:v>1241</x:v>
      </x:c>
      <x:c r="E565" s="0" t="s">
        <x:v>1807</x:v>
      </x:c>
      <x:c r="F565" s="0" t="s">
        <x:v>1495</x:v>
      </x:c>
      <x:c r="G565" s="0" t="s">
        <x:v>1320</x:v>
      </x:c>
      <x:c r="M565" s="0">
        <x:v>0</x:v>
      </x:c>
      <x:c r="N565" s="0">
        <x:v>2017</x:v>
      </x:c>
      <x:c r="O565" s="0" t="s">
        <x:v>1482</x:v>
      </x:c>
      <x:c r="S565" s="0">
        <x:v>0</x:v>
      </x:c>
      <x:c r="T565" s="0">
        <x:v>0</x:v>
      </x:c>
      <x:c r="V565" s="0">
        <x:v>0</x:v>
      </x:c>
      <x:c r="W565" s="21">
        <x:v>0</x:v>
      </x:c>
      <x:c r="X565" s="0">
        <x:v>0</x:v>
      </x:c>
      <x:c r="Y565" s="21">
        <x:v>0</x:v>
      </x:c>
    </x:row>
    <x:row r="566" spans="1:37" x14ac:dyDescent="0.25">
      <x:c r="A566" s="0">
        <x:f>ROW(A566)-1</x:f>
      </x:c>
      <x:c r="C566" s="0">
        <x:v>786</x:v>
      </x:c>
      <x:c r="D566" s="0" t="s">
        <x:v>1244</x:v>
      </x:c>
      <x:c r="E566" s="0" t="s">
        <x:v>1808</x:v>
      </x:c>
      <x:c r="F566" s="0" t="s">
        <x:v>1809</x:v>
      </x:c>
      <x:c r="G566" s="0" t="s">
        <x:v>1320</x:v>
      </x:c>
      <x:c r="M566" s="0">
        <x:v>0</x:v>
      </x:c>
      <x:c r="N566" s="0">
        <x:v>2017</x:v>
      </x:c>
      <x:c r="O566" s="0" t="s">
        <x:v>1362</x:v>
      </x:c>
      <x:c r="S566" s="0">
        <x:v>0</x:v>
      </x:c>
      <x:c r="T566" s="0">
        <x:v>0</x:v>
      </x:c>
      <x:c r="V566" s="0">
        <x:v>0</x:v>
      </x:c>
      <x:c r="W566" s="21">
        <x:v>0</x:v>
      </x:c>
      <x:c r="X566" s="0">
        <x:v>0</x:v>
      </x:c>
      <x:c r="Y566" s="21">
        <x:v>0</x:v>
      </x:c>
    </x:row>
    <x:row r="567" spans="1:37" x14ac:dyDescent="0.25">
      <x:c r="A567" s="0">
        <x:f>ROW(A567)-1</x:f>
      </x:c>
      <x:c r="C567" s="0">
        <x:v>785</x:v>
      </x:c>
      <x:c r="D567" s="0" t="s">
        <x:v>1246</x:v>
      </x:c>
      <x:c r="E567" s="0" t="s">
        <x:v>1810</x:v>
      </x:c>
      <x:c r="F567" s="0" t="s">
        <x:v>1495</x:v>
      </x:c>
      <x:c r="G567" s="0" t="s">
        <x:v>1320</x:v>
      </x:c>
      <x:c r="M567" s="0">
        <x:v>0</x:v>
      </x:c>
      <x:c r="N567" s="0">
        <x:v>2017</x:v>
      </x:c>
      <x:c r="O567" s="0" t="s">
        <x:v>1482</x:v>
      </x:c>
      <x:c r="S567" s="0">
        <x:v>0</x:v>
      </x:c>
      <x:c r="T567" s="0">
        <x:v>0</x:v>
      </x:c>
      <x:c r="V567" s="0">
        <x:v>0</x:v>
      </x:c>
      <x:c r="W567" s="21">
        <x:v>0</x:v>
      </x:c>
      <x:c r="X567" s="0">
        <x:v>0</x:v>
      </x:c>
      <x:c r="Y567" s="21">
        <x:v>0</x:v>
      </x:c>
    </x:row>
    <x:row r="568" spans="1:37" x14ac:dyDescent="0.25">
      <x:c r="A568" s="0">
        <x:f>ROW(A568)-1</x:f>
      </x:c>
      <x:c r="C568" s="0">
        <x:v>784</x:v>
      </x:c>
      <x:c r="D568" s="0" t="s">
        <x:v>863</x:v>
      </x:c>
      <x:c r="E568" s="0" t="s">
        <x:v>1811</x:v>
      </x:c>
      <x:c r="G568" s="0" t="s">
        <x:v>1320</x:v>
      </x:c>
      <x:c r="M568" s="0">
        <x:v>0</x:v>
      </x:c>
      <x:c r="N568" s="0">
        <x:v>2018</x:v>
      </x:c>
      <x:c r="S568" s="0">
        <x:v>0</x:v>
      </x:c>
      <x:c r="T568" s="0">
        <x:v>0</x:v>
      </x:c>
      <x:c r="V568" s="0">
        <x:v>0</x:v>
      </x:c>
      <x:c r="W568" s="21">
        <x:v>0</x:v>
      </x:c>
      <x:c r="X568" s="0">
        <x:v>0</x:v>
      </x:c>
      <x:c r="Y568" s="21">
        <x:v>0</x:v>
      </x:c>
    </x:row>
    <x:row r="569" spans="1:37" x14ac:dyDescent="0.25">
      <x:c r="A569" s="0">
        <x:f>ROW(A569)-1</x:f>
      </x:c>
      <x:c r="C569" s="0">
        <x:v>783</x:v>
      </x:c>
      <x:c r="D569" s="0" t="s">
        <x:v>863</x:v>
      </x:c>
      <x:c r="E569" s="0" t="s">
        <x:v>1812</x:v>
      </x:c>
      <x:c r="G569" s="0" t="s">
        <x:v>1320</x:v>
      </x:c>
      <x:c r="M569" s="0">
        <x:v>0</x:v>
      </x:c>
      <x:c r="N569" s="0">
        <x:v>2018</x:v>
      </x:c>
      <x:c r="S569" s="0">
        <x:v>0</x:v>
      </x:c>
      <x:c r="T569" s="0">
        <x:v>0</x:v>
      </x:c>
      <x:c r="V569" s="0">
        <x:v>0</x:v>
      </x:c>
      <x:c r="W569" s="21">
        <x:v>0</x:v>
      </x:c>
      <x:c r="X569" s="0">
        <x:v>0</x:v>
      </x:c>
      <x:c r="Y569" s="21">
        <x:v>0</x:v>
      </x:c>
    </x:row>
    <x:row r="570" spans="1:37" x14ac:dyDescent="0.25">
      <x:c r="A570" s="0">
        <x:f>ROW(A570)-1</x:f>
      </x:c>
      <x:c r="C570" s="0">
        <x:v>782</x:v>
      </x:c>
      <x:c r="D570" s="0" t="s">
        <x:v>874</x:v>
      </x:c>
      <x:c r="E570" s="0" t="s">
        <x:v>875</x:v>
      </x:c>
      <x:c r="F570" s="0" t="s">
        <x:v>1496</x:v>
      </x:c>
      <x:c r="G570" s="0" t="s">
        <x:v>1320</x:v>
      </x:c>
      <x:c r="M570" s="0">
        <x:v>0</x:v>
      </x:c>
      <x:c r="N570" s="0">
        <x:v>2018</x:v>
      </x:c>
      <x:c r="O570" s="0" t="s">
        <x:v>1482</x:v>
      </x:c>
      <x:c r="S570" s="0">
        <x:v>0</x:v>
      </x:c>
      <x:c r="T570" s="0">
        <x:v>0</x:v>
      </x:c>
      <x:c r="V570" s="0">
        <x:v>0</x:v>
      </x:c>
      <x:c r="W570" s="21">
        <x:v>0</x:v>
      </x:c>
      <x:c r="X570" s="0">
        <x:v>0</x:v>
      </x:c>
      <x:c r="Y570" s="21">
        <x:v>0</x:v>
      </x:c>
    </x:row>
    <x:row r="571" spans="1:37" x14ac:dyDescent="0.25">
      <x:c r="A571" s="0">
        <x:f>ROW(A571)-1</x:f>
      </x:c>
      <x:c r="C571" s="0">
        <x:v>781</x:v>
      </x:c>
      <x:c r="D571" s="0" t="s">
        <x:v>1252</x:v>
      </x:c>
      <x:c r="E571" s="0" t="s">
        <x:v>1813</x:v>
      </x:c>
      <x:c r="F571" s="0" t="s">
        <x:v>1496</x:v>
      </x:c>
      <x:c r="G571" s="0" t="s">
        <x:v>1320</x:v>
      </x:c>
      <x:c r="M571" s="0">
        <x:v>0</x:v>
      </x:c>
      <x:c r="N571" s="0">
        <x:v>2018</x:v>
      </x:c>
      <x:c r="O571" s="0" t="s">
        <x:v>1482</x:v>
      </x:c>
      <x:c r="S571" s="0">
        <x:v>0</x:v>
      </x:c>
      <x:c r="T571" s="0">
        <x:v>0</x:v>
      </x:c>
      <x:c r="V571" s="0">
        <x:v>0</x:v>
      </x:c>
      <x:c r="W571" s="21">
        <x:v>0</x:v>
      </x:c>
      <x:c r="X571" s="0">
        <x:v>0</x:v>
      </x:c>
      <x:c r="Y571" s="21">
        <x:v>0</x:v>
      </x:c>
    </x:row>
    <x:row r="572" spans="1:37" x14ac:dyDescent="0.25">
      <x:c r="A572" s="0">
        <x:f>ROW(A572)-1</x:f>
      </x:c>
      <x:c r="C572" s="0">
        <x:v>780</x:v>
      </x:c>
      <x:c r="D572" s="0" t="s">
        <x:v>1254</x:v>
      </x:c>
      <x:c r="E572" s="0" t="s">
        <x:v>1814</x:v>
      </x:c>
      <x:c r="F572" s="0" t="s">
        <x:v>1365</x:v>
      </x:c>
      <x:c r="G572" s="0" t="s">
        <x:v>1320</x:v>
      </x:c>
      <x:c r="M572" s="0">
        <x:v>0</x:v>
      </x:c>
      <x:c r="N572" s="0">
        <x:v>2018</x:v>
      </x:c>
      <x:c r="O572" s="0" t="s">
        <x:v>1362</x:v>
      </x:c>
      <x:c r="S572" s="0">
        <x:v>0</x:v>
      </x:c>
      <x:c r="T572" s="0">
        <x:v>0</x:v>
      </x:c>
      <x:c r="V572" s="0">
        <x:v>0</x:v>
      </x:c>
      <x:c r="W572" s="21">
        <x:v>0</x:v>
      </x:c>
      <x:c r="X572" s="0">
        <x:v>0</x:v>
      </x:c>
      <x:c r="Y572" s="21">
        <x:v>0</x:v>
      </x:c>
    </x:row>
    <x:row r="573" spans="1:37" x14ac:dyDescent="0.25">
      <x:c r="A573" s="0">
        <x:f>ROW(A573)-1</x:f>
      </x:c>
      <x:c r="C573" s="0">
        <x:v>779</x:v>
      </x:c>
      <x:c r="D573" s="0" t="s">
        <x:v>878</x:v>
      </x:c>
      <x:c r="E573" s="0" t="s">
        <x:v>879</x:v>
      </x:c>
      <x:c r="F573" s="0" t="s">
        <x:v>1497</x:v>
      </x:c>
      <x:c r="G573" s="0" t="s">
        <x:v>1320</x:v>
      </x:c>
      <x:c r="M573" s="0">
        <x:v>0</x:v>
      </x:c>
      <x:c r="N573" s="0">
        <x:v>2018</x:v>
      </x:c>
      <x:c r="O573" s="0" t="s">
        <x:v>1362</x:v>
      </x:c>
      <x:c r="S573" s="0">
        <x:v>0</x:v>
      </x:c>
      <x:c r="T573" s="0">
        <x:v>0</x:v>
      </x:c>
      <x:c r="V573" s="0">
        <x:v>0</x:v>
      </x:c>
      <x:c r="W573" s="21">
        <x:v>0</x:v>
      </x:c>
      <x:c r="X573" s="0">
        <x:v>0</x:v>
      </x:c>
      <x:c r="Y573" s="21">
        <x:v>0</x:v>
      </x:c>
    </x:row>
    <x:row r="574" spans="1:37" x14ac:dyDescent="0.25">
      <x:c r="A574" s="0">
        <x:f>ROW(A574)-1</x:f>
      </x:c>
      <x:c r="C574" s="0">
        <x:v>778</x:v>
      </x:c>
      <x:c r="D574" s="0" t="s">
        <x:v>1257</x:v>
      </x:c>
      <x:c r="E574" s="0" t="s">
        <x:v>1815</x:v>
      </x:c>
      <x:c r="G574" s="0" t="s">
        <x:v>1320</x:v>
      </x:c>
      <x:c r="M574" s="0">
        <x:v>0</x:v>
      </x:c>
      <x:c r="N574" s="0">
        <x:v>2017</x:v>
      </x:c>
      <x:c r="S574" s="0">
        <x:v>0</x:v>
      </x:c>
      <x:c r="T574" s="0">
        <x:v>0</x:v>
      </x:c>
      <x:c r="V574" s="0">
        <x:v>0</x:v>
      </x:c>
      <x:c r="W574" s="21">
        <x:v>0</x:v>
      </x:c>
      <x:c r="X574" s="0">
        <x:v>0</x:v>
      </x:c>
      <x:c r="Y574" s="21">
        <x:v>0</x:v>
      </x:c>
    </x:row>
    <x:row r="575" spans="1:37" x14ac:dyDescent="0.25">
      <x:c r="A575" s="0">
        <x:f>ROW(A575)-1</x:f>
      </x:c>
      <x:c r="C575" s="0">
        <x:v>777</x:v>
      </x:c>
      <x:c r="D575" s="0" t="s">
        <x:v>881</x:v>
      </x:c>
      <x:c r="E575" s="0" t="s">
        <x:v>882</x:v>
      </x:c>
      <x:c r="F575" s="0" t="s">
        <x:v>1498</x:v>
      </x:c>
      <x:c r="G575" s="0" t="s">
        <x:v>1320</x:v>
      </x:c>
      <x:c r="M575" s="0">
        <x:v>0</x:v>
      </x:c>
      <x:c r="N575" s="0">
        <x:v>2019</x:v>
      </x:c>
      <x:c r="O575" s="0" t="s">
        <x:v>1482</x:v>
      </x:c>
      <x:c r="S575" s="0">
        <x:v>0</x:v>
      </x:c>
      <x:c r="T575" s="0">
        <x:v>0</x:v>
      </x:c>
      <x:c r="V575" s="0">
        <x:v>0</x:v>
      </x:c>
      <x:c r="W575" s="21">
        <x:v>0</x:v>
      </x:c>
      <x:c r="X575" s="0">
        <x:v>0</x:v>
      </x:c>
      <x:c r="Y575" s="21">
        <x:v>0</x:v>
      </x:c>
    </x:row>
    <x:row r="576" spans="1:37" x14ac:dyDescent="0.25">
      <x:c r="A576" s="0">
        <x:f>ROW(A576)-1</x:f>
      </x:c>
      <x:c r="C576" s="0">
        <x:v>776</x:v>
      </x:c>
      <x:c r="D576" s="0" t="s">
        <x:v>885</x:v>
      </x:c>
      <x:c r="E576" s="0" t="s">
        <x:v>886</x:v>
      </x:c>
      <x:c r="F576" s="0" t="s">
        <x:v>1499</x:v>
      </x:c>
      <x:c r="G576" s="0" t="s">
        <x:v>1320</x:v>
      </x:c>
      <x:c r="M576" s="0">
        <x:v>0</x:v>
      </x:c>
      <x:c r="N576" s="0">
        <x:v>2020</x:v>
      </x:c>
      <x:c r="O576" s="0" t="s">
        <x:v>1482</x:v>
      </x:c>
      <x:c r="S576" s="0">
        <x:v>0</x:v>
      </x:c>
      <x:c r="T576" s="0">
        <x:v>0</x:v>
      </x:c>
      <x:c r="V576" s="0">
        <x:v>0</x:v>
      </x:c>
      <x:c r="W576" s="21">
        <x:v>0</x:v>
      </x:c>
      <x:c r="X576" s="0">
        <x:v>0</x:v>
      </x:c>
      <x:c r="Y576" s="21">
        <x:v>0</x:v>
      </x:c>
    </x:row>
    <x:row r="577" spans="1:37" x14ac:dyDescent="0.25">
      <x:c r="A577" s="0">
        <x:f>ROW(A577)-1</x:f>
      </x:c>
      <x:c r="C577" s="0">
        <x:v>775</x:v>
      </x:c>
      <x:c r="E577" s="0" t="s">
        <x:v>1816</x:v>
      </x:c>
      <x:c r="G577" s="0" t="s">
        <x:v>1320</x:v>
      </x:c>
      <x:c r="M577" s="0">
        <x:v>0</x:v>
      </x:c>
      <x:c r="N577" s="0">
        <x:v>2016</x:v>
      </x:c>
      <x:c r="S577" s="0">
        <x:v>0</x:v>
      </x:c>
      <x:c r="T577" s="0">
        <x:v>0</x:v>
      </x:c>
      <x:c r="V577" s="0">
        <x:v>0</x:v>
      </x:c>
      <x:c r="W577" s="21">
        <x:v>0</x:v>
      </x:c>
      <x:c r="X577" s="0">
        <x:v>0</x:v>
      </x:c>
      <x:c r="Y577" s="21">
        <x:v>0</x:v>
      </x:c>
    </x:row>
    <x:row r="578" spans="1:37" x14ac:dyDescent="0.25">
      <x:c r="A578" s="0">
        <x:f>ROW(A578)-1</x:f>
      </x:c>
      <x:c r="C578" s="0">
        <x:v>774</x:v>
      </x:c>
      <x:c r="D578" s="0" t="s">
        <x:v>889</x:v>
      </x:c>
      <x:c r="E578" s="0" t="s">
        <x:v>890</x:v>
      </x:c>
      <x:c r="G578" s="0" t="s">
        <x:v>1320</x:v>
      </x:c>
      <x:c r="M578" s="0">
        <x:v>0</x:v>
      </x:c>
      <x:c r="N578" s="0">
        <x:v>2018</x:v>
      </x:c>
      <x:c r="S578" s="0">
        <x:v>0</x:v>
      </x:c>
      <x:c r="T578" s="0">
        <x:v>0</x:v>
      </x:c>
      <x:c r="V578" s="0">
        <x:v>0</x:v>
      </x:c>
      <x:c r="W578" s="21">
        <x:v>0</x:v>
      </x:c>
      <x:c r="X578" s="0">
        <x:v>0</x:v>
      </x:c>
      <x:c r="Y578" s="21">
        <x:v>0</x:v>
      </x:c>
    </x:row>
    <x:row r="579" spans="1:37" x14ac:dyDescent="0.25">
      <x:c r="A579" s="0">
        <x:f>ROW(A579)-1</x:f>
      </x:c>
      <x:c r="C579" s="0">
        <x:v>773</x:v>
      </x:c>
      <x:c r="D579" s="0" t="s">
        <x:v>1261</x:v>
      </x:c>
      <x:c r="E579" s="0" t="s">
        <x:v>1817</x:v>
      </x:c>
      <x:c r="G579" s="0" t="s">
        <x:v>1320</x:v>
      </x:c>
      <x:c r="M579" s="0">
        <x:v>0</x:v>
      </x:c>
      <x:c r="N579" s="0">
        <x:v>2017</x:v>
      </x:c>
      <x:c r="S579" s="0">
        <x:v>0</x:v>
      </x:c>
      <x:c r="T579" s="0">
        <x:v>0</x:v>
      </x:c>
      <x:c r="V579" s="0">
        <x:v>0</x:v>
      </x:c>
      <x:c r="W579" s="21">
        <x:v>0</x:v>
      </x:c>
      <x:c r="X579" s="0">
        <x:v>0</x:v>
      </x:c>
      <x:c r="Y579" s="21">
        <x:v>0</x:v>
      </x:c>
    </x:row>
    <x:row r="580" spans="1:37" x14ac:dyDescent="0.25">
      <x:c r="A580" s="0">
        <x:f>ROW(A580)-1</x:f>
      </x:c>
      <x:c r="C580" s="0">
        <x:v>772</x:v>
      </x:c>
      <x:c r="D580" s="0" t="s">
        <x:v>1267</x:v>
      </x:c>
      <x:c r="E580" s="0" t="s">
        <x:v>1818</x:v>
      </x:c>
      <x:c r="F580" s="0" t="s">
        <x:v>1819</x:v>
      </x:c>
      <x:c r="G580" s="0" t="s">
        <x:v>1320</x:v>
      </x:c>
      <x:c r="M580" s="0">
        <x:v>0</x:v>
      </x:c>
      <x:c r="N580" s="0">
        <x:v>2016</x:v>
      </x:c>
      <x:c r="O580" s="0" t="s">
        <x:v>1482</x:v>
      </x:c>
      <x:c r="S580" s="0">
        <x:v>0</x:v>
      </x:c>
      <x:c r="T580" s="0">
        <x:v>0</x:v>
      </x:c>
      <x:c r="V580" s="0">
        <x:v>0</x:v>
      </x:c>
      <x:c r="W580" s="21">
        <x:v>0</x:v>
      </x:c>
      <x:c r="X580" s="0">
        <x:v>0</x:v>
      </x:c>
      <x:c r="Y580" s="21">
        <x:v>0</x:v>
      </x:c>
    </x:row>
    <x:row r="581" spans="1:37" x14ac:dyDescent="0.25">
      <x:c r="A581" s="0">
        <x:f>ROW(A581)-1</x:f>
      </x:c>
      <x:c r="C581" s="0">
        <x:v>771</x:v>
      </x:c>
      <x:c r="D581" s="0" t="s">
        <x:v>892</x:v>
      </x:c>
      <x:c r="E581" s="0" t="s">
        <x:v>893</x:v>
      </x:c>
      <x:c r="F581" s="0" t="s">
        <x:v>1500</x:v>
      </x:c>
      <x:c r="G581" s="0" t="s">
        <x:v>1320</x:v>
      </x:c>
      <x:c r="M581" s="0">
        <x:v>0</x:v>
      </x:c>
      <x:c r="N581" s="0">
        <x:v>2021</x:v>
      </x:c>
      <x:c r="O581" s="0" t="s">
        <x:v>1482</x:v>
      </x:c>
      <x:c r="S581" s="0">
        <x:v>0</x:v>
      </x:c>
      <x:c r="T581" s="0">
        <x:v>0</x:v>
      </x:c>
      <x:c r="V581" s="0">
        <x:v>0</x:v>
      </x:c>
      <x:c r="W581" s="21">
        <x:v>0</x:v>
      </x:c>
      <x:c r="X581" s="0">
        <x:v>0</x:v>
      </x:c>
      <x:c r="Y581" s="21">
        <x:v>0</x:v>
      </x:c>
    </x:row>
    <x:row r="582" spans="1:37" x14ac:dyDescent="0.25">
      <x:c r="A582" s="0">
        <x:f>ROW(A582)-1</x:f>
      </x:c>
      <x:c r="C582" s="0">
        <x:v>770</x:v>
      </x:c>
      <x:c r="E582" s="0" t="s">
        <x:v>896</x:v>
      </x:c>
      <x:c r="F582" s="0" t="s">
        <x:v>1500</x:v>
      </x:c>
      <x:c r="G582" s="0" t="s">
        <x:v>1320</x:v>
      </x:c>
      <x:c r="M582" s="0">
        <x:v>0</x:v>
      </x:c>
      <x:c r="N582" s="0">
        <x:v>2015</x:v>
      </x:c>
      <x:c r="O582" s="0" t="s">
        <x:v>1482</x:v>
      </x:c>
      <x:c r="S582" s="0">
        <x:v>0</x:v>
      </x:c>
      <x:c r="T582" s="0">
        <x:v>0</x:v>
      </x:c>
      <x:c r="V582" s="0">
        <x:v>0</x:v>
      </x:c>
      <x:c r="W582" s="21">
        <x:v>0</x:v>
      </x:c>
      <x:c r="X582" s="0">
        <x:v>0</x:v>
      </x:c>
      <x:c r="Y582" s="21">
        <x:v>0</x:v>
      </x:c>
    </x:row>
    <x:row r="583" spans="1:37" x14ac:dyDescent="0.25">
      <x:c r="A583" s="0">
        <x:f>ROW(A583)-1</x:f>
      </x:c>
      <x:c r="C583" s="0">
        <x:v>769</x:v>
      </x:c>
      <x:c r="D583" s="0" t="s">
        <x:v>1269</x:v>
      </x:c>
      <x:c r="E583" s="0" t="s">
        <x:v>1820</x:v>
      </x:c>
      <x:c r="F583" s="0" t="s">
        <x:v>1821</x:v>
      </x:c>
      <x:c r="G583" s="0" t="s">
        <x:v>1320</x:v>
      </x:c>
      <x:c r="M583" s="0">
        <x:v>0</x:v>
      </x:c>
      <x:c r="N583" s="0">
        <x:v>2016</x:v>
      </x:c>
      <x:c r="O583" s="0" t="s">
        <x:v>1482</x:v>
      </x:c>
      <x:c r="Q583" s="0" t="s">
        <x:v>1321</x:v>
      </x:c>
      <x:c r="S583" s="0">
        <x:v>0</x:v>
      </x:c>
      <x:c r="T583" s="0">
        <x:v>0</x:v>
      </x:c>
      <x:c r="V583" s="0">
        <x:v>0</x:v>
      </x:c>
      <x:c r="W583" s="21">
        <x:v>0</x:v>
      </x:c>
      <x:c r="X583" s="0">
        <x:v>0</x:v>
      </x:c>
      <x:c r="Y583" s="21">
        <x:v>0</x:v>
      </x:c>
    </x:row>
    <x:row r="584" spans="1:37" x14ac:dyDescent="0.25">
      <x:c r="A584" s="0">
        <x:f>ROW(A584)-1</x:f>
      </x:c>
      <x:c r="C584" s="0">
        <x:v>731</x:v>
      </x:c>
      <x:c r="D584" s="0" t="s">
        <x:v>1271</x:v>
      </x:c>
      <x:c r="E584" s="0" t="s">
        <x:v>1822</x:v>
      </x:c>
      <x:c r="F584" s="0" t="s">
        <x:v>1505</x:v>
      </x:c>
      <x:c r="G584" s="0" t="s">
        <x:v>1320</x:v>
      </x:c>
      <x:c r="M584" s="0">
        <x:v>0</x:v>
      </x:c>
      <x:c r="N584" s="0">
        <x:v>2017</x:v>
      </x:c>
      <x:c r="O584" s="0" t="s">
        <x:v>1362</x:v>
      </x:c>
      <x:c r="S584" s="0">
        <x:v>0</x:v>
      </x:c>
      <x:c r="T584" s="0">
        <x:v>0</x:v>
      </x:c>
      <x:c r="V584" s="0">
        <x:v>0</x:v>
      </x:c>
      <x:c r="W584" s="21">
        <x:v>0</x:v>
      </x:c>
      <x:c r="X584" s="0">
        <x:v>0</x:v>
      </x:c>
      <x:c r="Y584" s="21">
        <x:v>0</x:v>
      </x:c>
    </x:row>
    <x:row r="585" spans="1:37" x14ac:dyDescent="0.25">
      <x:c r="A585" s="0">
        <x:f>ROW(A585)-1</x:f>
      </x:c>
      <x:c r="C585" s="0">
        <x:v>721</x:v>
      </x:c>
      <x:c r="D585" s="0" t="s">
        <x:v>899</x:v>
      </x:c>
      <x:c r="E585" s="0" t="s">
        <x:v>900</x:v>
      </x:c>
      <x:c r="G585" s="0" t="s">
        <x:v>1320</x:v>
      </x:c>
      <x:c r="H585" s="0" t="s">
        <x:v>1501</x:v>
      </x:c>
      <x:c r="I585" s="0" t="s">
        <x:v>494</x:v>
      </x:c>
      <x:c r="J585" s="0" t="s">
        <x:v>1502</x:v>
      </x:c>
      <x:c r="K585" s="0" t="s">
        <x:v>1339</x:v>
      </x:c>
      <x:c r="M585" s="0">
        <x:v>0</x:v>
      </x:c>
      <x:c r="N585" s="0">
        <x:v>2020</x:v>
      </x:c>
      <x:c r="O585" s="0" t="s">
        <x:v>1482</x:v>
      </x:c>
      <x:c r="S585" s="0">
        <x:v>0</x:v>
      </x:c>
      <x:c r="T585" s="0">
        <x:v>0</x:v>
      </x:c>
      <x:c r="V585" s="0">
        <x:v>0</x:v>
      </x:c>
      <x:c r="W585" s="21">
        <x:v>0</x:v>
      </x:c>
      <x:c r="X585" s="0">
        <x:v>0</x:v>
      </x:c>
      <x:c r="Y585" s="21">
        <x:v>0</x:v>
      </x:c>
    </x:row>
    <x:row r="586" spans="1:37" x14ac:dyDescent="0.25">
      <x:c r="A586" s="0">
        <x:f>ROW(A586)-1</x:f>
      </x:c>
      <x:c r="C586" s="0">
        <x:v>719</x:v>
      </x:c>
      <x:c r="D586" s="0" t="s">
        <x:v>903</x:v>
      </x:c>
      <x:c r="E586" s="0" t="s">
        <x:v>240</x:v>
      </x:c>
      <x:c r="F586" s="0" t="s">
        <x:v>1503</x:v>
      </x:c>
      <x:c r="G586" s="0" t="s">
        <x:v>1320</x:v>
      </x:c>
      <x:c r="M586" s="0">
        <x:v>0</x:v>
      </x:c>
      <x:c r="N586" s="0">
        <x:v>2023</x:v>
      </x:c>
      <x:c r="O586" s="0" t="s">
        <x:v>1482</x:v>
      </x:c>
      <x:c r="S586" s="0">
        <x:v>0</x:v>
      </x:c>
      <x:c r="T586" s="0">
        <x:v>0</x:v>
      </x:c>
      <x:c r="V586" s="0">
        <x:v>0</x:v>
      </x:c>
      <x:c r="W586" s="21">
        <x:v>0</x:v>
      </x:c>
      <x:c r="X586" s="0">
        <x:v>0</x:v>
      </x:c>
      <x:c r="Y586" s="21">
        <x:v>0</x:v>
      </x:c>
    </x:row>
    <x:row r="587" spans="1:37" x14ac:dyDescent="0.25">
      <x:c r="A587" s="0">
        <x:f>ROW(A587)-1</x:f>
      </x:c>
      <x:c r="C587" s="0">
        <x:v>768</x:v>
      </x:c>
      <x:c r="D587" s="0" t="s">
        <x:v>114</x:v>
      </x:c>
      <x:c r="E587" s="0" t="s">
        <x:v>904</x:v>
      </x:c>
      <x:c r="F587" s="0" t="s">
        <x:v>1504</x:v>
      </x:c>
      <x:c r="G587" s="0" t="s">
        <x:v>1320</x:v>
      </x:c>
      <x:c r="M587" s="0">
        <x:v>0</x:v>
      </x:c>
      <x:c r="N587" s="0">
        <x:v>2014</x:v>
      </x:c>
      <x:c r="O587" s="0" t="s">
        <x:v>1482</x:v>
      </x:c>
      <x:c r="S587" s="0">
        <x:v>0</x:v>
      </x:c>
      <x:c r="T587" s="0">
        <x:v>0</x:v>
      </x:c>
      <x:c r="V587" s="0">
        <x:v>0</x:v>
      </x:c>
      <x:c r="W587" s="21">
        <x:v>0</x:v>
      </x:c>
      <x:c r="X587" s="0">
        <x:v>0</x:v>
      </x:c>
      <x:c r="Y587" s="21">
        <x:v>0</x:v>
      </x:c>
    </x:row>
    <x:row r="588" spans="1:37" x14ac:dyDescent="0.25">
      <x:c r="A588" s="0">
        <x:f>ROW(A588)-1</x:f>
      </x:c>
      <x:c r="C588" s="0">
        <x:v>767</x:v>
      </x:c>
      <x:c r="D588" s="0" t="s">
        <x:v>907</x:v>
      </x:c>
      <x:c r="E588" s="0" t="s">
        <x:v>908</x:v>
      </x:c>
      <x:c r="F588" s="0" t="s">
        <x:v>910</x:v>
      </x:c>
      <x:c r="G588" s="0" t="s">
        <x:v>1320</x:v>
      </x:c>
      <x:c r="M588" s="0">
        <x:v>0</x:v>
      </x:c>
      <x:c r="N588" s="0">
        <x:v>2015</x:v>
      </x:c>
      <x:c r="O588" s="0" t="s">
        <x:v>1482</x:v>
      </x:c>
      <x:c r="S588" s="0">
        <x:v>0</x:v>
      </x:c>
      <x:c r="T588" s="0">
        <x:v>0</x:v>
      </x:c>
      <x:c r="V588" s="0">
        <x:v>0</x:v>
      </x:c>
      <x:c r="W588" s="21">
        <x:v>0</x:v>
      </x:c>
      <x:c r="X588" s="0">
        <x:v>0</x:v>
      </x:c>
      <x:c r="Y588" s="21">
        <x:v>0</x:v>
      </x:c>
    </x:row>
    <x:row r="589" spans="1:37" x14ac:dyDescent="0.25">
      <x:c r="A589" s="0">
        <x:f>ROW(A589)-1</x:f>
      </x:c>
      <x:c r="C589" s="0">
        <x:v>766</x:v>
      </x:c>
      <x:c r="D589" s="0" t="s">
        <x:v>1274</x:v>
      </x:c>
      <x:c r="E589" s="0" t="s">
        <x:v>1823</x:v>
      </x:c>
      <x:c r="F589" s="0" t="s">
        <x:v>1500</x:v>
      </x:c>
      <x:c r="G589" s="0" t="s">
        <x:v>1320</x:v>
      </x:c>
      <x:c r="M589" s="0">
        <x:v>0</x:v>
      </x:c>
      <x:c r="N589" s="0">
        <x:v>2017</x:v>
      </x:c>
      <x:c r="O589" s="0" t="s">
        <x:v>1482</x:v>
      </x:c>
      <x:c r="S589" s="0">
        <x:v>0</x:v>
      </x:c>
      <x:c r="T589" s="0">
        <x:v>0</x:v>
      </x:c>
      <x:c r="V589" s="0">
        <x:v>0</x:v>
      </x:c>
      <x:c r="W589" s="21">
        <x:v>0</x:v>
      </x:c>
      <x:c r="X589" s="0">
        <x:v>0</x:v>
      </x:c>
      <x:c r="Y589" s="21">
        <x:v>0</x:v>
      </x:c>
    </x:row>
    <x:row r="590" spans="1:37" x14ac:dyDescent="0.25">
      <x:c r="A590" s="0">
        <x:f>ROW(A590)-1</x:f>
      </x:c>
      <x:c r="C590" s="0">
        <x:v>765</x:v>
      </x:c>
      <x:c r="D590" s="0" t="s">
        <x:v>1276</x:v>
      </x:c>
      <x:c r="E590" s="0" t="s">
        <x:v>1824</x:v>
      </x:c>
      <x:c r="F590" s="0" t="s">
        <x:v>1798</x:v>
      </x:c>
      <x:c r="G590" s="0" t="s">
        <x:v>1320</x:v>
      </x:c>
      <x:c r="M590" s="0">
        <x:v>0</x:v>
      </x:c>
      <x:c r="N590" s="0">
        <x:v>2013</x:v>
      </x:c>
      <x:c r="O590" s="0" t="s">
        <x:v>1362</x:v>
      </x:c>
      <x:c r="S590" s="0">
        <x:v>0</x:v>
      </x:c>
      <x:c r="T590" s="0">
        <x:v>0</x:v>
      </x:c>
      <x:c r="V590" s="0">
        <x:v>0</x:v>
      </x:c>
      <x:c r="W590" s="21">
        <x:v>0</x:v>
      </x:c>
      <x:c r="X590" s="0">
        <x:v>0</x:v>
      </x:c>
      <x:c r="Y590" s="21">
        <x:v>0</x:v>
      </x:c>
    </x:row>
    <x:row r="591" spans="1:37" x14ac:dyDescent="0.25">
      <x:c r="A591" s="0">
        <x:f>ROW(A591)-1</x:f>
      </x:c>
      <x:c r="C591" s="0">
        <x:v>764</x:v>
      </x:c>
      <x:c r="D591" s="0" t="s">
        <x:v>911</x:v>
      </x:c>
      <x:c r="E591" s="0" t="s">
        <x:v>912</x:v>
      </x:c>
      <x:c r="F591" s="0" t="s">
        <x:v>1365</x:v>
      </x:c>
      <x:c r="G591" s="0" t="s">
        <x:v>1320</x:v>
      </x:c>
      <x:c r="M591" s="0">
        <x:v>0</x:v>
      </x:c>
      <x:c r="N591" s="0">
        <x:v>2014</x:v>
      </x:c>
      <x:c r="O591" s="0" t="s">
        <x:v>1482</x:v>
      </x:c>
      <x:c r="S591" s="0">
        <x:v>0</x:v>
      </x:c>
      <x:c r="T591" s="0">
        <x:v>0</x:v>
      </x:c>
      <x:c r="V591" s="0">
        <x:v>0</x:v>
      </x:c>
      <x:c r="W591" s="21">
        <x:v>0</x:v>
      </x:c>
      <x:c r="X591" s="0">
        <x:v>0</x:v>
      </x:c>
      <x:c r="Y591" s="21">
        <x:v>0</x:v>
      </x:c>
    </x:row>
    <x:row r="592" spans="1:37" x14ac:dyDescent="0.25">
      <x:c r="A592" s="0">
        <x:f>ROW(A592)-1</x:f>
      </x:c>
      <x:c r="C592" s="0">
        <x:v>763</x:v>
      </x:c>
      <x:c r="D592" s="0" t="s">
        <x:v>1278</x:v>
      </x:c>
      <x:c r="E592" s="0" t="s">
        <x:v>1825</x:v>
      </x:c>
      <x:c r="F592" s="0" t="s">
        <x:v>1500</x:v>
      </x:c>
      <x:c r="G592" s="0" t="s">
        <x:v>1320</x:v>
      </x:c>
      <x:c r="M592" s="0">
        <x:v>0</x:v>
      </x:c>
      <x:c r="N592" s="0">
        <x:v>2019</x:v>
      </x:c>
      <x:c r="O592" s="0" t="s">
        <x:v>1482</x:v>
      </x:c>
      <x:c r="S592" s="0">
        <x:v>0</x:v>
      </x:c>
      <x:c r="T592" s="0">
        <x:v>0</x:v>
      </x:c>
      <x:c r="V592" s="0">
        <x:v>0</x:v>
      </x:c>
      <x:c r="W592" s="21">
        <x:v>0</x:v>
      </x:c>
      <x:c r="X592" s="0">
        <x:v>0</x:v>
      </x:c>
      <x:c r="Y592" s="21">
        <x:v>0</x:v>
      </x:c>
    </x:row>
    <x:row r="593" spans="1:37" x14ac:dyDescent="0.25">
      <x:c r="A593" s="0">
        <x:f>ROW(A593)-1</x:f>
      </x:c>
      <x:c r="C593" s="0">
        <x:v>762</x:v>
      </x:c>
      <x:c r="E593" s="0" t="s">
        <x:v>914</x:v>
      </x:c>
      <x:c r="F593" s="0" t="s">
        <x:v>1505</x:v>
      </x:c>
      <x:c r="G593" s="0" t="s">
        <x:v>1320</x:v>
      </x:c>
      <x:c r="M593" s="0">
        <x:v>0</x:v>
      </x:c>
      <x:c r="N593" s="0">
        <x:v>2014</x:v>
      </x:c>
      <x:c r="O593" s="0" t="s">
        <x:v>1362</x:v>
      </x:c>
      <x:c r="S593" s="0">
        <x:v>0</x:v>
      </x:c>
      <x:c r="T593" s="0">
        <x:v>0</x:v>
      </x:c>
      <x:c r="V593" s="0">
        <x:v>0</x:v>
      </x:c>
      <x:c r="W593" s="21">
        <x:v>0</x:v>
      </x:c>
      <x:c r="X593" s="0">
        <x:v>0</x:v>
      </x:c>
      <x:c r="Y593" s="21">
        <x:v>0</x:v>
      </x:c>
    </x:row>
    <x:row r="594" spans="1:37" x14ac:dyDescent="0.25">
      <x:c r="A594" s="0">
        <x:f>ROW(A594)-1</x:f>
      </x:c>
      <x:c r="C594" s="0">
        <x:v>761</x:v>
      </x:c>
      <x:c r="D594" s="0" t="s">
        <x:v>918</x:v>
      </x:c>
      <x:c r="E594" s="0" t="s">
        <x:v>919</x:v>
      </x:c>
      <x:c r="F594" s="0" t="s">
        <x:v>1365</x:v>
      </x:c>
      <x:c r="G594" s="0" t="s">
        <x:v>1320</x:v>
      </x:c>
      <x:c r="M594" s="0">
        <x:v>0</x:v>
      </x:c>
      <x:c r="N594" s="0">
        <x:v>2013</x:v>
      </x:c>
      <x:c r="O594" s="0" t="s">
        <x:v>1482</x:v>
      </x:c>
      <x:c r="S594" s="0">
        <x:v>0</x:v>
      </x:c>
      <x:c r="T594" s="0">
        <x:v>0</x:v>
      </x:c>
      <x:c r="V594" s="0">
        <x:v>0</x:v>
      </x:c>
      <x:c r="W594" s="21">
        <x:v>0</x:v>
      </x:c>
      <x:c r="X594" s="0">
        <x:v>0</x:v>
      </x:c>
      <x:c r="Y594" s="21">
        <x:v>0</x:v>
      </x:c>
    </x:row>
    <x:row r="595" spans="1:37" x14ac:dyDescent="0.25">
      <x:c r="A595" s="0">
        <x:f>ROW(A595)-1</x:f>
      </x:c>
      <x:c r="C595" s="0">
        <x:v>760</x:v>
      </x:c>
      <x:c r="D595" s="0" t="s">
        <x:v>1280</x:v>
      </x:c>
      <x:c r="E595" s="0" t="s">
        <x:v>1826</x:v>
      </x:c>
      <x:c r="F595" s="0" t="s">
        <x:v>1827</x:v>
      </x:c>
      <x:c r="G595" s="0" t="s">
        <x:v>1320</x:v>
      </x:c>
      <x:c r="M595" s="0">
        <x:v>0</x:v>
      </x:c>
      <x:c r="N595" s="0">
        <x:v>2018</x:v>
      </x:c>
      <x:c r="O595" s="0" t="s">
        <x:v>1362</x:v>
      </x:c>
      <x:c r="S595" s="0">
        <x:v>0</x:v>
      </x:c>
      <x:c r="T595" s="0">
        <x:v>0</x:v>
      </x:c>
      <x:c r="V595" s="0">
        <x:v>0</x:v>
      </x:c>
      <x:c r="W595" s="21">
        <x:v>0</x:v>
      </x:c>
      <x:c r="X595" s="0">
        <x:v>0</x:v>
      </x:c>
      <x:c r="Y595" s="21">
        <x:v>0</x:v>
      </x:c>
    </x:row>
    <x:row r="596" spans="1:37" x14ac:dyDescent="0.25">
      <x:c r="A596" s="0">
        <x:f>ROW(A596)-1</x:f>
      </x:c>
      <x:c r="C596" s="0">
        <x:v>759</x:v>
      </x:c>
      <x:c r="D596" s="0" t="s">
        <x:v>922</x:v>
      </x:c>
      <x:c r="E596" s="0" t="s">
        <x:v>923</x:v>
      </x:c>
      <x:c r="F596" s="0" t="s">
        <x:v>1365</x:v>
      </x:c>
      <x:c r="G596" s="0" t="s">
        <x:v>1320</x:v>
      </x:c>
      <x:c r="M596" s="0">
        <x:v>0</x:v>
      </x:c>
      <x:c r="N596" s="0">
        <x:v>2014</x:v>
      </x:c>
      <x:c r="O596" s="0" t="s">
        <x:v>1482</x:v>
      </x:c>
      <x:c r="S596" s="0">
        <x:v>0</x:v>
      </x:c>
      <x:c r="T596" s="0">
        <x:v>0</x:v>
      </x:c>
      <x:c r="V596" s="0">
        <x:v>0</x:v>
      </x:c>
      <x:c r="W596" s="21">
        <x:v>0</x:v>
      </x:c>
      <x:c r="X596" s="0">
        <x:v>0</x:v>
      </x:c>
      <x:c r="Y596" s="21">
        <x:v>0</x:v>
      </x:c>
    </x:row>
    <x:row r="597" spans="1:37" x14ac:dyDescent="0.25">
      <x:c r="A597" s="0">
        <x:f>ROW(A597)-1</x:f>
      </x:c>
      <x:c r="C597" s="0">
        <x:v>758</x:v>
      </x:c>
      <x:c r="D597" s="0" t="s">
        <x:v>1283</x:v>
      </x:c>
      <x:c r="E597" s="0" t="s">
        <x:v>1828</x:v>
      </x:c>
      <x:c r="G597" s="0" t="s">
        <x:v>1320</x:v>
      </x:c>
      <x:c r="M597" s="0">
        <x:v>0</x:v>
      </x:c>
      <x:c r="N597" s="0">
        <x:v>2012</x:v>
      </x:c>
      <x:c r="S597" s="0">
        <x:v>0</x:v>
      </x:c>
      <x:c r="T597" s="0">
        <x:v>0</x:v>
      </x:c>
      <x:c r="V597" s="0">
        <x:v>0</x:v>
      </x:c>
      <x:c r="W597" s="21">
        <x:v>0</x:v>
      </x:c>
      <x:c r="X597" s="0">
        <x:v>0</x:v>
      </x:c>
      <x:c r="Y597" s="21">
        <x:v>0</x:v>
      </x:c>
    </x:row>
    <x:row r="598" spans="1:37" x14ac:dyDescent="0.25">
      <x:c r="A598" s="0">
        <x:f>ROW(A598)-1</x:f>
      </x:c>
      <x:c r="C598" s="0">
        <x:v>735</x:v>
      </x:c>
      <x:c r="D598" s="0" t="s">
        <x:v>1285</x:v>
      </x:c>
      <x:c r="E598" s="0" t="s">
        <x:v>1829</x:v>
      </x:c>
      <x:c r="F598" s="0" t="s">
        <x:v>1321</x:v>
      </x:c>
      <x:c r="G598" s="0" t="s">
        <x:v>1320</x:v>
      </x:c>
      <x:c r="M598" s="0">
        <x:v>1700</x:v>
      </x:c>
      <x:c r="N598" s="0">
        <x:v>2019</x:v>
      </x:c>
      <x:c r="O598" s="0" t="s">
        <x:v>1533</x:v>
      </x:c>
      <x:c r="S598" s="0">
        <x:v>2898</x:v>
      </x:c>
      <x:c r="T598" s="0">
        <x:v>0</x:v>
      </x:c>
      <x:c r="V598" s="0">
        <x:v>376721</x:v>
      </x:c>
      <x:c r="W598" s="21">
        <x:v>0</x:v>
      </x:c>
      <x:c r="X598" s="0">
        <x:v>12250</x:v>
      </x:c>
      <x:c r="Y598" s="21">
        <x:v>0</x:v>
      </x:c>
    </x:row>
    <x:row r="599" spans="1:37" x14ac:dyDescent="0.25">
      <x:c r="A599" s="0">
        <x:f>ROW(A599)-1</x:f>
      </x:c>
      <x:c r="C599" s="0">
        <x:v>737</x:v>
      </x:c>
      <x:c r="D599" s="0" t="s">
        <x:v>1288</x:v>
      </x:c>
      <x:c r="E599" s="0" t="s">
        <x:v>1830</x:v>
      </x:c>
      <x:c r="F599" s="0" t="s">
        <x:v>1495</x:v>
      </x:c>
      <x:c r="G599" s="0" t="s">
        <x:v>1320</x:v>
      </x:c>
      <x:c r="M599" s="0">
        <x:v>0</x:v>
      </x:c>
      <x:c r="N599" s="0">
        <x:v>2020</x:v>
      </x:c>
      <x:c r="O599" s="0" t="s">
        <x:v>1482</x:v>
      </x:c>
      <x:c r="S599" s="0">
        <x:v>0</x:v>
      </x:c>
      <x:c r="T599" s="0">
        <x:v>0</x:v>
      </x:c>
      <x:c r="V599" s="0">
        <x:v>0</x:v>
      </x:c>
      <x:c r="W599" s="21">
        <x:v>0</x:v>
      </x:c>
      <x:c r="X599" s="0">
        <x:v>0</x:v>
      </x:c>
      <x:c r="Y599" s="21">
        <x:v>0</x:v>
      </x:c>
    </x:row>
    <x:row r="600" spans="1:37" x14ac:dyDescent="0.25">
      <x:c r="A600" s="0">
        <x:f>ROW(A600)-1</x:f>
      </x:c>
      <x:c r="C600" s="0">
        <x:v>738</x:v>
      </x:c>
      <x:c r="D600" s="0" t="s">
        <x:v>1290</x:v>
      </x:c>
      <x:c r="E600" s="0" t="s">
        <x:v>1831</x:v>
      </x:c>
      <x:c r="F600" s="0" t="s">
        <x:v>1365</x:v>
      </x:c>
      <x:c r="G600" s="0" t="s">
        <x:v>1320</x:v>
      </x:c>
      <x:c r="M600" s="0">
        <x:v>0</x:v>
      </x:c>
      <x:c r="N600" s="0">
        <x:v>2018</x:v>
      </x:c>
      <x:c r="O600" s="0" t="s">
        <x:v>1482</x:v>
      </x:c>
      <x:c r="S600" s="0">
        <x:v>0</x:v>
      </x:c>
      <x:c r="T600" s="0">
        <x:v>0</x:v>
      </x:c>
      <x:c r="V600" s="0">
        <x:v>0</x:v>
      </x:c>
      <x:c r="W600" s="21">
        <x:v>0</x:v>
      </x:c>
      <x:c r="X600" s="0">
        <x:v>0</x:v>
      </x:c>
      <x:c r="Y600" s="21">
        <x:v>0</x:v>
      </x:c>
    </x:row>
    <x:row r="601" spans="1:37" x14ac:dyDescent="0.25">
      <x:c r="A601" s="0">
        <x:f>ROW(A601)-1</x:f>
      </x:c>
      <x:c r="C601" s="0">
        <x:v>739</x:v>
      </x:c>
      <x:c r="D601" s="0" t="s">
        <x:v>903</x:v>
      </x:c>
      <x:c r="E601" s="0" t="s">
        <x:v>926</x:v>
      </x:c>
      <x:c r="G601" s="0" t="s">
        <x:v>1320</x:v>
      </x:c>
      <x:c r="M601" s="0">
        <x:v>0</x:v>
      </x:c>
      <x:c r="N601" s="0">
        <x:v>2020</x:v>
      </x:c>
      <x:c r="S601" s="0">
        <x:v>0</x:v>
      </x:c>
      <x:c r="T601" s="0">
        <x:v>0</x:v>
      </x:c>
      <x:c r="V601" s="0">
        <x:v>0</x:v>
      </x:c>
      <x:c r="W601" s="21">
        <x:v>0</x:v>
      </x:c>
      <x:c r="X601" s="0">
        <x:v>0</x:v>
      </x:c>
      <x:c r="Y601" s="21">
        <x:v>0</x:v>
      </x:c>
    </x:row>
    <x:row r="602" spans="1:37" x14ac:dyDescent="0.25">
      <x:c r="A602" s="0">
        <x:f>ROW(A602)-1</x:f>
      </x:c>
      <x:c r="C602" s="0">
        <x:v>746</x:v>
      </x:c>
      <x:c r="D602" s="0" t="s">
        <x:v>1291</x:v>
      </x:c>
      <x:c r="E602" s="0" t="s">
        <x:v>1832</x:v>
      </x:c>
      <x:c r="F602" s="0" t="s">
        <x:v>1500</x:v>
      </x:c>
      <x:c r="G602" s="0" t="s">
        <x:v>1320</x:v>
      </x:c>
      <x:c r="M602" s="0">
        <x:v>0</x:v>
      </x:c>
      <x:c r="N602" s="0">
        <x:v>2019</x:v>
      </x:c>
      <x:c r="O602" s="0" t="s">
        <x:v>1482</x:v>
      </x:c>
      <x:c r="S602" s="0">
        <x:v>0</x:v>
      </x:c>
      <x:c r="T602" s="0">
        <x:v>0</x:v>
      </x:c>
      <x:c r="V602" s="0">
        <x:v>0</x:v>
      </x:c>
      <x:c r="W602" s="21">
        <x:v>0</x:v>
      </x:c>
      <x:c r="X602" s="0">
        <x:v>0</x:v>
      </x:c>
      <x:c r="Y602" s="21">
        <x:v>0</x:v>
      </x:c>
    </x:row>
    <x:row r="603" spans="1:37" x14ac:dyDescent="0.25">
      <x:c r="A603" s="0">
        <x:f>ROW(A603)-1</x:f>
      </x:c>
      <x:c r="E603" s="0" t="s">
        <x:v>1506</x:v>
      </x:c>
      <x:c r="F603" s="0" t="s">
        <x:v>1321</x:v>
      </x:c>
      <x:c r="G603" s="0" t="s">
        <x:v>1320</x:v>
      </x:c>
      <x:c r="M603" s="0">
        <x:v>0</x:v>
      </x:c>
      <x:c r="N603" s="0">
        <x:v>0</x:v>
      </x:c>
      <x:c r="O603" s="0" t="s">
        <x:v>1533</x:v>
      </x:c>
      <x:c r="S603" s="0">
        <x:v>0</x:v>
      </x:c>
      <x:c r="T603" s="0">
        <x:v>0</x:v>
      </x:c>
      <x:c r="V603" s="0">
        <x:v>0</x:v>
      </x:c>
      <x:c r="W603" s="21">
        <x:v>0</x:v>
      </x:c>
      <x:c r="X603" s="0">
        <x:v>0</x:v>
      </x:c>
      <x:c r="Y603" s="21">
        <x:v>0</x:v>
      </x:c>
      <x:c r="AK603" s="0" t="s">
        <x:v>1584</x:v>
      </x:c>
    </x:row>
    <x:row r="604" spans="1:37" x14ac:dyDescent="0.25">
      <x:c r="A604" s="0">
        <x:f>ROW(A604)-1</x:f>
      </x:c>
      <x:c r="E604" s="0" t="s">
        <x:v>1507</x:v>
      </x:c>
      <x:c r="F604" s="0" t="s">
        <x:v>1377</x:v>
      </x:c>
      <x:c r="G604" s="0" t="s">
        <x:v>1320</x:v>
      </x:c>
      <x:c r="M604" s="0">
        <x:v>0</x:v>
      </x:c>
      <x:c r="N604" s="0">
        <x:v>0</x:v>
      </x:c>
      <x:c r="O604" s="0" t="s">
        <x:v>1591</x:v>
      </x:c>
      <x:c r="S604" s="0">
        <x:v>0</x:v>
      </x:c>
      <x:c r="T604" s="0">
        <x:v>0</x:v>
      </x:c>
      <x:c r="V604" s="0">
        <x:v>0</x:v>
      </x:c>
      <x:c r="W604" s="21">
        <x:v>0</x:v>
      </x:c>
      <x:c r="X604" s="0">
        <x:v>0</x:v>
      </x:c>
      <x:c r="Y604" s="21">
        <x:v>0</x:v>
      </x:c>
      <x:c r="AK604" s="0" t="s">
        <x:v>1584</x:v>
      </x:c>
    </x:row>
    <x:row r="605" spans="1:37" x14ac:dyDescent="0.25">
      <x:c r="A605" s="0">
        <x:f>ROW(A605)-1</x:f>
      </x:c>
      <x:c r="E605" s="0" t="s">
        <x:v>1833</x:v>
      </x:c>
      <x:c r="F605" s="0" t="s">
        <x:v>1365</x:v>
      </x:c>
      <x:c r="G605" s="0" t="s">
        <x:v>1320</x:v>
      </x:c>
      <x:c r="M605" s="0">
        <x:v>1999</x:v>
      </x:c>
      <x:c r="N605" s="0">
        <x:v>2022</x:v>
      </x:c>
      <x:c r="O605" s="0" t="s">
        <x:v>1482</x:v>
      </x:c>
      <x:c r="S605" s="0">
        <x:v>0</x:v>
      </x:c>
      <x:c r="T605" s="0">
        <x:v>0</x:v>
      </x:c>
      <x:c r="V605" s="0">
        <x:v>11106</x:v>
      </x:c>
      <x:c r="W605" s="21">
        <x:v>0</x:v>
      </x:c>
      <x:c r="X605" s="0">
        <x:v>1493</x:v>
      </x:c>
      <x:c r="Y605" s="21">
        <x:v>0</x:v>
      </x:c>
      <x:c r="AK605" s="0" t="s">
        <x:v>1584</x:v>
      </x:c>
    </x:row>
    <x:row r="606" spans="1:37" x14ac:dyDescent="0.25">
      <x:c r="A606" s="0">
        <x:f>ROW(A606)-1</x:f>
      </x:c>
      <x:c r="E606" s="0" t="s">
        <x:v>1834</x:v>
      </x:c>
      <x:c r="F606" s="0" t="s">
        <x:v>1835</x:v>
      </x:c>
      <x:c r="G606" s="0" t="s">
        <x:v>1320</x:v>
      </x:c>
      <x:c r="M606" s="0">
        <x:v>0</x:v>
      </x:c>
      <x:c r="N606" s="0">
        <x:v>0</x:v>
      </x:c>
      <x:c r="O606" s="0" t="s">
        <x:v>1482</x:v>
      </x:c>
      <x:c r="S606" s="0">
        <x:v>0</x:v>
      </x:c>
      <x:c r="T606" s="0">
        <x:v>0</x:v>
      </x:c>
      <x:c r="V606" s="0">
        <x:v>0</x:v>
      </x:c>
      <x:c r="W606" s="21">
        <x:v>0</x:v>
      </x:c>
      <x:c r="X606" s="0">
        <x:v>0</x:v>
      </x:c>
      <x:c r="Y606" s="21">
        <x:v>0</x:v>
      </x:c>
      <x:c r="AK606" s="0" t="s">
        <x:v>1584</x:v>
      </x:c>
    </x:row>
    <x:row r="607" spans="1:37" x14ac:dyDescent="0.25">
      <x:c r="A607" s="0">
        <x:f>ROW(A607)-1</x:f>
      </x:c>
      <x:c r="F607" s="0" t="s">
        <x:v>1836</x:v>
      </x:c>
      <x:c r="G607" s="0" t="s">
        <x:v>1320</x:v>
      </x:c>
      <x:c r="M607" s="0">
        <x:v>1970</x:v>
      </x:c>
      <x:c r="N607" s="0">
        <x:v>2002</x:v>
      </x:c>
      <x:c r="O607" s="0" t="s">
        <x:v>1482</x:v>
      </x:c>
      <x:c r="S607" s="0">
        <x:v>200</x:v>
      </x:c>
      <x:c r="T607" s="0">
        <x:v>0</x:v>
      </x:c>
      <x:c r="V607" s="0">
        <x:v>23124</x:v>
      </x:c>
      <x:c r="W607" s="21">
        <x:v>0</x:v>
      </x:c>
      <x:c r="X607" s="0">
        <x:v>4469</x:v>
      </x:c>
      <x:c r="Y607" s="21">
        <x:v>0</x:v>
      </x:c>
      <x:c r="AK607" s="0" t="s">
        <x:v>1584</x:v>
      </x:c>
    </x:row>
    <x:row r="608" spans="1:37" x14ac:dyDescent="0.25">
      <x:c r="A608" s="0">
        <x:f>ROW(A608)-1</x:f>
      </x:c>
      <x:c r="F608" s="0" t="s">
        <x:v>1836</x:v>
      </x:c>
      <x:c r="G608" s="0" t="s">
        <x:v>1320</x:v>
      </x:c>
      <x:c r="M608" s="0">
        <x:v>1970</x:v>
      </x:c>
      <x:c r="N608" s="0">
        <x:v>2002</x:v>
      </x:c>
      <x:c r="O608" s="0" t="s">
        <x:v>1482</x:v>
      </x:c>
      <x:c r="S608" s="0">
        <x:v>125</x:v>
      </x:c>
      <x:c r="T608" s="0">
        <x:v>0</x:v>
      </x:c>
      <x:c r="V608" s="0">
        <x:v>20000</x:v>
      </x:c>
      <x:c r="W608" s="21">
        <x:v>0</x:v>
      </x:c>
      <x:c r="X608" s="0">
        <x:v>4600</x:v>
      </x:c>
      <x:c r="Y608" s="21">
        <x:v>0</x:v>
      </x:c>
      <x:c r="AK608" s="0" t="s">
        <x:v>1584</x:v>
      </x:c>
    </x:row>
    <x:row r="609" spans="1:37" x14ac:dyDescent="0.25">
      <x:c r="A609" s="0">
        <x:f>ROW(A609)-1</x:f>
      </x:c>
      <x:c r="F609" s="0" t="s">
        <x:v>1836</x:v>
      </x:c>
      <x:c r="G609" s="0" t="s">
        <x:v>1320</x:v>
      </x:c>
      <x:c r="M609" s="0">
        <x:v>1800</x:v>
      </x:c>
      <x:c r="N609" s="0">
        <x:v>2002</x:v>
      </x:c>
      <x:c r="T609" s="0">
        <x:v>0</x:v>
      </x:c>
      <x:c r="V609" s="0">
        <x:v>36774</x:v>
      </x:c>
      <x:c r="W609" s="21">
        <x:v>0</x:v>
      </x:c>
      <x:c r="X609" s="0">
        <x:v>3351</x:v>
      </x:c>
      <x:c r="Y609" s="21">
        <x:v>0</x:v>
      </x:c>
      <x:c r="AK609" s="0" t="s">
        <x:v>1584</x:v>
      </x:c>
    </x:row>
    <x:row r="610" spans="1:37" x14ac:dyDescent="0.25">
      <x:c r="A610" s="0">
        <x:f>ROW(A610)-1</x:f>
      </x:c>
      <x:c r="E610" s="0" t="s">
        <x:v>1837</x:v>
      </x:c>
      <x:c r="F610" s="0" t="s">
        <x:v>1321</x:v>
      </x:c>
      <x:c r="G610" s="0" t="s">
        <x:v>1320</x:v>
      </x:c>
      <x:c r="M610" s="0">
        <x:v>0</x:v>
      </x:c>
      <x:c r="N610" s="0">
        <x:v>0</x:v>
      </x:c>
      <x:c r="O610" s="0" t="s">
        <x:v>1533</x:v>
      </x:c>
      <x:c r="S610" s="0">
        <x:v>0</x:v>
      </x:c>
      <x:c r="T610" s="0">
        <x:v>0</x:v>
      </x:c>
      <x:c r="V610" s="0">
        <x:v>0</x:v>
      </x:c>
      <x:c r="W610" s="21">
        <x:v>0</x:v>
      </x:c>
      <x:c r="X610" s="0">
        <x:v>0</x:v>
      </x:c>
      <x:c r="Y610" s="21">
        <x:v>0</x:v>
      </x:c>
      <x:c r="AK610" s="0" t="s">
        <x:v>1584</x:v>
      </x:c>
    </x:row>
    <x:row r="611" spans="1:37" x14ac:dyDescent="0.25">
      <x:c r="A611" s="0">
        <x:f>ROW(A611)-1</x:f>
      </x:c>
      <x:c r="F611" s="0" t="s">
        <x:v>1838</x:v>
      </x:c>
      <x:c r="G611" s="0" t="s">
        <x:v>1320</x:v>
      </x:c>
      <x:c r="M611" s="0">
        <x:v>1958</x:v>
      </x:c>
      <x:c r="N611" s="0">
        <x:v>2002</x:v>
      </x:c>
      <x:c r="O611" s="0" t="s">
        <x:v>1583</x:v>
      </x:c>
      <x:c r="S611" s="0">
        <x:v>150</x:v>
      </x:c>
      <x:c r="T611" s="0">
        <x:v>0</x:v>
      </x:c>
      <x:c r="V611" s="0">
        <x:v>13000</x:v>
      </x:c>
      <x:c r="W611" s="21">
        <x:v>0</x:v>
      </x:c>
      <x:c r="X611" s="0">
        <x:v>3000</x:v>
      </x:c>
      <x:c r="Y611" s="21">
        <x:v>0</x:v>
      </x:c>
      <x:c r="AK611" s="0" t="s">
        <x:v>1584</x:v>
      </x:c>
    </x:row>
    <x:row r="612" spans="1:37" x14ac:dyDescent="0.25">
      <x:c r="A612" s="0">
        <x:f>ROW(A612)-1</x:f>
      </x:c>
      <x:c r="F612" s="0" t="s">
        <x:v>1836</x:v>
      </x:c>
      <x:c r="G612" s="0" t="s">
        <x:v>1320</x:v>
      </x:c>
      <x:c r="M612" s="0">
        <x:v>1970</x:v>
      </x:c>
      <x:c r="N612" s="0">
        <x:v>2002</x:v>
      </x:c>
      <x:c r="O612" s="0" t="s">
        <x:v>1482</x:v>
      </x:c>
      <x:c r="S612" s="0">
        <x:v>125</x:v>
      </x:c>
      <x:c r="T612" s="0">
        <x:v>0</x:v>
      </x:c>
      <x:c r="V612" s="0">
        <x:v>31080</x:v>
      </x:c>
      <x:c r="W612" s="21">
        <x:v>0</x:v>
      </x:c>
      <x:c r="X612" s="0">
        <x:v>0</x:v>
      </x:c>
      <x:c r="Y612" s="21">
        <x:v>0</x:v>
      </x:c>
      <x:c r="AK612" s="0" t="s">
        <x:v>1584</x:v>
      </x:c>
    </x:row>
    <x:row r="613" spans="1:37" x14ac:dyDescent="0.25">
      <x:c r="A613" s="0">
        <x:f>ROW(A613)-1</x:f>
      </x:c>
      <x:c r="F613" s="0" t="s">
        <x:v>1836</x:v>
      </x:c>
      <x:c r="G613" s="0" t="s">
        <x:v>1320</x:v>
      </x:c>
      <x:c r="M613" s="0">
        <x:v>1958</x:v>
      </x:c>
      <x:c r="N613" s="0">
        <x:v>2002</x:v>
      </x:c>
      <x:c r="O613" s="0" t="s">
        <x:v>1482</x:v>
      </x:c>
      <x:c r="S613" s="0">
        <x:v>143</x:v>
      </x:c>
      <x:c r="T613" s="0">
        <x:v>0</x:v>
      </x:c>
      <x:c r="V613" s="0">
        <x:v>20720</x:v>
      </x:c>
      <x:c r="W613" s="21">
        <x:v>0</x:v>
      </x:c>
      <x:c r="X613" s="0">
        <x:v>2600</x:v>
      </x:c>
      <x:c r="Y613" s="21">
        <x:v>0</x:v>
      </x:c>
      <x:c r="AK613" s="0" t="s">
        <x:v>1584</x:v>
      </x:c>
    </x:row>
    <x:row r="614" spans="1:37" x14ac:dyDescent="0.25">
      <x:c r="A614" s="0">
        <x:f>ROW(A614)-1</x:f>
      </x:c>
      <x:c r="F614" s="0" t="s">
        <x:v>1836</x:v>
      </x:c>
      <x:c r="G614" s="0" t="s">
        <x:v>1320</x:v>
      </x:c>
      <x:c r="M614" s="0">
        <x:v>0</x:v>
      </x:c>
      <x:c r="N614" s="0">
        <x:v>2002</x:v>
      </x:c>
      <x:c r="O614" s="0" t="s">
        <x:v>1482</x:v>
      </x:c>
      <x:c r="S614" s="0">
        <x:v>0</x:v>
      </x:c>
      <x:c r="T614" s="0">
        <x:v>0</x:v>
      </x:c>
      <x:c r="V614" s="0">
        <x:v>0</x:v>
      </x:c>
      <x:c r="W614" s="21">
        <x:v>0</x:v>
      </x:c>
      <x:c r="X614" s="0">
        <x:v>0</x:v>
      </x:c>
      <x:c r="Y614" s="21">
        <x:v>0</x:v>
      </x:c>
      <x:c r="AK614" s="0" t="s">
        <x:v>1584</x:v>
      </x:c>
    </x:row>
    <x:row r="615" spans="1:37" x14ac:dyDescent="0.25">
      <x:c r="A615" s="0">
        <x:f>ROW(A615)-1</x:f>
      </x:c>
      <x:c r="F615" s="0" t="s">
        <x:v>1836</x:v>
      </x:c>
      <x:c r="G615" s="0" t="s">
        <x:v>1320</x:v>
      </x:c>
      <x:c r="M615" s="0">
        <x:v>1900</x:v>
      </x:c>
      <x:c r="N615" s="0">
        <x:v>2002</x:v>
      </x:c>
      <x:c r="O615" s="0" t="s">
        <x:v>1482</x:v>
      </x:c>
      <x:c r="Q615" s="0" t="s">
        <x:v>1331</x:v>
      </x:c>
      <x:c r="S615" s="0">
        <x:v>1000</x:v>
      </x:c>
      <x:c r="T615" s="0">
        <x:v>0</x:v>
      </x:c>
      <x:c r="V615" s="0">
        <x:v>87223</x:v>
      </x:c>
      <x:c r="W615" s="21">
        <x:v>0</x:v>
      </x:c>
      <x:c r="X615" s="0">
        <x:v>103658</x:v>
      </x:c>
      <x:c r="Y615" s="21">
        <x:v>0</x:v>
      </x:c>
      <x:c r="AK615" s="0" t="s">
        <x:v>1584</x:v>
      </x:c>
    </x:row>
    <x:row r="616" spans="1:37" x14ac:dyDescent="0.25">
      <x:c r="A616" s="0">
        <x:f>ROW(A616)-1</x:f>
      </x:c>
      <x:c r="F616" s="0" t="s">
        <x:v>1836</x:v>
      </x:c>
      <x:c r="G616" s="0" t="s">
        <x:v>1320</x:v>
      </x:c>
      <x:c r="M616" s="0">
        <x:v>1900</x:v>
      </x:c>
      <x:c r="N616" s="0">
        <x:v>2002</x:v>
      </x:c>
      <x:c r="O616" s="0" t="s">
        <x:v>1482</x:v>
      </x:c>
      <x:c r="S616" s="0">
        <x:v>165</x:v>
      </x:c>
      <x:c r="T616" s="0">
        <x:v>0</x:v>
      </x:c>
      <x:c r="V616" s="0">
        <x:v>40860</x:v>
      </x:c>
      <x:c r="W616" s="21">
        <x:v>0</x:v>
      </x:c>
      <x:c r="X616" s="0">
        <x:v>3910</x:v>
      </x:c>
      <x:c r="Y616" s="21">
        <x:v>0</x:v>
      </x:c>
      <x:c r="AK616" s="0" t="s">
        <x:v>1584</x:v>
      </x:c>
    </x:row>
    <x:row r="617" spans="1:37" x14ac:dyDescent="0.25">
      <x:c r="A617" s="0">
        <x:f>ROW(A617)-1</x:f>
      </x:c>
      <x:c r="F617" s="0" t="s">
        <x:v>1836</x:v>
      </x:c>
      <x:c r="G617" s="0" t="s">
        <x:v>1320</x:v>
      </x:c>
      <x:c r="M617" s="0">
        <x:v>1960</x:v>
      </x:c>
      <x:c r="N617" s="0">
        <x:v>0</x:v>
      </x:c>
      <x:c r="O617" s="0" t="s">
        <x:v>1482</x:v>
      </x:c>
      <x:c r="S617" s="0">
        <x:v>0</x:v>
      </x:c>
      <x:c r="T617" s="0">
        <x:v>0</x:v>
      </x:c>
      <x:c r="V617" s="0">
        <x:v>0</x:v>
      </x:c>
      <x:c r="W617" s="21">
        <x:v>0</x:v>
      </x:c>
      <x:c r="X617" s="0">
        <x:v>0</x:v>
      </x:c>
      <x:c r="Y617" s="21">
        <x:v>0</x:v>
      </x:c>
      <x:c r="AK617" s="0" t="s">
        <x:v>1584</x:v>
      </x:c>
    </x:row>
    <x:row r="618" spans="1:37" x14ac:dyDescent="0.25">
      <x:c r="A618" s="0">
        <x:f>ROW(A618)-1</x:f>
      </x:c>
      <x:c r="F618" s="0" t="s">
        <x:v>1836</x:v>
      </x:c>
      <x:c r="G618" s="0" t="s">
        <x:v>1320</x:v>
      </x:c>
      <x:c r="M618" s="0">
        <x:v>1700</x:v>
      </x:c>
      <x:c r="N618" s="0">
        <x:v>2002</x:v>
      </x:c>
      <x:c r="O618" s="0" t="s">
        <x:v>1482</x:v>
      </x:c>
      <x:c r="S618" s="0">
        <x:v>150</x:v>
      </x:c>
      <x:c r="T618" s="0">
        <x:v>0</x:v>
      </x:c>
      <x:c r="V618" s="0">
        <x:v>0</x:v>
      </x:c>
      <x:c r="W618" s="21">
        <x:v>0</x:v>
      </x:c>
      <x:c r="X618" s="0">
        <x:v>2234</x:v>
      </x:c>
      <x:c r="Y618" s="21">
        <x:v>0</x:v>
      </x:c>
      <x:c r="AK618" s="0" t="s">
        <x:v>1584</x:v>
      </x:c>
    </x:row>
    <x:row r="619" spans="1:37" x14ac:dyDescent="0.25">
      <x:c r="A619" s="0">
        <x:f>ROW(A619)-1</x:f>
      </x:c>
      <x:c r="F619" s="0" t="s">
        <x:v>1838</x:v>
      </x:c>
      <x:c r="G619" s="0" t="s">
        <x:v>1320</x:v>
      </x:c>
      <x:c r="M619" s="0">
        <x:v>1900</x:v>
      </x:c>
      <x:c r="N619" s="0">
        <x:v>2002</x:v>
      </x:c>
      <x:c r="O619" s="0" t="s">
        <x:v>1583</x:v>
      </x:c>
      <x:c r="S619" s="0">
        <x:v>130</x:v>
      </x:c>
      <x:c r="T619" s="0">
        <x:v>0</x:v>
      </x:c>
      <x:c r="V619" s="0">
        <x:v>24517</x:v>
      </x:c>
      <x:c r="W619" s="21">
        <x:v>0</x:v>
      </x:c>
      <x:c r="X619" s="0">
        <x:v>3743</x:v>
      </x:c>
      <x:c r="Y619" s="21">
        <x:v>0</x:v>
      </x:c>
      <x:c r="AK619" s="0" t="s">
        <x:v>1584</x:v>
      </x:c>
    </x:row>
    <x:row r="620" spans="1:37" x14ac:dyDescent="0.25">
      <x:c r="A620" s="0">
        <x:f>ROW(A620)-1</x:f>
      </x:c>
      <x:c r="F620" s="0" t="s">
        <x:v>1839</x:v>
      </x:c>
      <x:c r="G620" s="0" t="s">
        <x:v>1320</x:v>
      </x:c>
      <x:c r="M620" s="0">
        <x:v>0</x:v>
      </x:c>
      <x:c r="N620" s="0">
        <x:v>0</x:v>
      </x:c>
      <x:c r="O620" s="0" t="s">
        <x:v>1586</x:v>
      </x:c>
      <x:c r="S620" s="0">
        <x:v>0</x:v>
      </x:c>
      <x:c r="T620" s="0">
        <x:v>0</x:v>
      </x:c>
      <x:c r="V620" s="0">
        <x:v>0</x:v>
      </x:c>
      <x:c r="W620" s="21">
        <x:v>0</x:v>
      </x:c>
      <x:c r="X620" s="0">
        <x:v>0</x:v>
      </x:c>
      <x:c r="Y620" s="21">
        <x:v>0</x:v>
      </x:c>
      <x:c r="AK620" s="0" t="s">
        <x:v>1584</x:v>
      </x:c>
    </x:row>
    <x:row r="621" spans="1:37" x14ac:dyDescent="0.25">
      <x:c r="A621" s="0">
        <x:f>ROW(A621)-1</x:f>
      </x:c>
      <x:c r="F621" s="0" t="s">
        <x:v>1836</x:v>
      </x:c>
      <x:c r="G621" s="0" t="s">
        <x:v>1320</x:v>
      </x:c>
      <x:c r="M621" s="0">
        <x:v>0</x:v>
      </x:c>
      <x:c r="N621" s="0">
        <x:v>0</x:v>
      </x:c>
      <x:c r="O621" s="0" t="s">
        <x:v>1482</x:v>
      </x:c>
      <x:c r="S621" s="0">
        <x:v>0</x:v>
      </x:c>
      <x:c r="T621" s="0">
        <x:v>0</x:v>
      </x:c>
      <x:c r="V621" s="0">
        <x:v>0</x:v>
      </x:c>
      <x:c r="W621" s="21">
        <x:v>0</x:v>
      </x:c>
      <x:c r="X621" s="0">
        <x:v>0</x:v>
      </x:c>
      <x:c r="Y621" s="21">
        <x:v>0</x:v>
      </x:c>
      <x:c r="AK621" s="0" t="s">
        <x:v>1584</x:v>
      </x:c>
    </x:row>
    <x:row r="622" spans="1:37" x14ac:dyDescent="0.25">
      <x:c r="A622" s="0">
        <x:f>ROW(A622)-1</x:f>
      </x:c>
      <x:c r="F622" s="0" t="s">
        <x:v>1836</x:v>
      </x:c>
      <x:c r="G622" s="0" t="s">
        <x:v>1320</x:v>
      </x:c>
      <x:c r="M622" s="0">
        <x:v>0</x:v>
      </x:c>
      <x:c r="N622" s="0">
        <x:v>0</x:v>
      </x:c>
      <x:c r="O622" s="0" t="s">
        <x:v>1482</x:v>
      </x:c>
      <x:c r="S622" s="0">
        <x:v>0</x:v>
      </x:c>
      <x:c r="T622" s="0">
        <x:v>0</x:v>
      </x:c>
      <x:c r="V622" s="0">
        <x:v>0</x:v>
      </x:c>
      <x:c r="W622" s="21">
        <x:v>0</x:v>
      </x:c>
      <x:c r="X622" s="0">
        <x:v>0</x:v>
      </x:c>
      <x:c r="Y622" s="21">
        <x:v>0</x:v>
      </x:c>
      <x:c r="AK622" s="0" t="s">
        <x:v>1584</x:v>
      </x:c>
    </x:row>
    <x:row r="623" spans="1:37" x14ac:dyDescent="0.25">
      <x:c r="A623" s="0">
        <x:f>ROW(A623)-1</x:f>
      </x:c>
      <x:c r="F623" s="0" t="s">
        <x:v>1836</x:v>
      </x:c>
      <x:c r="G623" s="0" t="s">
        <x:v>1320</x:v>
      </x:c>
      <x:c r="M623" s="0">
        <x:v>1992</x:v>
      </x:c>
      <x:c r="N623" s="0">
        <x:v>0</x:v>
      </x:c>
      <x:c r="O623" s="0" t="s">
        <x:v>1482</x:v>
      </x:c>
      <x:c r="S623" s="0">
        <x:v>0</x:v>
      </x:c>
      <x:c r="T623" s="0">
        <x:v>0</x:v>
      </x:c>
      <x:c r="V623" s="0">
        <x:v>0</x:v>
      </x:c>
      <x:c r="W623" s="21">
        <x:v>0</x:v>
      </x:c>
      <x:c r="X623" s="0">
        <x:v>0</x:v>
      </x:c>
      <x:c r="Y623" s="21">
        <x:v>0</x:v>
      </x:c>
      <x:c r="AK623" s="0" t="s">
        <x:v>1584</x:v>
      </x:c>
    </x:row>
    <x:row r="624" spans="1:37" x14ac:dyDescent="0.25">
      <x:c r="A624" s="0">
        <x:f>ROW(A624)-1</x:f>
      </x:c>
      <x:c r="F624" s="0" t="s">
        <x:v>1836</x:v>
      </x:c>
      <x:c r="G624" s="0" t="s">
        <x:v>1320</x:v>
      </x:c>
      <x:c r="M624" s="0">
        <x:v>0</x:v>
      </x:c>
      <x:c r="N624" s="0">
        <x:v>0</x:v>
      </x:c>
      <x:c r="O624" s="0" t="s">
        <x:v>1482</x:v>
      </x:c>
      <x:c r="S624" s="0">
        <x:v>0</x:v>
      </x:c>
      <x:c r="T624" s="0">
        <x:v>0</x:v>
      </x:c>
      <x:c r="V624" s="0">
        <x:v>0</x:v>
      </x:c>
      <x:c r="W624" s="21">
        <x:v>0</x:v>
      </x:c>
      <x:c r="X624" s="0">
        <x:v>0</x:v>
      </x:c>
      <x:c r="Y624" s="21">
        <x:v>0</x:v>
      </x:c>
      <x:c r="AK624" s="0" t="s">
        <x:v>1584</x:v>
      </x:c>
    </x:row>
    <x:row r="625" spans="1:37" x14ac:dyDescent="0.25">
      <x:c r="A625" s="0">
        <x:f>ROW(A625)-1</x:f>
      </x:c>
      <x:c r="E625" s="0" t="s">
        <x:v>1840</x:v>
      </x:c>
      <x:c r="F625" s="0" t="s">
        <x:v>1841</x:v>
      </x:c>
      <x:c r="G625" s="0" t="s">
        <x:v>1320</x:v>
      </x:c>
      <x:c r="M625" s="0">
        <x:v>0</x:v>
      </x:c>
      <x:c r="N625" s="0">
        <x:v>0</x:v>
      </x:c>
      <x:c r="O625" s="0" t="s">
        <x:v>1533</x:v>
      </x:c>
      <x:c r="Q625" s="0" t="s">
        <x:v>1376</x:v>
      </x:c>
      <x:c r="S625" s="0">
        <x:v>0</x:v>
      </x:c>
      <x:c r="T625" s="0">
        <x:v>0</x:v>
      </x:c>
      <x:c r="V625" s="0">
        <x:v>0</x:v>
      </x:c>
      <x:c r="W625" s="21">
        <x:v>0</x:v>
      </x:c>
      <x:c r="X625" s="0">
        <x:v>0</x:v>
      </x:c>
      <x:c r="Y625" s="21">
        <x:v>0</x:v>
      </x:c>
      <x:c r="AK625" s="0" t="s">
        <x:v>1584</x:v>
      </x:c>
    </x:row>
    <x:row r="626" spans="1:37" x14ac:dyDescent="0.25">
      <x:c r="A626" s="0">
        <x:f>ROW(A626)-1</x:f>
      </x:c>
      <x:c r="E626" s="0" t="s">
        <x:v>1842</x:v>
      </x:c>
      <x:c r="F626" s="0" t="s">
        <x:v>1843</x:v>
      </x:c>
      <x:c r="G626" s="0" t="s">
        <x:v>1320</x:v>
      </x:c>
      <x:c r="M626" s="0">
        <x:v>0</x:v>
      </x:c>
      <x:c r="N626" s="0">
        <x:v>2002</x:v>
      </x:c>
      <x:c r="O626" s="0" t="s">
        <x:v>1482</x:v>
      </x:c>
      <x:c r="S626" s="0">
        <x:v>1922</x:v>
      </x:c>
      <x:c r="T626" s="0">
        <x:v>0</x:v>
      </x:c>
      <x:c r="V626" s="0">
        <x:v>136472</x:v>
      </x:c>
      <x:c r="W626" s="21">
        <x:v>0</x:v>
      </x:c>
      <x:c r="X626" s="0">
        <x:v>18467</x:v>
      </x:c>
      <x:c r="Y626" s="21">
        <x:v>0</x:v>
      </x:c>
      <x:c r="AK626" s="0" t="s">
        <x:v>1584</x:v>
      </x:c>
    </x:row>
    <x:row r="627" spans="1:37" x14ac:dyDescent="0.25">
      <x:c r="A627" s="0">
        <x:f>ROW(A627)-1</x:f>
      </x:c>
      <x:c r="F627" s="0" t="s">
        <x:v>1838</x:v>
      </x:c>
      <x:c r="G627" s="0" t="s">
        <x:v>1320</x:v>
      </x:c>
      <x:c r="M627" s="0">
        <x:v>1900</x:v>
      </x:c>
      <x:c r="N627" s="0">
        <x:v>2002</x:v>
      </x:c>
      <x:c r="O627" s="0" t="s">
        <x:v>1583</x:v>
      </x:c>
      <x:c r="S627" s="0">
        <x:v>0</x:v>
      </x:c>
      <x:c r="T627" s="0">
        <x:v>350</x:v>
      </x:c>
      <x:c r="V627" s="0">
        <x:v>53367</x:v>
      </x:c>
      <x:c r="W627" s="21">
        <x:v>0</x:v>
      </x:c>
      <x:c r="X627" s="0">
        <x:v>4428</x:v>
      </x:c>
      <x:c r="Y627" s="21">
        <x:v>0</x:v>
      </x:c>
      <x:c r="AK627" s="0" t="s">
        <x:v>1584</x:v>
      </x:c>
    </x:row>
    <x:row r="628" spans="1:37" x14ac:dyDescent="0.25">
      <x:c r="A628" s="0">
        <x:f>ROW(A628)-1</x:f>
      </x:c>
      <x:c r="F628" s="0" t="s">
        <x:v>1838</x:v>
      </x:c>
      <x:c r="G628" s="0" t="s">
        <x:v>1320</x:v>
      </x:c>
      <x:c r="M628" s="0">
        <x:v>1970</x:v>
      </x:c>
      <x:c r="N628" s="0">
        <x:v>2002</x:v>
      </x:c>
      <x:c r="O628" s="0" t="s">
        <x:v>1583</x:v>
      </x:c>
      <x:c r="S628" s="0">
        <x:v>190</x:v>
      </x:c>
      <x:c r="T628" s="0">
        <x:v>0</x:v>
      </x:c>
      <x:c r="V628" s="0">
        <x:v>40000</x:v>
      </x:c>
      <x:c r="W628" s="21">
        <x:v>0</x:v>
      </x:c>
      <x:c r="X628" s="0">
        <x:v>4300</x:v>
      </x:c>
      <x:c r="Y628" s="21">
        <x:v>0</x:v>
      </x:c>
      <x:c r="AK628" s="0" t="s">
        <x:v>1584</x:v>
      </x:c>
    </x:row>
    <x:row r="629" spans="1:37" x14ac:dyDescent="0.25">
      <x:c r="A629" s="0">
        <x:f>ROW(A629)-1</x:f>
      </x:c>
      <x:c r="E629" s="0" t="s">
        <x:v>1844</x:v>
      </x:c>
      <x:c r="F629" s="0" t="s">
        <x:v>1845</x:v>
      </x:c>
      <x:c r="G629" s="0" t="s">
        <x:v>1320</x:v>
      </x:c>
      <x:c r="M629" s="0">
        <x:v>0</x:v>
      </x:c>
      <x:c r="N629" s="0">
        <x:v>0</x:v>
      </x:c>
      <x:c r="O629" s="0" t="s">
        <x:v>1482</x:v>
      </x:c>
      <x:c r="S629" s="0">
        <x:v>0</x:v>
      </x:c>
      <x:c r="T629" s="0">
        <x:v>0</x:v>
      </x:c>
      <x:c r="V629" s="0">
        <x:v>0</x:v>
      </x:c>
      <x:c r="W629" s="21">
        <x:v>0</x:v>
      </x:c>
      <x:c r="X629" s="0">
        <x:v>0</x:v>
      </x:c>
      <x:c r="Y629" s="21">
        <x:v>0</x:v>
      </x:c>
      <x:c r="AK629" s="0" t="s">
        <x:v>1584</x:v>
      </x:c>
    </x:row>
    <x:row r="630" spans="1:37" x14ac:dyDescent="0.25">
      <x:c r="A630" s="0">
        <x:f>ROW(A630)-1</x:f>
      </x:c>
      <x:c r="F630" s="0" t="s">
        <x:v>1836</x:v>
      </x:c>
      <x:c r="G630" s="0" t="s">
        <x:v>1320</x:v>
      </x:c>
      <x:c r="M630" s="0">
        <x:v>1962</x:v>
      </x:c>
      <x:c r="N630" s="0">
        <x:v>2002</x:v>
      </x:c>
      <x:c r="O630" s="0" t="s">
        <x:v>1482</x:v>
      </x:c>
      <x:c r="S630" s="0">
        <x:v>200</x:v>
      </x:c>
      <x:c r="T630" s="0">
        <x:v>0</x:v>
      </x:c>
      <x:c r="V630" s="0">
        <x:v>35000</x:v>
      </x:c>
      <x:c r="W630" s="21">
        <x:v>0</x:v>
      </x:c>
      <x:c r="X630" s="0">
        <x:v>3195</x:v>
      </x:c>
      <x:c r="Y630" s="21">
        <x:v>0</x:v>
      </x:c>
      <x:c r="AK630" s="0" t="s">
        <x:v>1584</x:v>
      </x:c>
    </x:row>
    <x:row r="631" spans="1:37" x14ac:dyDescent="0.25">
      <x:c r="A631" s="0">
        <x:f>ROW(A631)-1</x:f>
      </x:c>
      <x:c r="E631" s="0" t="s">
        <x:v>1846</x:v>
      </x:c>
      <x:c r="F631" s="0" t="s">
        <x:v>1386</x:v>
      </x:c>
      <x:c r="G631" s="0" t="s">
        <x:v>1320</x:v>
      </x:c>
      <x:c r="M631" s="0">
        <x:v>0</x:v>
      </x:c>
      <x:c r="N631" s="0">
        <x:v>0</x:v>
      </x:c>
      <x:c r="O631" s="0" t="s">
        <x:v>1482</x:v>
      </x:c>
      <x:c r="S631" s="0">
        <x:v>0</x:v>
      </x:c>
      <x:c r="T631" s="0">
        <x:v>0</x:v>
      </x:c>
      <x:c r="V631" s="0">
        <x:v>0</x:v>
      </x:c>
      <x:c r="W631" s="21">
        <x:v>0</x:v>
      </x:c>
      <x:c r="X631" s="0">
        <x:v>0</x:v>
      </x:c>
      <x:c r="Y631" s="21">
        <x:v>0</x:v>
      </x:c>
      <x:c r="AK631" s="0" t="s">
        <x:v>1584</x:v>
      </x:c>
    </x:row>
    <x:row r="632" spans="1:37" x14ac:dyDescent="0.25">
      <x:c r="A632" s="0">
        <x:f>ROW(A632)-1</x:f>
      </x:c>
      <x:c r="F632" s="0" t="s">
        <x:v>1836</x:v>
      </x:c>
      <x:c r="G632" s="0" t="s">
        <x:v>1320</x:v>
      </x:c>
      <x:c r="M632" s="0">
        <x:v>1960</x:v>
      </x:c>
      <x:c r="N632" s="0">
        <x:v>2002</x:v>
      </x:c>
      <x:c r="O632" s="0" t="s">
        <x:v>1482</x:v>
      </x:c>
      <x:c r="S632" s="0">
        <x:v>170</x:v>
      </x:c>
      <x:c r="T632" s="0">
        <x:v>0</x:v>
      </x:c>
      <x:c r="V632" s="0">
        <x:v>0</x:v>
      </x:c>
      <x:c r="W632" s="21">
        <x:v>0</x:v>
      </x:c>
      <x:c r="X632" s="0">
        <x:v>0</x:v>
      </x:c>
      <x:c r="Y632" s="21">
        <x:v>0</x:v>
      </x:c>
      <x:c r="AK632" s="0" t="s">
        <x:v>1584</x:v>
      </x:c>
    </x:row>
    <x:row r="633" spans="1:37" x14ac:dyDescent="0.25">
      <x:c r="A633" s="0">
        <x:f>ROW(A633)-1</x:f>
      </x:c>
      <x:c r="G633" s="0" t="s">
        <x:v>1320</x:v>
      </x:c>
      <x:c r="M633" s="0">
        <x:v>0</x:v>
      </x:c>
      <x:c r="N633" s="0">
        <x:v>0</x:v>
      </x:c>
      <x:c r="S633" s="0">
        <x:v>0</x:v>
      </x:c>
      <x:c r="T633" s="0">
        <x:v>0</x:v>
      </x:c>
      <x:c r="V633" s="0">
        <x:v>0</x:v>
      </x:c>
      <x:c r="W633" s="21">
        <x:v>0</x:v>
      </x:c>
      <x:c r="X633" s="0">
        <x:v>0</x:v>
      </x:c>
      <x:c r="Y633" s="21">
        <x:v>0</x:v>
      </x:c>
      <x:c r="AK633" s="0" t="s">
        <x:v>1584</x:v>
      </x:c>
    </x:row>
    <x:row r="634" spans="1:37" x14ac:dyDescent="0.25">
      <x:c r="A634" s="0">
        <x:f>ROW(A634)-1</x:f>
      </x:c>
      <x:c r="F634" s="0" t="s">
        <x:v>1836</x:v>
      </x:c>
      <x:c r="G634" s="0" t="s">
        <x:v>1320</x:v>
      </x:c>
      <x:c r="M634" s="0">
        <x:v>1967</x:v>
      </x:c>
      <x:c r="N634" s="0">
        <x:v>2002</x:v>
      </x:c>
      <x:c r="O634" s="0" t="s">
        <x:v>1482</x:v>
      </x:c>
      <x:c r="S634" s="0">
        <x:v>176</x:v>
      </x:c>
      <x:c r="T634" s="0">
        <x:v>0</x:v>
      </x:c>
      <x:c r="V634" s="0">
        <x:v>27972</x:v>
      </x:c>
      <x:c r="W634" s="21">
        <x:v>0</x:v>
      </x:c>
      <x:c r="X634" s="0">
        <x:v>5500</x:v>
      </x:c>
      <x:c r="Y634" s="21">
        <x:v>0</x:v>
      </x:c>
      <x:c r="AK634" s="0" t="s">
        <x:v>1584</x:v>
      </x:c>
    </x:row>
    <x:row r="635" spans="1:37" x14ac:dyDescent="0.25">
      <x:c r="A635" s="0">
        <x:f>ROW(A635)-1</x:f>
      </x:c>
      <x:c r="F635" s="0" t="s">
        <x:v>1836</x:v>
      </x:c>
      <x:c r="G635" s="0" t="s">
        <x:v>1320</x:v>
      </x:c>
      <x:c r="M635" s="0">
        <x:v>0</x:v>
      </x:c>
      <x:c r="N635" s="0">
        <x:v>0</x:v>
      </x:c>
      <x:c r="O635" s="0" t="s">
        <x:v>1482</x:v>
      </x:c>
      <x:c r="S635" s="0">
        <x:v>0</x:v>
      </x:c>
      <x:c r="T635" s="0">
        <x:v>0</x:v>
      </x:c>
      <x:c r="V635" s="0">
        <x:v>0</x:v>
      </x:c>
      <x:c r="W635" s="21">
        <x:v>0</x:v>
      </x:c>
      <x:c r="X635" s="0">
        <x:v>0</x:v>
      </x:c>
      <x:c r="Y635" s="21">
        <x:v>0</x:v>
      </x:c>
      <x:c r="AK635" s="0" t="s">
        <x:v>1584</x:v>
      </x:c>
    </x:row>
    <x:row r="636" spans="1:37" x14ac:dyDescent="0.25">
      <x:c r="A636" s="0">
        <x:f>ROW(A636)-1</x:f>
      </x:c>
      <x:c r="G636" s="0" t="s">
        <x:v>1320</x:v>
      </x:c>
      <x:c r="M636" s="0">
        <x:v>0</x:v>
      </x:c>
      <x:c r="N636" s="0">
        <x:v>0</x:v>
      </x:c>
      <x:c r="S636" s="0">
        <x:v>0</x:v>
      </x:c>
      <x:c r="T636" s="0">
        <x:v>0</x:v>
      </x:c>
      <x:c r="V636" s="0">
        <x:v>0</x:v>
      </x:c>
      <x:c r="W636" s="21">
        <x:v>0</x:v>
      </x:c>
      <x:c r="X636" s="0">
        <x:v>0</x:v>
      </x:c>
      <x:c r="Y636" s="21">
        <x:v>0</x:v>
      </x:c>
      <x:c r="AK636" s="0" t="s">
        <x:v>1584</x:v>
      </x:c>
    </x:row>
    <x:row r="637" spans="1:37" x14ac:dyDescent="0.25">
      <x:c r="A637" s="0">
        <x:f>ROW(A637)-1</x:f>
      </x:c>
      <x:c r="F637" s="0" t="s">
        <x:v>1836</x:v>
      </x:c>
      <x:c r="G637" s="0" t="s">
        <x:v>1320</x:v>
      </x:c>
      <x:c r="M637" s="0">
        <x:v>0</x:v>
      </x:c>
      <x:c r="N637" s="0">
        <x:v>0</x:v>
      </x:c>
      <x:c r="O637" s="0" t="s">
        <x:v>1482</x:v>
      </x:c>
      <x:c r="S637" s="0">
        <x:v>0</x:v>
      </x:c>
      <x:c r="T637" s="0">
        <x:v>0</x:v>
      </x:c>
      <x:c r="V637" s="0">
        <x:v>0</x:v>
      </x:c>
      <x:c r="W637" s="21">
        <x:v>0</x:v>
      </x:c>
      <x:c r="X637" s="0">
        <x:v>0</x:v>
      </x:c>
      <x:c r="Y637" s="21">
        <x:v>0</x:v>
      </x:c>
      <x:c r="AK637" s="0" t="s">
        <x:v>1584</x:v>
      </x:c>
    </x:row>
    <x:row r="638" spans="1:37" x14ac:dyDescent="0.25">
      <x:c r="A638" s="0">
        <x:f>ROW(A638)-1</x:f>
      </x:c>
      <x:c r="F638" s="0" t="s">
        <x:v>1836</x:v>
      </x:c>
      <x:c r="G638" s="0" t="s">
        <x:v>1320</x:v>
      </x:c>
      <x:c r="M638" s="0">
        <x:v>0</x:v>
      </x:c>
      <x:c r="N638" s="0">
        <x:v>0</x:v>
      </x:c>
      <x:c r="O638" s="0" t="s">
        <x:v>1482</x:v>
      </x:c>
      <x:c r="S638" s="0">
        <x:v>0</x:v>
      </x:c>
      <x:c r="T638" s="0">
        <x:v>0</x:v>
      </x:c>
      <x:c r="V638" s="0">
        <x:v>0</x:v>
      </x:c>
      <x:c r="W638" s="21">
        <x:v>0</x:v>
      </x:c>
      <x:c r="X638" s="0">
        <x:v>0</x:v>
      </x:c>
      <x:c r="Y638" s="21">
        <x:v>0</x:v>
      </x:c>
      <x:c r="AK638" s="0" t="s">
        <x:v>1584</x:v>
      </x:c>
    </x:row>
    <x:row r="639" spans="1:37" x14ac:dyDescent="0.25">
      <x:c r="A639" s="0">
        <x:f>ROW(A639)-1</x:f>
      </x:c>
      <x:c r="E639" s="0" t="s">
        <x:v>1847</x:v>
      </x:c>
      <x:c r="F639" s="0" t="s">
        <x:v>1848</x:v>
      </x:c>
      <x:c r="G639" s="0" t="s">
        <x:v>1320</x:v>
      </x:c>
      <x:c r="M639" s="0">
        <x:v>0</x:v>
      </x:c>
      <x:c r="N639" s="0">
        <x:v>0</x:v>
      </x:c>
      <x:c r="O639" s="0" t="s">
        <x:v>1586</x:v>
      </x:c>
      <x:c r="Q639" s="0" t="s">
        <x:v>1376</x:v>
      </x:c>
      <x:c r="S639" s="0">
        <x:v>0</x:v>
      </x:c>
      <x:c r="T639" s="0">
        <x:v>0</x:v>
      </x:c>
      <x:c r="V639" s="0">
        <x:v>0</x:v>
      </x:c>
      <x:c r="W639" s="21">
        <x:v>0</x:v>
      </x:c>
      <x:c r="X639" s="0">
        <x:v>0</x:v>
      </x:c>
      <x:c r="Y639" s="21">
        <x:v>0</x:v>
      </x:c>
      <x:c r="AK639" s="0" t="s">
        <x:v>1584</x:v>
      </x:c>
    </x:row>
    <x:row r="640" spans="1:37" x14ac:dyDescent="0.25">
      <x:c r="A640" s="0">
        <x:f>ROW(A640)-1</x:f>
      </x:c>
      <x:c r="F640" s="0" t="s">
        <x:v>1838</x:v>
      </x:c>
      <x:c r="G640" s="0" t="s">
        <x:v>1320</x:v>
      </x:c>
      <x:c r="M640" s="0">
        <x:v>0</x:v>
      </x:c>
      <x:c r="N640" s="0">
        <x:v>0</x:v>
      </x:c>
      <x:c r="O640" s="0" t="s">
        <x:v>1583</x:v>
      </x:c>
      <x:c r="S640" s="0">
        <x:v>0</x:v>
      </x:c>
      <x:c r="T640" s="0">
        <x:v>0</x:v>
      </x:c>
      <x:c r="V640" s="0">
        <x:v>0</x:v>
      </x:c>
      <x:c r="W640" s="21">
        <x:v>0</x:v>
      </x:c>
      <x:c r="X640" s="0">
        <x:v>0</x:v>
      </x:c>
      <x:c r="Y640" s="21">
        <x:v>0</x:v>
      </x:c>
      <x:c r="AK640" s="0" t="s">
        <x:v>1584</x:v>
      </x:c>
    </x:row>
    <x:row r="641" spans="1:37" x14ac:dyDescent="0.25">
      <x:c r="A641" s="0">
        <x:f>ROW(A641)-1</x:f>
      </x:c>
      <x:c r="E641" s="0" t="s">
        <x:v>1821</x:v>
      </x:c>
      <x:c r="F641" s="0" t="s">
        <x:v>1821</x:v>
      </x:c>
      <x:c r="G641" s="0" t="s">
        <x:v>1320</x:v>
      </x:c>
      <x:c r="M641" s="0">
        <x:v>0</x:v>
      </x:c>
      <x:c r="N641" s="0">
        <x:v>2002</x:v>
      </x:c>
      <x:c r="O641" s="0" t="s">
        <x:v>1482</x:v>
      </x:c>
      <x:c r="S641" s="0">
        <x:v>285</x:v>
      </x:c>
      <x:c r="T641" s="0">
        <x:v>0</x:v>
      </x:c>
      <x:c r="V641" s="0">
        <x:v>22792</x:v>
      </x:c>
      <x:c r="W641" s="21">
        <x:v>0</x:v>
      </x:c>
      <x:c r="X641" s="0">
        <x:v>2258</x:v>
      </x:c>
      <x:c r="Y641" s="21">
        <x:v>0</x:v>
      </x:c>
      <x:c r="AK641" s="0" t="s">
        <x:v>1584</x:v>
      </x:c>
    </x:row>
    <x:row r="642" spans="1:37" x14ac:dyDescent="0.25">
      <x:c r="A642" s="0">
        <x:f>ROW(A642)-1</x:f>
      </x:c>
      <x:c r="F642" s="0" t="s">
        <x:v>1838</x:v>
      </x:c>
      <x:c r="G642" s="0" t="s">
        <x:v>1320</x:v>
      </x:c>
      <x:c r="M642" s="0">
        <x:v>0</x:v>
      </x:c>
      <x:c r="N642" s="0">
        <x:v>0</x:v>
      </x:c>
      <x:c r="O642" s="0" t="s">
        <x:v>1583</x:v>
      </x:c>
      <x:c r="S642" s="0">
        <x:v>0</x:v>
      </x:c>
      <x:c r="T642" s="0">
        <x:v>0</x:v>
      </x:c>
      <x:c r="V642" s="0">
        <x:v>0</x:v>
      </x:c>
      <x:c r="W642" s="21">
        <x:v>0</x:v>
      </x:c>
      <x:c r="X642" s="0">
        <x:v>0</x:v>
      </x:c>
      <x:c r="Y642" s="21">
        <x:v>0</x:v>
      </x:c>
      <x:c r="AK642" s="0" t="s">
        <x:v>1584</x:v>
      </x:c>
    </x:row>
    <x:row r="643" spans="1:37" x14ac:dyDescent="0.25">
      <x:c r="A643" s="0">
        <x:f>ROW(A643)-1</x:f>
      </x:c>
      <x:c r="F643" s="0" t="s">
        <x:v>1838</x:v>
      </x:c>
      <x:c r="G643" s="0" t="s">
        <x:v>1320</x:v>
      </x:c>
      <x:c r="M643" s="0">
        <x:v>0</x:v>
      </x:c>
      <x:c r="N643" s="0">
        <x:v>0</x:v>
      </x:c>
      <x:c r="O643" s="0" t="s">
        <x:v>1583</x:v>
      </x:c>
      <x:c r="S643" s="0">
        <x:v>0</x:v>
      </x:c>
      <x:c r="T643" s="0">
        <x:v>0</x:v>
      </x:c>
      <x:c r="V643" s="0">
        <x:v>0</x:v>
      </x:c>
      <x:c r="W643" s="21">
        <x:v>0</x:v>
      </x:c>
      <x:c r="X643" s="0">
        <x:v>0</x:v>
      </x:c>
      <x:c r="Y643" s="21">
        <x:v>0</x:v>
      </x:c>
      <x:c r="AK643" s="0" t="s">
        <x:v>1584</x:v>
      </x:c>
    </x:row>
    <x:row r="644" spans="1:37" x14ac:dyDescent="0.25">
      <x:c r="A644" s="0">
        <x:f>ROW(A644)-1</x:f>
      </x:c>
      <x:c r="F644" s="0" t="s">
        <x:v>1836</x:v>
      </x:c>
      <x:c r="G644" s="0" t="s">
        <x:v>1320</x:v>
      </x:c>
      <x:c r="M644" s="0">
        <x:v>0</x:v>
      </x:c>
      <x:c r="N644" s="0">
        <x:v>0</x:v>
      </x:c>
      <x:c r="O644" s="0" t="s">
        <x:v>1482</x:v>
      </x:c>
      <x:c r="S644" s="0">
        <x:v>0</x:v>
      </x:c>
      <x:c r="T644" s="0">
        <x:v>0</x:v>
      </x:c>
      <x:c r="V644" s="0">
        <x:v>0</x:v>
      </x:c>
      <x:c r="W644" s="21">
        <x:v>0</x:v>
      </x:c>
      <x:c r="X644" s="0">
        <x:v>0</x:v>
      </x:c>
      <x:c r="Y644" s="21">
        <x:v>0</x:v>
      </x:c>
      <x:c r="AK644" s="0" t="s">
        <x:v>1584</x:v>
      </x:c>
    </x:row>
    <x:row r="645" spans="1:37" x14ac:dyDescent="0.25">
      <x:c r="A645" s="0">
        <x:f>ROW(A645)-1</x:f>
      </x:c>
      <x:c r="F645" s="0" t="s">
        <x:v>1849</x:v>
      </x:c>
      <x:c r="G645" s="0" t="s">
        <x:v>1320</x:v>
      </x:c>
      <x:c r="M645" s="0">
        <x:v>0</x:v>
      </x:c>
      <x:c r="N645" s="0">
        <x:v>0</x:v>
      </x:c>
      <x:c r="O645" s="0" t="s">
        <x:v>1583</x:v>
      </x:c>
      <x:c r="S645" s="0">
        <x:v>0</x:v>
      </x:c>
      <x:c r="T645" s="0">
        <x:v>0</x:v>
      </x:c>
      <x:c r="V645" s="0">
        <x:v>0</x:v>
      </x:c>
      <x:c r="W645" s="21">
        <x:v>0</x:v>
      </x:c>
      <x:c r="X645" s="0">
        <x:v>0</x:v>
      </x:c>
      <x:c r="Y645" s="21">
        <x:v>0</x:v>
      </x:c>
      <x:c r="AK645" s="0" t="s">
        <x:v>1584</x:v>
      </x:c>
    </x:row>
    <x:row r="646" spans="1:37" x14ac:dyDescent="0.25">
      <x:c r="A646" s="0">
        <x:f>ROW(A646)-1</x:f>
      </x:c>
      <x:c r="F646" s="0" t="s">
        <x:v>1836</x:v>
      </x:c>
      <x:c r="G646" s="0" t="s">
        <x:v>1320</x:v>
      </x:c>
      <x:c r="M646" s="0">
        <x:v>0</x:v>
      </x:c>
      <x:c r="N646" s="0">
        <x:v>0</x:v>
      </x:c>
      <x:c r="O646" s="0" t="s">
        <x:v>1482</x:v>
      </x:c>
      <x:c r="S646" s="0">
        <x:v>0</x:v>
      </x:c>
      <x:c r="T646" s="0">
        <x:v>0</x:v>
      </x:c>
      <x:c r="V646" s="0">
        <x:v>0</x:v>
      </x:c>
      <x:c r="W646" s="21">
        <x:v>0</x:v>
      </x:c>
      <x:c r="X646" s="0">
        <x:v>0</x:v>
      </x:c>
      <x:c r="Y646" s="21">
        <x:v>0</x:v>
      </x:c>
      <x:c r="AK646" s="0" t="s">
        <x:v>1584</x:v>
      </x:c>
    </x:row>
    <x:row r="647" spans="1:37" x14ac:dyDescent="0.25">
      <x:c r="A647" s="0">
        <x:f>ROW(A647)-1</x:f>
      </x:c>
      <x:c r="F647" s="0" t="s">
        <x:v>1836</x:v>
      </x:c>
      <x:c r="G647" s="0" t="s">
        <x:v>1320</x:v>
      </x:c>
      <x:c r="M647" s="0">
        <x:v>0</x:v>
      </x:c>
      <x:c r="N647" s="0">
        <x:v>0</x:v>
      </x:c>
      <x:c r="O647" s="0" t="s">
        <x:v>1482</x:v>
      </x:c>
      <x:c r="S647" s="0">
        <x:v>0</x:v>
      </x:c>
      <x:c r="T647" s="0">
        <x:v>0</x:v>
      </x:c>
      <x:c r="V647" s="0">
        <x:v>0</x:v>
      </x:c>
      <x:c r="W647" s="21">
        <x:v>0</x:v>
      </x:c>
      <x:c r="X647" s="0">
        <x:v>0</x:v>
      </x:c>
      <x:c r="Y647" s="21">
        <x:v>0</x:v>
      </x:c>
      <x:c r="AK647" s="0" t="s">
        <x:v>1584</x:v>
      </x:c>
    </x:row>
    <x:row r="648" spans="1:37" x14ac:dyDescent="0.25">
      <x:c r="A648" s="0">
        <x:f>ROW(A648)-1</x:f>
      </x:c>
      <x:c r="F648" s="0" t="s">
        <x:v>1838</x:v>
      </x:c>
      <x:c r="G648" s="0" t="s">
        <x:v>1320</x:v>
      </x:c>
      <x:c r="M648" s="0">
        <x:v>0</x:v>
      </x:c>
      <x:c r="N648" s="0">
        <x:v>0</x:v>
      </x:c>
      <x:c r="O648" s="0" t="s">
        <x:v>1583</x:v>
      </x:c>
      <x:c r="S648" s="0">
        <x:v>0</x:v>
      </x:c>
      <x:c r="T648" s="0">
        <x:v>0</x:v>
      </x:c>
      <x:c r="V648" s="0">
        <x:v>0</x:v>
      </x:c>
      <x:c r="W648" s="21">
        <x:v>0</x:v>
      </x:c>
      <x:c r="X648" s="0">
        <x:v>0</x:v>
      </x:c>
      <x:c r="Y648" s="21">
        <x:v>0</x:v>
      </x:c>
      <x:c r="AK648" s="0" t="s">
        <x:v>1584</x:v>
      </x:c>
    </x:row>
    <x:row r="649" spans="1:37" x14ac:dyDescent="0.25">
      <x:c r="A649" s="0">
        <x:f>ROW(A649)-1</x:f>
      </x:c>
      <x:c r="F649" s="0" t="s">
        <x:v>1838</x:v>
      </x:c>
      <x:c r="G649" s="0" t="s">
        <x:v>1320</x:v>
      </x:c>
      <x:c r="M649" s="0">
        <x:v>0</x:v>
      </x:c>
      <x:c r="N649" s="0">
        <x:v>0</x:v>
      </x:c>
      <x:c r="O649" s="0" t="s">
        <x:v>1583</x:v>
      </x:c>
      <x:c r="S649" s="0">
        <x:v>0</x:v>
      </x:c>
      <x:c r="T649" s="0">
        <x:v>0</x:v>
      </x:c>
      <x:c r="V649" s="0">
        <x:v>0</x:v>
      </x:c>
      <x:c r="W649" s="21">
        <x:v>0</x:v>
      </x:c>
      <x:c r="X649" s="0">
        <x:v>0</x:v>
      </x:c>
      <x:c r="Y649" s="21">
        <x:v>0</x:v>
      </x:c>
      <x:c r="AK649" s="0" t="s">
        <x:v>1584</x:v>
      </x:c>
    </x:row>
    <x:row r="650" spans="1:37" x14ac:dyDescent="0.25">
      <x:c r="A650" s="0">
        <x:f>ROW(A650)-1</x:f>
      </x:c>
      <x:c r="F650" s="0" t="s">
        <x:v>1836</x:v>
      </x:c>
      <x:c r="G650" s="0" t="s">
        <x:v>1320</x:v>
      </x:c>
      <x:c r="M650" s="0">
        <x:v>1970</x:v>
      </x:c>
      <x:c r="N650" s="0">
        <x:v>2002</x:v>
      </x:c>
      <x:c r="S650" s="0">
        <x:v>200</x:v>
      </x:c>
      <x:c r="T650" s="0">
        <x:v>0</x:v>
      </x:c>
      <x:c r="V650" s="0">
        <x:v>31080</x:v>
      </x:c>
      <x:c r="W650" s="21">
        <x:v>0</x:v>
      </x:c>
      <x:c r="X650" s="0">
        <x:v>0</x:v>
      </x:c>
      <x:c r="Y650" s="21">
        <x:v>0</x:v>
      </x:c>
      <x:c r="AK650" s="0" t="s">
        <x:v>1584</x:v>
      </x:c>
    </x:row>
    <x:row r="651" spans="1:37" x14ac:dyDescent="0.25">
      <x:c r="A651" s="0">
        <x:f>ROW(A651)-1</x:f>
      </x:c>
      <x:c r="F651" s="0" t="s">
        <x:v>1850</x:v>
      </x:c>
      <x:c r="G651" s="0" t="s">
        <x:v>1320</x:v>
      </x:c>
      <x:c r="M651" s="0">
        <x:v>1900</x:v>
      </x:c>
      <x:c r="N651" s="0">
        <x:v>2002</x:v>
      </x:c>
      <x:c r="O651" s="0" t="s">
        <x:v>1362</x:v>
      </x:c>
      <x:c r="S651" s="0">
        <x:v>220</x:v>
      </x:c>
      <x:c r="T651" s="0">
        <x:v>0</x:v>
      </x:c>
      <x:c r="V651" s="0">
        <x:v>0</x:v>
      </x:c>
      <x:c r="W651" s="21">
        <x:v>0</x:v>
      </x:c>
      <x:c r="X651" s="0">
        <x:v>0</x:v>
      </x:c>
      <x:c r="Y651" s="21">
        <x:v>0</x:v>
      </x:c>
      <x:c r="AK651" s="0" t="s">
        <x:v>1584</x:v>
      </x:c>
    </x:row>
    <x:row r="652" spans="1:37" x14ac:dyDescent="0.25">
      <x:c r="A652" s="0">
        <x:f>ROW(A652)-1</x:f>
      </x:c>
      <x:c r="F652" s="0" t="s">
        <x:v>1838</x:v>
      </x:c>
      <x:c r="G652" s="0" t="s">
        <x:v>1320</x:v>
      </x:c>
      <x:c r="M652" s="0">
        <x:v>0</x:v>
      </x:c>
      <x:c r="N652" s="0">
        <x:v>0</x:v>
      </x:c>
      <x:c r="S652" s="0">
        <x:v>0</x:v>
      </x:c>
      <x:c r="T652" s="0">
        <x:v>0</x:v>
      </x:c>
      <x:c r="V652" s="0">
        <x:v>0</x:v>
      </x:c>
      <x:c r="W652" s="21">
        <x:v>0</x:v>
      </x:c>
      <x:c r="X652" s="0">
        <x:v>0</x:v>
      </x:c>
      <x:c r="Y652" s="21">
        <x:v>0</x:v>
      </x:c>
      <x:c r="AK652" s="0" t="s">
        <x:v>1584</x:v>
      </x:c>
    </x:row>
    <x:row r="653" spans="1:37" x14ac:dyDescent="0.25">
      <x:c r="A653" s="0">
        <x:f>ROW(A653)-1</x:f>
      </x:c>
      <x:c r="F653" s="0" t="s">
        <x:v>1836</x:v>
      </x:c>
      <x:c r="G653" s="0" t="s">
        <x:v>1320</x:v>
      </x:c>
      <x:c r="M653" s="0">
        <x:v>0</x:v>
      </x:c>
      <x:c r="N653" s="0">
        <x:v>0</x:v>
      </x:c>
      <x:c r="O653" s="0" t="s">
        <x:v>1482</x:v>
      </x:c>
      <x:c r="S653" s="0">
        <x:v>0</x:v>
      </x:c>
      <x:c r="T653" s="0">
        <x:v>0</x:v>
      </x:c>
      <x:c r="V653" s="0">
        <x:v>0</x:v>
      </x:c>
      <x:c r="W653" s="21">
        <x:v>0</x:v>
      </x:c>
      <x:c r="X653" s="0">
        <x:v>0</x:v>
      </x:c>
      <x:c r="Y653" s="21">
        <x:v>0</x:v>
      </x:c>
    </x:row>
    <x:row r="654" spans="1:37" x14ac:dyDescent="0.25">
      <x:c r="A654" s="0">
        <x:f>ROW(A654)-1</x:f>
      </x:c>
      <x:c r="F654" s="0" t="s">
        <x:v>1838</x:v>
      </x:c>
      <x:c r="G654" s="0" t="s">
        <x:v>1320</x:v>
      </x:c>
      <x:c r="M654" s="0">
        <x:v>0</x:v>
      </x:c>
      <x:c r="N654" s="0">
        <x:v>0</x:v>
      </x:c>
      <x:c r="O654" s="0" t="s">
        <x:v>1583</x:v>
      </x:c>
      <x:c r="S654" s="0">
        <x:v>0</x:v>
      </x:c>
      <x:c r="T654" s="0">
        <x:v>0</x:v>
      </x:c>
      <x:c r="V654" s="0">
        <x:v>0</x:v>
      </x:c>
      <x:c r="W654" s="21">
        <x:v>0</x:v>
      </x:c>
      <x:c r="X654" s="0">
        <x:v>0</x:v>
      </x:c>
      <x:c r="Y654" s="21">
        <x:v>0</x:v>
      </x:c>
      <x:c r="AK654" s="0" t="s">
        <x:v>1584</x:v>
      </x:c>
    </x:row>
    <x:row r="655" spans="1:37" x14ac:dyDescent="0.25">
      <x:c r="A655" s="0">
        <x:f>ROW(A655)-1</x:f>
      </x:c>
      <x:c r="E655" s="0" t="s">
        <x:v>1508</x:v>
      </x:c>
      <x:c r="F655" s="0" t="s">
        <x:v>1509</x:v>
      </x:c>
      <x:c r="G655" s="0" t="s">
        <x:v>1320</x:v>
      </x:c>
      <x:c r="M655" s="0">
        <x:v>0</x:v>
      </x:c>
      <x:c r="N655" s="0">
        <x:v>0</x:v>
      </x:c>
      <x:c r="O655" s="0" t="s">
        <x:v>1362</x:v>
      </x:c>
      <x:c r="S655" s="0">
        <x:v>0</x:v>
      </x:c>
      <x:c r="T655" s="0">
        <x:v>0</x:v>
      </x:c>
      <x:c r="V655" s="0">
        <x:v>0</x:v>
      </x:c>
      <x:c r="W655" s="21">
        <x:v>0</x:v>
      </x:c>
      <x:c r="X655" s="0">
        <x:v>0</x:v>
      </x:c>
      <x:c r="Y655" s="21">
        <x:v>0</x:v>
      </x:c>
      <x:c r="AK655" s="0" t="s">
        <x:v>1584</x:v>
      </x:c>
    </x:row>
    <x:row r="656" spans="1:37" x14ac:dyDescent="0.25">
      <x:c r="A656" s="0">
        <x:f>ROW(A656)-1</x:f>
      </x:c>
      <x:c r="E656" s="0" t="s">
        <x:v>1510</x:v>
      </x:c>
      <x:c r="F656" s="0" t="s">
        <x:v>1511</x:v>
      </x:c>
      <x:c r="G656" s="0" t="s">
        <x:v>1320</x:v>
      </x:c>
      <x:c r="M656" s="0">
        <x:v>1961</x:v>
      </x:c>
      <x:c r="N656" s="0">
        <x:v>2002</x:v>
      </x:c>
      <x:c r="O656" s="0" t="s">
        <x:v>1586</x:v>
      </x:c>
      <x:c r="S656" s="0">
        <x:v>1300</x:v>
      </x:c>
      <x:c r="T656" s="0">
        <x:v>0</x:v>
      </x:c>
      <x:c r="V656" s="0">
        <x:v>267000</x:v>
      </x:c>
      <x:c r="W656" s="21">
        <x:v>0</x:v>
      </x:c>
      <x:c r="X656" s="0">
        <x:v>28000</x:v>
      </x:c>
      <x:c r="Y656" s="21">
        <x:v>0</x:v>
      </x:c>
      <x:c r="AK656" s="0" t="s">
        <x:v>1584</x:v>
      </x:c>
    </x:row>
    <x:row r="657" spans="1:37" x14ac:dyDescent="0.25">
      <x:c r="A657" s="0">
        <x:f>ROW(A657)-1</x:f>
      </x:c>
      <x:c r="F657" s="0" t="s">
        <x:v>1836</x:v>
      </x:c>
      <x:c r="G657" s="0" t="s">
        <x:v>1320</x:v>
      </x:c>
      <x:c r="M657" s="0">
        <x:v>1810</x:v>
      </x:c>
      <x:c r="N657" s="0">
        <x:v>2002</x:v>
      </x:c>
      <x:c r="O657" s="0" t="s">
        <x:v>1482</x:v>
      </x:c>
      <x:c r="S657" s="0">
        <x:v>40</x:v>
      </x:c>
      <x:c r="T657" s="0">
        <x:v>0</x:v>
      </x:c>
      <x:c r="V657" s="0">
        <x:v>8000</x:v>
      </x:c>
      <x:c r="W657" s="21">
        <x:v>0</x:v>
      </x:c>
      <x:c r="X657" s="0">
        <x:v>2000</x:v>
      </x:c>
      <x:c r="Y657" s="21">
        <x:v>0</x:v>
      </x:c>
      <x:c r="AK657" s="0" t="s">
        <x:v>1584</x:v>
      </x:c>
    </x:row>
    <x:row r="658" spans="1:37" x14ac:dyDescent="0.25">
      <x:c r="A658" s="0">
        <x:f>ROW(A658)-1</x:f>
      </x:c>
      <x:c r="E658" s="0" t="s">
        <x:v>1851</x:v>
      </x:c>
      <x:c r="F658" s="0" t="s">
        <x:v>1852</x:v>
      </x:c>
      <x:c r="G658" s="0" t="s">
        <x:v>1320</x:v>
      </x:c>
      <x:c r="M658" s="0">
        <x:v>1967</x:v>
      </x:c>
      <x:c r="N658" s="0">
        <x:v>2002</x:v>
      </x:c>
      <x:c r="O658" s="0" t="s">
        <x:v>1362</x:v>
      </x:c>
      <x:c r="S658" s="0">
        <x:v>0</x:v>
      </x:c>
      <x:c r="T658" s="0">
        <x:v>6490</x:v>
      </x:c>
      <x:c r="V658" s="0">
        <x:v>477429</x:v>
      </x:c>
      <x:c r="W658" s="21">
        <x:v>0</x:v>
      </x:c>
      <x:c r="X658" s="0">
        <x:v>78049</x:v>
      </x:c>
      <x:c r="Y658" s="21">
        <x:v>0</x:v>
      </x:c>
      <x:c r="AK658" s="0" t="s">
        <x:v>1584</x:v>
      </x:c>
    </x:row>
    <x:row r="659" spans="1:37" x14ac:dyDescent="0.25">
      <x:c r="A659" s="0">
        <x:f>ROW(A659)-1</x:f>
      </x:c>
      <x:c r="F659" s="0" t="s">
        <x:v>1838</x:v>
      </x:c>
      <x:c r="G659" s="0" t="s">
        <x:v>1320</x:v>
      </x:c>
      <x:c r="M659" s="0">
        <x:v>2020</x:v>
      </x:c>
      <x:c r="N659" s="0">
        <x:v>0</x:v>
      </x:c>
      <x:c r="O659" s="0" t="s">
        <x:v>1583</x:v>
      </x:c>
      <x:c r="S659" s="0">
        <x:v>0</x:v>
      </x:c>
      <x:c r="T659" s="0">
        <x:v>0</x:v>
      </x:c>
      <x:c r="V659" s="0">
        <x:v>0</x:v>
      </x:c>
      <x:c r="W659" s="21">
        <x:v>0</x:v>
      </x:c>
      <x:c r="X659" s="0">
        <x:v>0</x:v>
      </x:c>
      <x:c r="Y659" s="21">
        <x:v>0</x:v>
      </x:c>
      <x:c r="AK659" s="0" t="s">
        <x:v>1584</x:v>
      </x:c>
    </x:row>
    <x:row r="660" spans="1:37" x14ac:dyDescent="0.25">
      <x:c r="A660" s="0">
        <x:f>ROW(A660)-1</x:f>
      </x:c>
      <x:c r="F660" s="0" t="s">
        <x:v>1838</x:v>
      </x:c>
      <x:c r="G660" s="0" t="s">
        <x:v>1320</x:v>
      </x:c>
      <x:c r="M660" s="0">
        <x:v>1900</x:v>
      </x:c>
      <x:c r="N660" s="0">
        <x:v>2002</x:v>
      </x:c>
      <x:c r="O660" s="0" t="s">
        <x:v>1583</x:v>
      </x:c>
      <x:c r="S660" s="0">
        <x:v>304</x:v>
      </x:c>
      <x:c r="T660" s="0">
        <x:v>0</x:v>
      </x:c>
      <x:c r="V660" s="0">
        <x:v>61290</x:v>
      </x:c>
      <x:c r="W660" s="21">
        <x:v>0</x:v>
      </x:c>
      <x:c r="X660" s="0">
        <x:v>5586</x:v>
      </x:c>
      <x:c r="Y660" s="21">
        <x:v>0</x:v>
      </x:c>
      <x:c r="AK660" s="0" t="s">
        <x:v>1584</x:v>
      </x:c>
    </x:row>
    <x:row r="661" spans="1:37" x14ac:dyDescent="0.25">
      <x:c r="A661" s="0">
        <x:f>ROW(A661)-1</x:f>
      </x:c>
      <x:c r="F661" s="0" t="s">
        <x:v>1836</x:v>
      </x:c>
      <x:c r="G661" s="0" t="s">
        <x:v>1320</x:v>
      </x:c>
      <x:c r="M661" s="0">
        <x:v>0</x:v>
      </x:c>
      <x:c r="N661" s="0">
        <x:v>0</x:v>
      </x:c>
      <x:c r="O661" s="0" t="s">
        <x:v>1482</x:v>
      </x:c>
      <x:c r="S661" s="0">
        <x:v>0</x:v>
      </x:c>
      <x:c r="T661" s="0">
        <x:v>0</x:v>
      </x:c>
      <x:c r="V661" s="0">
        <x:v>0</x:v>
      </x:c>
      <x:c r="W661" s="21">
        <x:v>0</x:v>
      </x:c>
      <x:c r="X661" s="0">
        <x:v>0</x:v>
      </x:c>
      <x:c r="Y661" s="21">
        <x:v>0</x:v>
      </x:c>
      <x:c r="AK661" s="0" t="s">
        <x:v>1584</x:v>
      </x:c>
    </x:row>
    <x:row r="662" spans="1:37" x14ac:dyDescent="0.25">
      <x:c r="A662" s="0">
        <x:f>ROW(A662)-1</x:f>
      </x:c>
      <x:c r="F662" s="0" t="s">
        <x:v>1838</x:v>
      </x:c>
      <x:c r="G662" s="0" t="s">
        <x:v>1320</x:v>
      </x:c>
      <x:c r="M662" s="0">
        <x:v>1900</x:v>
      </x:c>
      <x:c r="N662" s="0">
        <x:v>2002</x:v>
      </x:c>
      <x:c r="O662" s="0" t="s">
        <x:v>1583</x:v>
      </x:c>
      <x:c r="S662" s="0">
        <x:v>350</x:v>
      </x:c>
      <x:c r="T662" s="0">
        <x:v>0</x:v>
      </x:c>
      <x:c r="V662" s="0">
        <x:v>60000</x:v>
      </x:c>
      <x:c r="W662" s="21">
        <x:v>0</x:v>
      </x:c>
      <x:c r="X662" s="0">
        <x:v>13407</x:v>
      </x:c>
      <x:c r="Y662" s="21">
        <x:v>0</x:v>
      </x:c>
      <x:c r="AK662" s="0" t="s">
        <x:v>1584</x:v>
      </x:c>
    </x:row>
    <x:row r="663" spans="1:37" x14ac:dyDescent="0.25">
      <x:c r="A663" s="0">
        <x:f>ROW(A663)-1</x:f>
      </x:c>
      <x:c r="G663" s="0" t="s">
        <x:v>1320</x:v>
      </x:c>
      <x:c r="M663" s="0">
        <x:v>0</x:v>
      </x:c>
      <x:c r="N663" s="0">
        <x:v>0</x:v>
      </x:c>
      <x:c r="S663" s="0">
        <x:v>0</x:v>
      </x:c>
      <x:c r="T663" s="0">
        <x:v>0</x:v>
      </x:c>
      <x:c r="V663" s="0">
        <x:v>0</x:v>
      </x:c>
      <x:c r="W663" s="21">
        <x:v>0</x:v>
      </x:c>
      <x:c r="X663" s="0">
        <x:v>0</x:v>
      </x:c>
      <x:c r="Y663" s="21">
        <x:v>0</x:v>
      </x:c>
      <x:c r="AK663" s="0" t="s">
        <x:v>1584</x:v>
      </x:c>
    </x:row>
    <x:row r="664" spans="1:37" x14ac:dyDescent="0.25">
      <x:c r="A664" s="0">
        <x:f>ROW(A664)-1</x:f>
      </x:c>
      <x:c r="F664" s="0" t="s">
        <x:v>1836</x:v>
      </x:c>
      <x:c r="G664" s="0" t="s">
        <x:v>1320</x:v>
      </x:c>
      <x:c r="M664" s="0">
        <x:v>1904</x:v>
      </x:c>
      <x:c r="N664" s="0">
        <x:v>2002</x:v>
      </x:c>
      <x:c r="O664" s="0" t="s">
        <x:v>1482</x:v>
      </x:c>
      <x:c r="S664" s="0">
        <x:v>210</x:v>
      </x:c>
      <x:c r="T664" s="0">
        <x:v>0</x:v>
      </x:c>
      <x:c r="V664" s="0">
        <x:v>40000</x:v>
      </x:c>
      <x:c r="W664" s="21">
        <x:v>0</x:v>
      </x:c>
      <x:c r="X664" s="0">
        <x:v>4022</x:v>
      </x:c>
      <x:c r="Y664" s="21">
        <x:v>0</x:v>
      </x:c>
      <x:c r="AK664" s="0" t="s">
        <x:v>1584</x:v>
      </x:c>
    </x:row>
    <x:row r="665" spans="1:37" x14ac:dyDescent="0.25">
      <x:c r="A665" s="0">
        <x:f>ROW(A665)-1</x:f>
      </x:c>
      <x:c r="G665" s="0" t="s">
        <x:v>1320</x:v>
      </x:c>
      <x:c r="M665" s="0">
        <x:v>0</x:v>
      </x:c>
      <x:c r="N665" s="0">
        <x:v>0</x:v>
      </x:c>
      <x:c r="S665" s="0">
        <x:v>0</x:v>
      </x:c>
      <x:c r="T665" s="0">
        <x:v>0</x:v>
      </x:c>
      <x:c r="V665" s="0">
        <x:v>0</x:v>
      </x:c>
      <x:c r="W665" s="21">
        <x:v>0</x:v>
      </x:c>
      <x:c r="X665" s="0">
        <x:v>0</x:v>
      </x:c>
      <x:c r="Y665" s="21">
        <x:v>0</x:v>
      </x:c>
      <x:c r="AK665" s="0" t="s">
        <x:v>1584</x:v>
      </x:c>
    </x:row>
    <x:row r="666" spans="1:37" x14ac:dyDescent="0.25">
      <x:c r="A666" s="0">
        <x:f>ROW(A666)-1</x:f>
      </x:c>
      <x:c r="F666" s="0" t="s">
        <x:v>1836</x:v>
      </x:c>
      <x:c r="G666" s="0" t="s">
        <x:v>1320</x:v>
      </x:c>
      <x:c r="M666" s="0">
        <x:v>0</x:v>
      </x:c>
      <x:c r="N666" s="0">
        <x:v>0</x:v>
      </x:c>
      <x:c r="O666" s="0" t="s">
        <x:v>1482</x:v>
      </x:c>
      <x:c r="S666" s="0">
        <x:v>0</x:v>
      </x:c>
      <x:c r="T666" s="0">
        <x:v>0</x:v>
      </x:c>
      <x:c r="V666" s="0">
        <x:v>0</x:v>
      </x:c>
      <x:c r="W666" s="21">
        <x:v>0</x:v>
      </x:c>
      <x:c r="X666" s="0">
        <x:v>0</x:v>
      </x:c>
      <x:c r="Y666" s="21">
        <x:v>0</x:v>
      </x:c>
      <x:c r="AK666" s="0" t="s">
        <x:v>1584</x:v>
      </x:c>
    </x:row>
    <x:row r="667" spans="1:37" x14ac:dyDescent="0.25">
      <x:c r="A667" s="0">
        <x:f>ROW(A667)-1</x:f>
      </x:c>
      <x:c r="G667" s="0" t="s">
        <x:v>1320</x:v>
      </x:c>
      <x:c r="M667" s="0">
        <x:v>0</x:v>
      </x:c>
      <x:c r="N667" s="0">
        <x:v>0</x:v>
      </x:c>
      <x:c r="S667" s="0">
        <x:v>0</x:v>
      </x:c>
      <x:c r="T667" s="0">
        <x:v>0</x:v>
      </x:c>
      <x:c r="V667" s="0">
        <x:v>0</x:v>
      </x:c>
      <x:c r="W667" s="21">
        <x:v>0</x:v>
      </x:c>
      <x:c r="X667" s="0">
        <x:v>0</x:v>
      </x:c>
      <x:c r="Y667" s="21">
        <x:v>0</x:v>
      </x:c>
      <x:c r="AK667" s="0" t="s">
        <x:v>1584</x:v>
      </x:c>
    </x:row>
    <x:row r="668" spans="1:37" x14ac:dyDescent="0.25">
      <x:c r="A668" s="0">
        <x:f>ROW(A668)-1</x:f>
      </x:c>
      <x:c r="F668" s="0" t="s">
        <x:v>1838</x:v>
      </x:c>
      <x:c r="G668" s="0" t="s">
        <x:v>1320</x:v>
      </x:c>
      <x:c r="M668" s="0">
        <x:v>1900</x:v>
      </x:c>
      <x:c r="N668" s="0">
        <x:v>2002</x:v>
      </x:c>
      <x:c r="O668" s="0" t="s">
        <x:v>1583</x:v>
      </x:c>
      <x:c r="S668" s="0">
        <x:v>192</x:v>
      </x:c>
      <x:c r="T668" s="0">
        <x:v>0</x:v>
      </x:c>
      <x:c r="V668" s="0">
        <x:v>28000</x:v>
      </x:c>
      <x:c r="W668" s="21">
        <x:v>0</x:v>
      </x:c>
      <x:c r="X668" s="0">
        <x:v>1005</x:v>
      </x:c>
      <x:c r="Y668" s="21">
        <x:v>0</x:v>
      </x:c>
      <x:c r="AK668" s="0" t="s">
        <x:v>1584</x:v>
      </x:c>
    </x:row>
    <x:row r="669" spans="1:37" x14ac:dyDescent="0.25">
      <x:c r="A669" s="0">
        <x:f>ROW(A669)-1</x:f>
      </x:c>
      <x:c r="G669" s="0" t="s">
        <x:v>1320</x:v>
      </x:c>
      <x:c r="M669" s="0">
        <x:v>0</x:v>
      </x:c>
      <x:c r="N669" s="0">
        <x:v>0</x:v>
      </x:c>
      <x:c r="S669" s="0">
        <x:v>0</x:v>
      </x:c>
      <x:c r="T669" s="0">
        <x:v>0</x:v>
      </x:c>
      <x:c r="V669" s="0">
        <x:v>0</x:v>
      </x:c>
      <x:c r="W669" s="21">
        <x:v>0</x:v>
      </x:c>
      <x:c r="X669" s="0">
        <x:v>0</x:v>
      </x:c>
      <x:c r="Y669" s="21">
        <x:v>0</x:v>
      </x:c>
      <x:c r="AK669" s="0" t="s">
        <x:v>1584</x:v>
      </x:c>
    </x:row>
    <x:row r="670" spans="1:37" x14ac:dyDescent="0.25">
      <x:c r="A670" s="0">
        <x:f>ROW(A670)-1</x:f>
      </x:c>
      <x:c r="F670" s="0" t="s">
        <x:v>1838</x:v>
      </x:c>
      <x:c r="G670" s="0" t="s">
        <x:v>1320</x:v>
      </x:c>
      <x:c r="M670" s="0">
        <x:v>1900</x:v>
      </x:c>
      <x:c r="N670" s="0">
        <x:v>2002</x:v>
      </x:c>
      <x:c r="O670" s="0" t="s">
        <x:v>1583</x:v>
      </x:c>
      <x:c r="S670" s="0">
        <x:v>240</x:v>
      </x:c>
      <x:c r="T670" s="0">
        <x:v>0</x:v>
      </x:c>
      <x:c r="V670" s="0">
        <x:v>30831</x:v>
      </x:c>
      <x:c r="W670" s="21">
        <x:v>0</x:v>
      </x:c>
      <x:c r="X670" s="0">
        <x:v>8938</x:v>
      </x:c>
      <x:c r="Y670" s="21">
        <x:v>0</x:v>
      </x:c>
      <x:c r="AK670" s="0" t="s">
        <x:v>1584</x:v>
      </x:c>
    </x:row>
    <x:row r="671" spans="1:37" x14ac:dyDescent="0.25">
      <x:c r="A671" s="0">
        <x:f>ROW(A671)-1</x:f>
      </x:c>
      <x:c r="E671" s="0" t="s">
        <x:v>1853</x:v>
      </x:c>
      <x:c r="F671" s="0" t="s">
        <x:v>1854</x:v>
      </x:c>
      <x:c r="G671" s="0" t="s">
        <x:v>1320</x:v>
      </x:c>
      <x:c r="M671" s="0">
        <x:v>1905</x:v>
      </x:c>
      <x:c r="N671" s="0">
        <x:v>2002</x:v>
      </x:c>
      <x:c r="O671" s="0" t="s">
        <x:v>1583</x:v>
      </x:c>
      <x:c r="S671" s="0">
        <x:v>262</x:v>
      </x:c>
      <x:c r="T671" s="0">
        <x:v>0</x:v>
      </x:c>
      <x:c r="V671" s="0">
        <x:v>37773</x:v>
      </x:c>
      <x:c r="W671" s="21">
        <x:v>0</x:v>
      </x:c>
      <x:c r="X671" s="0">
        <x:v>12012</x:v>
      </x:c>
      <x:c r="Y671" s="21">
        <x:v>0</x:v>
      </x:c>
      <x:c r="AK671" s="0" t="s">
        <x:v>1584</x:v>
      </x:c>
    </x:row>
    <x:row r="672" spans="1:37" x14ac:dyDescent="0.25">
      <x:c r="A672" s="0">
        <x:f>ROW(A672)-1</x:f>
      </x:c>
      <x:c r="F672" s="0" t="s">
        <x:v>1836</x:v>
      </x:c>
      <x:c r="G672" s="0" t="s">
        <x:v>1320</x:v>
      </x:c>
      <x:c r="M672" s="0">
        <x:v>1954</x:v>
      </x:c>
      <x:c r="N672" s="0">
        <x:v>2002</x:v>
      </x:c>
      <x:c r="S672" s="0">
        <x:v>270</x:v>
      </x:c>
      <x:c r="T672" s="0">
        <x:v>0</x:v>
      </x:c>
      <x:c r="V672" s="0">
        <x:v>30000</x:v>
      </x:c>
      <x:c r="W672" s="21">
        <x:v>0</x:v>
      </x:c>
      <x:c r="X672" s="0">
        <x:v>0</x:v>
      </x:c>
      <x:c r="Y672" s="21">
        <x:v>0</x:v>
      </x:c>
      <x:c r="AK672" s="0" t="s">
        <x:v>1584</x:v>
      </x:c>
    </x:row>
    <x:row r="673" spans="1:37" x14ac:dyDescent="0.25">
      <x:c r="A673" s="0">
        <x:f>ROW(A673)-1</x:f>
      </x:c>
      <x:c r="F673" s="0" t="s">
        <x:v>1855</x:v>
      </x:c>
      <x:c r="G673" s="0" t="s">
        <x:v>1320</x:v>
      </x:c>
      <x:c r="M673" s="0">
        <x:v>0</x:v>
      </x:c>
      <x:c r="N673" s="0">
        <x:v>0</x:v>
      </x:c>
      <x:c r="S673" s="0">
        <x:v>0</x:v>
      </x:c>
      <x:c r="T673" s="0">
        <x:v>0</x:v>
      </x:c>
      <x:c r="V673" s="0">
        <x:v>0</x:v>
      </x:c>
      <x:c r="W673" s="21">
        <x:v>0</x:v>
      </x:c>
      <x:c r="X673" s="0">
        <x:v>0</x:v>
      </x:c>
      <x:c r="Y673" s="21">
        <x:v>0</x:v>
      </x:c>
      <x:c r="AK673" s="0" t="s">
        <x:v>1584</x:v>
      </x:c>
    </x:row>
    <x:row r="674" spans="1:37" x14ac:dyDescent="0.25">
      <x:c r="A674" s="0">
        <x:f>ROW(A674)-1</x:f>
      </x:c>
      <x:c r="F674" s="0" t="s">
        <x:v>1836</x:v>
      </x:c>
      <x:c r="G674" s="0" t="s">
        <x:v>1320</x:v>
      </x:c>
      <x:c r="M674" s="0">
        <x:v>0</x:v>
      </x:c>
      <x:c r="N674" s="0">
        <x:v>0</x:v>
      </x:c>
      <x:c r="S674" s="0">
        <x:v>0</x:v>
      </x:c>
      <x:c r="T674" s="0">
        <x:v>0</x:v>
      </x:c>
      <x:c r="V674" s="0">
        <x:v>0</x:v>
      </x:c>
      <x:c r="W674" s="21">
        <x:v>0</x:v>
      </x:c>
      <x:c r="X674" s="0">
        <x:v>0</x:v>
      </x:c>
      <x:c r="Y674" s="21">
        <x:v>0</x:v>
      </x:c>
      <x:c r="AK674" s="0" t="s">
        <x:v>1584</x:v>
      </x:c>
    </x:row>
    <x:row r="675" spans="1:37" x14ac:dyDescent="0.25">
      <x:c r="A675" s="0">
        <x:f>ROW(A675)-1</x:f>
      </x:c>
      <x:c r="F675" s="0" t="s">
        <x:v>1836</x:v>
      </x:c>
      <x:c r="G675" s="0" t="s">
        <x:v>1320</x:v>
      </x:c>
      <x:c r="M675" s="0">
        <x:v>1905</x:v>
      </x:c>
      <x:c r="N675" s="0">
        <x:v>2002</x:v>
      </x:c>
      <x:c r="O675" s="0" t="s">
        <x:v>1482</x:v>
      </x:c>
      <x:c r="S675" s="0">
        <x:v>195</x:v>
      </x:c>
      <x:c r="T675" s="0">
        <x:v>0</x:v>
      </x:c>
      <x:c r="V675" s="0">
        <x:v>45000</x:v>
      </x:c>
      <x:c r="W675" s="21">
        <x:v>0</x:v>
      </x:c>
      <x:c r="X675" s="0">
        <x:v>12400</x:v>
      </x:c>
      <x:c r="Y675" s="21">
        <x:v>0</x:v>
      </x:c>
      <x:c r="AK675" s="0" t="s">
        <x:v>1584</x:v>
      </x:c>
    </x:row>
    <x:row r="676" spans="1:37" x14ac:dyDescent="0.25">
      <x:c r="A676" s="0">
        <x:f>ROW(A676)-1</x:f>
      </x:c>
      <x:c r="F676" s="0" t="s">
        <x:v>1836</x:v>
      </x:c>
      <x:c r="G676" s="0" t="s">
        <x:v>1320</x:v>
      </x:c>
      <x:c r="M676" s="0">
        <x:v>0</x:v>
      </x:c>
      <x:c r="N676" s="0">
        <x:v>0</x:v>
      </x:c>
      <x:c r="O676" s="0" t="s">
        <x:v>1482</x:v>
      </x:c>
      <x:c r="S676" s="0">
        <x:v>0</x:v>
      </x:c>
      <x:c r="T676" s="0">
        <x:v>0</x:v>
      </x:c>
      <x:c r="V676" s="0">
        <x:v>0</x:v>
      </x:c>
      <x:c r="W676" s="21">
        <x:v>0</x:v>
      </x:c>
      <x:c r="X676" s="0">
        <x:v>0</x:v>
      </x:c>
      <x:c r="Y676" s="21">
        <x:v>0</x:v>
      </x:c>
      <x:c r="AK676" s="0" t="s">
        <x:v>1584</x:v>
      </x:c>
    </x:row>
    <x:row r="677" spans="1:37" x14ac:dyDescent="0.25">
      <x:c r="A677" s="0">
        <x:f>ROW(A677)-1</x:f>
      </x:c>
      <x:c r="F677" s="0" t="s">
        <x:v>1836</x:v>
      </x:c>
      <x:c r="G677" s="0" t="s">
        <x:v>1320</x:v>
      </x:c>
      <x:c r="M677" s="0">
        <x:v>0</x:v>
      </x:c>
      <x:c r="N677" s="0">
        <x:v>2002</x:v>
      </x:c>
      <x:c r="S677" s="0">
        <x:v>132</x:v>
      </x:c>
      <x:c r="T677" s="0">
        <x:v>1913</x:v>
      </x:c>
      <x:c r="V677" s="0">
        <x:v>32651</x:v>
      </x:c>
      <x:c r="W677" s="21">
        <x:v>0</x:v>
      </x:c>
      <x:c r="X677" s="0">
        <x:v>4150</x:v>
      </x:c>
      <x:c r="Y677" s="21">
        <x:v>0</x:v>
      </x:c>
      <x:c r="AK677" s="0" t="s">
        <x:v>1584</x:v>
      </x:c>
    </x:row>
    <x:row r="678" spans="1:37" x14ac:dyDescent="0.25">
      <x:c r="A678" s="0">
        <x:f>ROW(A678)-1</x:f>
      </x:c>
      <x:c r="E678" s="0" t="s">
        <x:v>1856</x:v>
      </x:c>
      <x:c r="F678" s="0" t="s">
        <x:v>1836</x:v>
      </x:c>
      <x:c r="G678" s="0" t="s">
        <x:v>1320</x:v>
      </x:c>
      <x:c r="M678" s="0">
        <x:v>1911</x:v>
      </x:c>
      <x:c r="N678" s="0">
        <x:v>2002</x:v>
      </x:c>
      <x:c r="O678" s="0" t="s">
        <x:v>1482</x:v>
      </x:c>
      <x:c r="S678" s="0">
        <x:v>204</x:v>
      </x:c>
      <x:c r="T678" s="0">
        <x:v>0</x:v>
      </x:c>
      <x:c r="V678" s="0">
        <x:v>24667</x:v>
      </x:c>
      <x:c r="W678" s="21">
        <x:v>0</x:v>
      </x:c>
      <x:c r="X678" s="0">
        <x:v>4470</x:v>
      </x:c>
      <x:c r="Y678" s="21">
        <x:v>0</x:v>
      </x:c>
      <x:c r="AK678" s="0" t="s">
        <x:v>1584</x:v>
      </x:c>
    </x:row>
    <x:row r="679" spans="1:37" x14ac:dyDescent="0.25">
      <x:c r="A679" s="0">
        <x:f>ROW(A679)-1</x:f>
      </x:c>
      <x:c r="F679" s="0" t="s">
        <x:v>1836</x:v>
      </x:c>
      <x:c r="G679" s="0" t="s">
        <x:v>1320</x:v>
      </x:c>
      <x:c r="M679" s="0">
        <x:v>1911</x:v>
      </x:c>
      <x:c r="N679" s="0">
        <x:v>2002</x:v>
      </x:c>
      <x:c r="O679" s="0" t="s">
        <x:v>1482</x:v>
      </x:c>
      <x:c r="S679" s="0">
        <x:v>168</x:v>
      </x:c>
      <x:c r="T679" s="0">
        <x:v>0</x:v>
      </x:c>
      <x:c r="V679" s="0">
        <x:v>32841</x:v>
      </x:c>
      <x:c r="W679" s="21">
        <x:v>0</x:v>
      </x:c>
      <x:c r="X679" s="0">
        <x:v>3900</x:v>
      </x:c>
      <x:c r="Y679" s="21">
        <x:v>0</x:v>
      </x:c>
      <x:c r="AK679" s="0" t="s">
        <x:v>1584</x:v>
      </x:c>
    </x:row>
    <x:row r="680" spans="1:37" x14ac:dyDescent="0.25">
      <x:c r="A680" s="0">
        <x:f>ROW(A680)-1</x:f>
      </x:c>
      <x:c r="F680" s="0" t="s">
        <x:v>1836</x:v>
      </x:c>
      <x:c r="G680" s="0" t="s">
        <x:v>1320</x:v>
      </x:c>
      <x:c r="M680" s="0">
        <x:v>1913</x:v>
      </x:c>
      <x:c r="N680" s="0">
        <x:v>2002</x:v>
      </x:c>
      <x:c r="S680" s="0">
        <x:v>0</x:v>
      </x:c>
      <x:c r="T680" s="0">
        <x:v>0</x:v>
      </x:c>
      <x:c r="V680" s="0">
        <x:v>0</x:v>
      </x:c>
      <x:c r="W680" s="21">
        <x:v>0</x:v>
      </x:c>
      <x:c r="X680" s="0">
        <x:v>0</x:v>
      </x:c>
      <x:c r="Y680" s="21">
        <x:v>0</x:v>
      </x:c>
      <x:c r="AK680" s="0" t="s">
        <x:v>1584</x:v>
      </x:c>
    </x:row>
    <x:row r="681" spans="1:37" x14ac:dyDescent="0.25">
      <x:c r="A681" s="0">
        <x:f>ROW(A681)-1</x:f>
      </x:c>
      <x:c r="E681" s="0" t="s">
        <x:v>1857</x:v>
      </x:c>
      <x:c r="F681" s="0" t="s">
        <x:v>1850</x:v>
      </x:c>
      <x:c r="G681" s="0" t="s">
        <x:v>1320</x:v>
      </x:c>
      <x:c r="M681" s="0">
        <x:v>1930</x:v>
      </x:c>
      <x:c r="N681" s="0">
        <x:v>2002</x:v>
      </x:c>
      <x:c r="O681" s="0" t="s">
        <x:v>1617</x:v>
      </x:c>
      <x:c r="S681" s="0">
        <x:v>2650</x:v>
      </x:c>
      <x:c r="T681" s="0">
        <x:v>0</x:v>
      </x:c>
      <x:c r="V681" s="0">
        <x:v>248640</x:v>
      </x:c>
      <x:c r="W681" s="21">
        <x:v>0</x:v>
      </x:c>
      <x:c r="X681" s="0">
        <x:v>39000</x:v>
      </x:c>
      <x:c r="Y681" s="21">
        <x:v>0</x:v>
      </x:c>
      <x:c r="AK681" s="0" t="s">
        <x:v>1584</x:v>
      </x:c>
    </x:row>
    <x:row r="682" spans="1:37" x14ac:dyDescent="0.25">
      <x:c r="A682" s="0">
        <x:f>ROW(A682)-1</x:f>
      </x:c>
      <x:c r="E682" s="0" t="s">
        <x:v>1858</x:v>
      </x:c>
      <x:c r="F682" s="0" t="s">
        <x:v>1850</x:v>
      </x:c>
      <x:c r="G682" s="0" t="s">
        <x:v>1320</x:v>
      </x:c>
      <x:c r="M682" s="0">
        <x:v>0</x:v>
      </x:c>
      <x:c r="N682" s="0">
        <x:v>2002</x:v>
      </x:c>
      <x:c r="S682" s="0">
        <x:v>500</x:v>
      </x:c>
      <x:c r="T682" s="0">
        <x:v>0</x:v>
      </x:c>
      <x:c r="V682" s="0">
        <x:v>7616</x:v>
      </x:c>
      <x:c r="W682" s="21">
        <x:v>0</x:v>
      </x:c>
      <x:c r="X682" s="0">
        <x:v>16337</x:v>
      </x:c>
      <x:c r="Y682" s="21">
        <x:v>0</x:v>
      </x:c>
      <x:c r="AK682" s="0" t="s">
        <x:v>1584</x:v>
      </x:c>
    </x:row>
    <x:row r="683" spans="1:37" x14ac:dyDescent="0.25">
      <x:c r="A683" s="0">
        <x:f>ROW(A683)-1</x:f>
      </x:c>
      <x:c r="G683" s="0" t="s">
        <x:v>1320</x:v>
      </x:c>
      <x:c r="M683" s="0">
        <x:v>1903</x:v>
      </x:c>
      <x:c r="N683" s="0">
        <x:v>2002</x:v>
      </x:c>
      <x:c r="S683" s="0">
        <x:v>240</x:v>
      </x:c>
      <x:c r="T683" s="0">
        <x:v>0</x:v>
      </x:c>
      <x:c r="V683" s="0">
        <x:v>50000</x:v>
      </x:c>
      <x:c r="W683" s="21">
        <x:v>0</x:v>
      </x:c>
      <x:c r="X683" s="0">
        <x:v>8223</x:v>
      </x:c>
      <x:c r="Y683" s="21">
        <x:v>0</x:v>
      </x:c>
      <x:c r="AK683" s="0" t="s">
        <x:v>1584</x:v>
      </x:c>
    </x:row>
    <x:row r="684" spans="1:37" x14ac:dyDescent="0.25">
      <x:c r="A684" s="0">
        <x:f>ROW(A684)-1</x:f>
      </x:c>
      <x:c r="G684" s="0" t="s">
        <x:v>1320</x:v>
      </x:c>
      <x:c r="M684" s="0">
        <x:v>1900</x:v>
      </x:c>
      <x:c r="N684" s="0">
        <x:v>2002</x:v>
      </x:c>
      <x:c r="O684" s="0" t="s">
        <x:v>1482</x:v>
      </x:c>
      <x:c r="S684" s="0">
        <x:v>156</x:v>
      </x:c>
      <x:c r="T684" s="0">
        <x:v>0</x:v>
      </x:c>
      <x:c r="V684" s="0">
        <x:v>33991</x:v>
      </x:c>
      <x:c r="W684" s="21">
        <x:v>0</x:v>
      </x:c>
      <x:c r="X684" s="0">
        <x:v>1093</x:v>
      </x:c>
      <x:c r="Y684" s="21">
        <x:v>0</x:v>
      </x:c>
      <x:c r="AK684" s="0" t="s">
        <x:v>1584</x:v>
      </x:c>
    </x:row>
    <x:row r="685" spans="1:37" x14ac:dyDescent="0.25">
      <x:c r="A685" s="0">
        <x:f>ROW(A685)-1</x:f>
      </x:c>
      <x:c r="F685" s="0" t="s">
        <x:v>1838</x:v>
      </x:c>
      <x:c r="G685" s="0" t="s">
        <x:v>1320</x:v>
      </x:c>
      <x:c r="M685" s="0">
        <x:v>0</x:v>
      </x:c>
      <x:c r="N685" s="0">
        <x:v>2002</x:v>
      </x:c>
      <x:c r="O685" s="0" t="s">
        <x:v>1583</x:v>
      </x:c>
      <x:c r="S685" s="0">
        <x:v>0</x:v>
      </x:c>
      <x:c r="T685" s="0">
        <x:v>0</x:v>
      </x:c>
      <x:c r="V685" s="0">
        <x:v>0</x:v>
      </x:c>
      <x:c r="W685" s="21">
        <x:v>0</x:v>
      </x:c>
      <x:c r="X685" s="0">
        <x:v>0</x:v>
      </x:c>
      <x:c r="Y685" s="21">
        <x:v>0</x:v>
      </x:c>
      <x:c r="AK685" s="0" t="s">
        <x:v>1584</x:v>
      </x:c>
    </x:row>
    <x:row r="686" spans="1:37" x14ac:dyDescent="0.25">
      <x:c r="A686" s="0">
        <x:f>ROW(A686)-1</x:f>
      </x:c>
      <x:c r="G686" s="0" t="s">
        <x:v>1320</x:v>
      </x:c>
      <x:c r="M686" s="0">
        <x:v>0</x:v>
      </x:c>
      <x:c r="N686" s="0">
        <x:v>0</x:v>
      </x:c>
      <x:c r="S686" s="0">
        <x:v>0</x:v>
      </x:c>
      <x:c r="T686" s="0">
        <x:v>0</x:v>
      </x:c>
      <x:c r="V686" s="0">
        <x:v>0</x:v>
      </x:c>
      <x:c r="W686" s="21">
        <x:v>0</x:v>
      </x:c>
      <x:c r="X686" s="0">
        <x:v>0</x:v>
      </x:c>
      <x:c r="Y686" s="21">
        <x:v>0</x:v>
      </x:c>
      <x:c r="AK686" s="0" t="s">
        <x:v>1584</x:v>
      </x:c>
    </x:row>
    <x:row r="687" spans="1:37" x14ac:dyDescent="0.25">
      <x:c r="A687" s="0">
        <x:f>ROW(A687)-1</x:f>
      </x:c>
      <x:c r="F687" s="0" t="s">
        <x:v>1838</x:v>
      </x:c>
      <x:c r="G687" s="0" t="s">
        <x:v>1320</x:v>
      </x:c>
      <x:c r="M687" s="0">
        <x:v>0</x:v>
      </x:c>
      <x:c r="N687" s="0">
        <x:v>2002</x:v>
      </x:c>
      <x:c r="O687" s="0" t="s">
        <x:v>1583</x:v>
      </x:c>
      <x:c r="S687" s="0">
        <x:v>105</x:v>
      </x:c>
      <x:c r="T687" s="0">
        <x:v>0</x:v>
      </x:c>
      <x:c r="V687" s="0">
        <x:v>0</x:v>
      </x:c>
      <x:c r="W687" s="21">
        <x:v>0</x:v>
      </x:c>
      <x:c r="X687" s="0">
        <x:v>0</x:v>
      </x:c>
      <x:c r="Y687" s="21">
        <x:v>0</x:v>
      </x:c>
      <x:c r="AK687" s="0" t="s">
        <x:v>1584</x:v>
      </x:c>
    </x:row>
    <x:row r="688" spans="1:37" x14ac:dyDescent="0.25">
      <x:c r="A688" s="0">
        <x:f>ROW(A688)-1</x:f>
      </x:c>
      <x:c r="F688" s="0" t="s">
        <x:v>1836</x:v>
      </x:c>
      <x:c r="G688" s="0" t="s">
        <x:v>1320</x:v>
      </x:c>
      <x:c r="M688" s="0">
        <x:v>1910</x:v>
      </x:c>
      <x:c r="N688" s="0">
        <x:v>2002</x:v>
      </x:c>
      <x:c r="O688" s="0" t="s">
        <x:v>1482</x:v>
      </x:c>
      <x:c r="S688" s="0">
        <x:v>150</x:v>
      </x:c>
      <x:c r="T688" s="0">
        <x:v>0</x:v>
      </x:c>
      <x:c r="V688" s="0">
        <x:v>30000</x:v>
      </x:c>
      <x:c r="W688" s="21">
        <x:v>0</x:v>
      </x:c>
      <x:c r="X688" s="0">
        <x:v>1787</x:v>
      </x:c>
      <x:c r="Y688" s="21">
        <x:v>0</x:v>
      </x:c>
      <x:c r="AK688" s="0" t="s">
        <x:v>1584</x:v>
      </x:c>
    </x:row>
    <x:row r="689" spans="1:37" x14ac:dyDescent="0.25">
      <x:c r="A689" s="0">
        <x:f>ROW(A689)-1</x:f>
      </x:c>
      <x:c r="F689" s="0" t="s">
        <x:v>1836</x:v>
      </x:c>
      <x:c r="G689" s="0" t="s">
        <x:v>1320</x:v>
      </x:c>
      <x:c r="M689" s="0">
        <x:v>0</x:v>
      </x:c>
      <x:c r="N689" s="0">
        <x:v>0</x:v>
      </x:c>
      <x:c r="S689" s="0">
        <x:v>0</x:v>
      </x:c>
      <x:c r="T689" s="0">
        <x:v>0</x:v>
      </x:c>
      <x:c r="V689" s="0">
        <x:v>0</x:v>
      </x:c>
      <x:c r="W689" s="21">
        <x:v>0</x:v>
      </x:c>
      <x:c r="X689" s="0">
        <x:v>0</x:v>
      </x:c>
      <x:c r="Y689" s="21">
        <x:v>0</x:v>
      </x:c>
      <x:c r="AK689" s="0" t="s">
        <x:v>1584</x:v>
      </x:c>
    </x:row>
    <x:row r="690" spans="1:37" x14ac:dyDescent="0.25">
      <x:c r="A690" s="0">
        <x:f>ROW(A690)-1</x:f>
      </x:c>
      <x:c r="E690" s="0" t="s">
        <x:v>1859</x:v>
      </x:c>
      <x:c r="F690" s="0" t="s">
        <x:v>1505</x:v>
      </x:c>
      <x:c r="G690" s="0" t="s">
        <x:v>1320</x:v>
      </x:c>
      <x:c r="M690" s="0">
        <x:v>1902</x:v>
      </x:c>
      <x:c r="N690" s="0">
        <x:v>2002</x:v>
      </x:c>
      <x:c r="O690" s="0" t="s">
        <x:v>1362</x:v>
      </x:c>
      <x:c r="S690" s="0">
        <x:v>633</x:v>
      </x:c>
      <x:c r="T690" s="0">
        <x:v>0</x:v>
      </x:c>
      <x:c r="V690" s="0">
        <x:v>110250</x:v>
      </x:c>
      <x:c r="W690" s="21">
        <x:v>0</x:v>
      </x:c>
      <x:c r="X690" s="0">
        <x:v>9899</x:v>
      </x:c>
      <x:c r="Y690" s="21">
        <x:v>0</x:v>
      </x:c>
      <x:c r="AK690" s="0" t="s">
        <x:v>1584</x:v>
      </x:c>
    </x:row>
    <x:row r="691" spans="1:37" x14ac:dyDescent="0.25">
      <x:c r="A691" s="0">
        <x:f>ROW(A691)-1</x:f>
      </x:c>
      <x:c r="F691" s="0" t="s">
        <x:v>1836</x:v>
      </x:c>
      <x:c r="G691" s="0" t="s">
        <x:v>1320</x:v>
      </x:c>
      <x:c r="M691" s="0">
        <x:v>0</x:v>
      </x:c>
      <x:c r="N691" s="0">
        <x:v>0</x:v>
      </x:c>
      <x:c r="O691" s="0" t="s">
        <x:v>1482</x:v>
      </x:c>
      <x:c r="S691" s="0">
        <x:v>0</x:v>
      </x:c>
      <x:c r="T691" s="0">
        <x:v>0</x:v>
      </x:c>
      <x:c r="V691" s="0">
        <x:v>0</x:v>
      </x:c>
      <x:c r="W691" s="21">
        <x:v>0</x:v>
      </x:c>
      <x:c r="X691" s="0">
        <x:v>0</x:v>
      </x:c>
      <x:c r="Y691" s="21">
        <x:v>0</x:v>
      </x:c>
      <x:c r="AK691" s="0" t="s">
        <x:v>1584</x:v>
      </x:c>
    </x:row>
    <x:row r="692" spans="1:37" x14ac:dyDescent="0.25">
      <x:c r="A692" s="0">
        <x:f>ROW(A692)-1</x:f>
      </x:c>
      <x:c r="F692" s="0" t="s">
        <x:v>1836</x:v>
      </x:c>
      <x:c r="G692" s="0" t="s">
        <x:v>1320</x:v>
      </x:c>
      <x:c r="M692" s="0">
        <x:v>1900</x:v>
      </x:c>
      <x:c r="N692" s="0">
        <x:v>2002</x:v>
      </x:c>
      <x:c r="O692" s="0" t="s">
        <x:v>1482</x:v>
      </x:c>
      <x:c r="S692" s="0">
        <x:v>160</x:v>
      </x:c>
      <x:c r="T692" s="0">
        <x:v>0</x:v>
      </x:c>
      <x:c r="V692" s="0">
        <x:v>15126</x:v>
      </x:c>
      <x:c r="W692" s="21">
        <x:v>0</x:v>
      </x:c>
      <x:c r="X692" s="0">
        <x:v>4301</x:v>
      </x:c>
      <x:c r="Y692" s="21">
        <x:v>0</x:v>
      </x:c>
      <x:c r="AK692" s="0" t="s">
        <x:v>1584</x:v>
      </x:c>
    </x:row>
    <x:row r="693" spans="1:37" x14ac:dyDescent="0.25">
      <x:c r="A693" s="0">
        <x:f>ROW(A693)-1</x:f>
      </x:c>
      <x:c r="F693" s="0" t="s">
        <x:v>1836</x:v>
      </x:c>
      <x:c r="G693" s="0" t="s">
        <x:v>1320</x:v>
      </x:c>
      <x:c r="M693" s="0">
        <x:v>1906</x:v>
      </x:c>
      <x:c r="N693" s="0">
        <x:v>2002</x:v>
      </x:c>
      <x:c r="S693" s="0">
        <x:v>200</x:v>
      </x:c>
      <x:c r="T693" s="0">
        <x:v>0</x:v>
      </x:c>
      <x:c r="V693" s="0">
        <x:v>16258</x:v>
      </x:c>
      <x:c r="W693" s="21">
        <x:v>0</x:v>
      </x:c>
      <x:c r="X693" s="0">
        <x:v>0</x:v>
      </x:c>
      <x:c r="Y693" s="21">
        <x:v>0</x:v>
      </x:c>
      <x:c r="AK693" s="0" t="s">
        <x:v>1584</x:v>
      </x:c>
    </x:row>
    <x:row r="694" spans="1:37" x14ac:dyDescent="0.25">
      <x:c r="A694" s="0">
        <x:f>ROW(A694)-1</x:f>
      </x:c>
      <x:c r="F694" s="0" t="s">
        <x:v>1860</x:v>
      </x:c>
      <x:c r="G694" s="0" t="s">
        <x:v>1320</x:v>
      </x:c>
      <x:c r="M694" s="0">
        <x:v>0</x:v>
      </x:c>
      <x:c r="N694" s="0">
        <x:v>0</x:v>
      </x:c>
      <x:c r="O694" s="0" t="s">
        <x:v>1482</x:v>
      </x:c>
      <x:c r="S694" s="0">
        <x:v>0</x:v>
      </x:c>
      <x:c r="T694" s="0">
        <x:v>0</x:v>
      </x:c>
      <x:c r="V694" s="0">
        <x:v>0</x:v>
      </x:c>
      <x:c r="W694" s="21">
        <x:v>0</x:v>
      </x:c>
      <x:c r="X694" s="0">
        <x:v>0</x:v>
      </x:c>
      <x:c r="Y694" s="21">
        <x:v>0</x:v>
      </x:c>
      <x:c r="AK694" s="0" t="s">
        <x:v>1584</x:v>
      </x:c>
    </x:row>
    <x:row r="695" spans="1:37" x14ac:dyDescent="0.25">
      <x:c r="A695" s="0">
        <x:f>ROW(A695)-1</x:f>
      </x:c>
      <x:c r="F695" s="0" t="s">
        <x:v>1836</x:v>
      </x:c>
      <x:c r="G695" s="0" t="s">
        <x:v>1320</x:v>
      </x:c>
      <x:c r="M695" s="0">
        <x:v>0</x:v>
      </x:c>
      <x:c r="N695" s="0">
        <x:v>0</x:v>
      </x:c>
      <x:c r="O695" s="0" t="s">
        <x:v>1482</x:v>
      </x:c>
      <x:c r="S695" s="0">
        <x:v>0</x:v>
      </x:c>
      <x:c r="T695" s="0">
        <x:v>0</x:v>
      </x:c>
      <x:c r="V695" s="0">
        <x:v>0</x:v>
      </x:c>
      <x:c r="W695" s="21">
        <x:v>0</x:v>
      </x:c>
      <x:c r="X695" s="0">
        <x:v>0</x:v>
      </x:c>
      <x:c r="Y695" s="21">
        <x:v>0</x:v>
      </x:c>
      <x:c r="AK695" s="0" t="s">
        <x:v>1584</x:v>
      </x:c>
    </x:row>
    <x:row r="696" spans="1:37" x14ac:dyDescent="0.25">
      <x:c r="A696" s="0">
        <x:f>ROW(A696)-1</x:f>
      </x:c>
      <x:c r="F696" s="0" t="s">
        <x:v>1838</x:v>
      </x:c>
      <x:c r="G696" s="0" t="s">
        <x:v>1320</x:v>
      </x:c>
      <x:c r="M696" s="0">
        <x:v>0</x:v>
      </x:c>
      <x:c r="N696" s="0">
        <x:v>2002</x:v>
      </x:c>
      <x:c r="O696" s="0" t="s">
        <x:v>1583</x:v>
      </x:c>
      <x:c r="S696" s="0">
        <x:v>0</x:v>
      </x:c>
      <x:c r="T696" s="0">
        <x:v>0</x:v>
      </x:c>
      <x:c r="V696" s="0">
        <x:v>0</x:v>
      </x:c>
      <x:c r="W696" s="21">
        <x:v>0</x:v>
      </x:c>
      <x:c r="X696" s="0">
        <x:v>0</x:v>
      </x:c>
      <x:c r="Y696" s="21">
        <x:v>0</x:v>
      </x:c>
      <x:c r="AK696" s="0" t="s">
        <x:v>1584</x:v>
      </x:c>
    </x:row>
    <x:row r="697" spans="1:37" x14ac:dyDescent="0.25">
      <x:c r="A697" s="0">
        <x:f>ROW(A697)-1</x:f>
      </x:c>
      <x:c r="E697" s="0" t="s">
        <x:v>1861</x:v>
      </x:c>
      <x:c r="F697" s="0" t="s">
        <x:v>1862</x:v>
      </x:c>
      <x:c r="G697" s="0" t="s">
        <x:v>1320</x:v>
      </x:c>
      <x:c r="M697" s="0">
        <x:v>0</x:v>
      </x:c>
      <x:c r="N697" s="0">
        <x:v>2002</x:v>
      </x:c>
      <x:c r="O697" s="0" t="s">
        <x:v>1583</x:v>
      </x:c>
      <x:c r="S697" s="0">
        <x:v>0</x:v>
      </x:c>
      <x:c r="T697" s="0">
        <x:v>0</x:v>
      </x:c>
      <x:c r="V697" s="0">
        <x:v>0</x:v>
      </x:c>
      <x:c r="W697" s="21">
        <x:v>0</x:v>
      </x:c>
      <x:c r="X697" s="0">
        <x:v>0</x:v>
      </x:c>
      <x:c r="Y697" s="21">
        <x:v>0</x:v>
      </x:c>
      <x:c r="AK697" s="0" t="s">
        <x:v>1584</x:v>
      </x:c>
    </x:row>
    <x:row r="698" spans="1:37" x14ac:dyDescent="0.25">
      <x:c r="A698" s="0">
        <x:f>ROW(A698)-1</x:f>
      </x:c>
      <x:c r="F698" s="0" t="s">
        <x:v>1836</x:v>
      </x:c>
      <x:c r="G698" s="0" t="s">
        <x:v>1320</x:v>
      </x:c>
      <x:c r="M698" s="0">
        <x:v>0</x:v>
      </x:c>
      <x:c r="N698" s="0">
        <x:v>0</x:v>
      </x:c>
      <x:c r="O698" s="0" t="s">
        <x:v>1482</x:v>
      </x:c>
      <x:c r="S698" s="0">
        <x:v>0</x:v>
      </x:c>
      <x:c r="T698" s="0">
        <x:v>0</x:v>
      </x:c>
      <x:c r="V698" s="0">
        <x:v>0</x:v>
      </x:c>
      <x:c r="W698" s="21">
        <x:v>0</x:v>
      </x:c>
      <x:c r="X698" s="0">
        <x:v>0</x:v>
      </x:c>
      <x:c r="Y698" s="21">
        <x:v>0</x:v>
      </x:c>
      <x:c r="AK698" s="0" t="s">
        <x:v>1584</x:v>
      </x:c>
    </x:row>
    <x:row r="699" spans="1:37" x14ac:dyDescent="0.25">
      <x:c r="A699" s="0">
        <x:f>ROW(A699)-1</x:f>
      </x:c>
      <x:c r="F699" s="0" t="s">
        <x:v>1836</x:v>
      </x:c>
      <x:c r="G699" s="0" t="s">
        <x:v>1320</x:v>
      </x:c>
      <x:c r="M699" s="0">
        <x:v>0</x:v>
      </x:c>
      <x:c r="N699" s="0">
        <x:v>0</x:v>
      </x:c>
      <x:c r="O699" s="0" t="s">
        <x:v>1482</x:v>
      </x:c>
      <x:c r="S699" s="0">
        <x:v>0</x:v>
      </x:c>
      <x:c r="T699" s="0">
        <x:v>0</x:v>
      </x:c>
      <x:c r="V699" s="0">
        <x:v>0</x:v>
      </x:c>
      <x:c r="W699" s="21">
        <x:v>0</x:v>
      </x:c>
      <x:c r="X699" s="0">
        <x:v>0</x:v>
      </x:c>
      <x:c r="Y699" s="21">
        <x:v>0</x:v>
      </x:c>
      <x:c r="AK699" s="0" t="s">
        <x:v>1584</x:v>
      </x:c>
    </x:row>
    <x:row r="700" spans="1:37" x14ac:dyDescent="0.25">
      <x:c r="A700" s="0">
        <x:f>ROW(A700)-1</x:f>
      </x:c>
      <x:c r="F700" s="0" t="s">
        <x:v>1836</x:v>
      </x:c>
      <x:c r="G700" s="0" t="s">
        <x:v>1320</x:v>
      </x:c>
      <x:c r="M700" s="0">
        <x:v>0</x:v>
      </x:c>
      <x:c r="N700" s="0">
        <x:v>0</x:v>
      </x:c>
      <x:c r="O700" s="0" t="s">
        <x:v>1482</x:v>
      </x:c>
      <x:c r="S700" s="0">
        <x:v>0</x:v>
      </x:c>
      <x:c r="T700" s="0">
        <x:v>0</x:v>
      </x:c>
      <x:c r="V700" s="0">
        <x:v>0</x:v>
      </x:c>
      <x:c r="W700" s="21">
        <x:v>0</x:v>
      </x:c>
      <x:c r="X700" s="0">
        <x:v>0</x:v>
      </x:c>
      <x:c r="Y700" s="21">
        <x:v>0</x:v>
      </x:c>
      <x:c r="AK700" s="0" t="s">
        <x:v>1584</x:v>
      </x:c>
    </x:row>
    <x:row r="701" spans="1:37" x14ac:dyDescent="0.25">
      <x:c r="A701" s="0">
        <x:f>ROW(A701)-1</x:f>
      </x:c>
      <x:c r="F701" s="0" t="s">
        <x:v>1838</x:v>
      </x:c>
      <x:c r="G701" s="0" t="s">
        <x:v>1320</x:v>
      </x:c>
      <x:c r="M701" s="0">
        <x:v>1935</x:v>
      </x:c>
      <x:c r="N701" s="0">
        <x:v>2002</x:v>
      </x:c>
      <x:c r="O701" s="0" t="s">
        <x:v>1583</x:v>
      </x:c>
      <x:c r="S701" s="0">
        <x:v>350</x:v>
      </x:c>
      <x:c r="T701" s="0">
        <x:v>0</x:v>
      </x:c>
      <x:c r="V701" s="0">
        <x:v>62160</x:v>
      </x:c>
      <x:c r="W701" s="21">
        <x:v>0</x:v>
      </x:c>
      <x:c r="X701" s="0">
        <x:v>7262</x:v>
      </x:c>
      <x:c r="Y701" s="21">
        <x:v>0</x:v>
      </x:c>
      <x:c r="AK701" s="0" t="s">
        <x:v>1584</x:v>
      </x:c>
    </x:row>
    <x:row r="702" spans="1:37" x14ac:dyDescent="0.25">
      <x:c r="A702" s="0">
        <x:f>ROW(A702)-1</x:f>
      </x:c>
      <x:c r="F702" s="0" t="s">
        <x:v>1836</x:v>
      </x:c>
      <x:c r="G702" s="0" t="s">
        <x:v>1320</x:v>
      </x:c>
      <x:c r="M702" s="0">
        <x:v>0</x:v>
      </x:c>
      <x:c r="N702" s="0">
        <x:v>0</x:v>
      </x:c>
      <x:c r="O702" s="0" t="s">
        <x:v>1482</x:v>
      </x:c>
      <x:c r="S702" s="0">
        <x:v>0</x:v>
      </x:c>
      <x:c r="T702" s="0">
        <x:v>0</x:v>
      </x:c>
      <x:c r="V702" s="0">
        <x:v>0</x:v>
      </x:c>
      <x:c r="W702" s="21">
        <x:v>0</x:v>
      </x:c>
      <x:c r="X702" s="0">
        <x:v>0</x:v>
      </x:c>
      <x:c r="Y702" s="21">
        <x:v>0</x:v>
      </x:c>
      <x:c r="AK702" s="0" t="s">
        <x:v>1584</x:v>
      </x:c>
    </x:row>
    <x:row r="703" spans="1:37" x14ac:dyDescent="0.25">
      <x:c r="A703" s="0">
        <x:f>ROW(A703)-1</x:f>
      </x:c>
      <x:c r="F703" s="0" t="s">
        <x:v>1836</x:v>
      </x:c>
      <x:c r="G703" s="0" t="s">
        <x:v>1320</x:v>
      </x:c>
      <x:c r="M703" s="0">
        <x:v>1968</x:v>
      </x:c>
      <x:c r="N703" s="0">
        <x:v>2002</x:v>
      </x:c>
      <x:c r="O703" s="0" t="s">
        <x:v>1482</x:v>
      </x:c>
      <x:c r="S703" s="0">
        <x:v>110</x:v>
      </x:c>
      <x:c r="T703" s="0">
        <x:v>0</x:v>
      </x:c>
      <x:c r="V703" s="0">
        <x:v>30000</x:v>
      </x:c>
      <x:c r="W703" s="21">
        <x:v>0</x:v>
      </x:c>
      <x:c r="X703" s="0">
        <x:v>1524</x:v>
      </x:c>
      <x:c r="Y703" s="21">
        <x:v>0</x:v>
      </x:c>
      <x:c r="AK703" s="0" t="s">
        <x:v>1584</x:v>
      </x:c>
    </x:row>
    <x:row r="704" spans="1:37" x14ac:dyDescent="0.25">
      <x:c r="A704" s="0">
        <x:f>ROW(A704)-1</x:f>
      </x:c>
      <x:c r="F704" s="0" t="s">
        <x:v>1863</x:v>
      </x:c>
      <x:c r="G704" s="0" t="s">
        <x:v>1320</x:v>
      </x:c>
      <x:c r="M704" s="0">
        <x:v>0</x:v>
      </x:c>
      <x:c r="N704" s="0">
        <x:v>0</x:v>
      </x:c>
      <x:c r="O704" s="0" t="s">
        <x:v>1482</x:v>
      </x:c>
      <x:c r="S704" s="0">
        <x:v>0</x:v>
      </x:c>
      <x:c r="T704" s="0">
        <x:v>0</x:v>
      </x:c>
      <x:c r="V704" s="0">
        <x:v>0</x:v>
      </x:c>
      <x:c r="W704" s="21">
        <x:v>0</x:v>
      </x:c>
      <x:c r="X704" s="0">
        <x:v>0</x:v>
      </x:c>
      <x:c r="Y704" s="21">
        <x:v>0</x:v>
      </x:c>
      <x:c r="AK704" s="0" t="s">
        <x:v>1584</x:v>
      </x:c>
    </x:row>
    <x:row r="705" spans="1:37" x14ac:dyDescent="0.25">
      <x:c r="A705" s="0">
        <x:f>ROW(A705)-1</x:f>
      </x:c>
      <x:c r="F705" s="0" t="s">
        <x:v>1836</x:v>
      </x:c>
      <x:c r="G705" s="0" t="s">
        <x:v>1320</x:v>
      </x:c>
      <x:c r="M705" s="0">
        <x:v>1963</x:v>
      </x:c>
      <x:c r="N705" s="0">
        <x:v>2002</x:v>
      </x:c>
      <x:c r="O705" s="0" t="s">
        <x:v>1482</x:v>
      </x:c>
      <x:c r="S705" s="0">
        <x:v>135</x:v>
      </x:c>
      <x:c r="T705" s="0">
        <x:v>0</x:v>
      </x:c>
      <x:c r="V705" s="0">
        <x:v>39000</x:v>
      </x:c>
      <x:c r="W705" s="21">
        <x:v>0</x:v>
      </x:c>
      <x:c r="X705" s="0">
        <x:v>6000</x:v>
      </x:c>
      <x:c r="Y705" s="21">
        <x:v>0</x:v>
      </x:c>
      <x:c r="AK705" s="0" t="s">
        <x:v>1584</x:v>
      </x:c>
    </x:row>
    <x:row r="706" spans="1:37" x14ac:dyDescent="0.25">
      <x:c r="A706" s="0">
        <x:f>ROW(A706)-1</x:f>
      </x:c>
      <x:c r="F706" s="0" t="s">
        <x:v>1836</x:v>
      </x:c>
      <x:c r="G706" s="0" t="s">
        <x:v>1320</x:v>
      </x:c>
      <x:c r="M706" s="0">
        <x:v>1937</x:v>
      </x:c>
      <x:c r="N706" s="0">
        <x:v>2002</x:v>
      </x:c>
      <x:c r="O706" s="0" t="s">
        <x:v>1482</x:v>
      </x:c>
      <x:c r="S706" s="0">
        <x:v>150</x:v>
      </x:c>
      <x:c r="T706" s="0">
        <x:v>0</x:v>
      </x:c>
      <x:c r="V706" s="0">
        <x:v>23000</x:v>
      </x:c>
      <x:c r="W706" s="21">
        <x:v>0</x:v>
      </x:c>
      <x:c r="X706" s="0">
        <x:v>1229</x:v>
      </x:c>
      <x:c r="Y706" s="21">
        <x:v>0</x:v>
      </x:c>
      <x:c r="AK706" s="0" t="s">
        <x:v>1584</x:v>
      </x:c>
    </x:row>
    <x:row r="707" spans="1:37" x14ac:dyDescent="0.25">
      <x:c r="A707" s="0">
        <x:f>ROW(A707)-1</x:f>
      </x:c>
      <x:c r="F707" s="0" t="s">
        <x:v>1836</x:v>
      </x:c>
      <x:c r="G707" s="0" t="s">
        <x:v>1320</x:v>
      </x:c>
      <x:c r="M707" s="0">
        <x:v>1937</x:v>
      </x:c>
      <x:c r="N707" s="0">
        <x:v>2002</x:v>
      </x:c>
      <x:c r="O707" s="0" t="s">
        <x:v>1482</x:v>
      </x:c>
      <x:c r="S707" s="0">
        <x:v>141</x:v>
      </x:c>
      <x:c r="T707" s="0">
        <x:v>0</x:v>
      </x:c>
      <x:c r="V707" s="0">
        <x:v>31080</x:v>
      </x:c>
      <x:c r="W707" s="21">
        <x:v>0</x:v>
      </x:c>
      <x:c r="X707" s="0">
        <x:v>4500</x:v>
      </x:c>
      <x:c r="Y707" s="21">
        <x:v>0</x:v>
      </x:c>
      <x:c r="AK707" s="0" t="s">
        <x:v>1584</x:v>
      </x:c>
    </x:row>
    <x:row r="708" spans="1:37" x14ac:dyDescent="0.25">
      <x:c r="A708" s="0">
        <x:f>ROW(A708)-1</x:f>
      </x:c>
      <x:c r="F708" s="0" t="s">
        <x:v>1838</x:v>
      </x:c>
      <x:c r="G708" s="0" t="s">
        <x:v>1320</x:v>
      </x:c>
      <x:c r="M708" s="0">
        <x:v>0</x:v>
      </x:c>
      <x:c r="N708" s="0">
        <x:v>0</x:v>
      </x:c>
      <x:c r="O708" s="0" t="s">
        <x:v>1583</x:v>
      </x:c>
      <x:c r="S708" s="0">
        <x:v>0</x:v>
      </x:c>
      <x:c r="T708" s="0">
        <x:v>0</x:v>
      </x:c>
      <x:c r="V708" s="0">
        <x:v>0</x:v>
      </x:c>
      <x:c r="W708" s="21">
        <x:v>0</x:v>
      </x:c>
      <x:c r="X708" s="0">
        <x:v>0</x:v>
      </x:c>
      <x:c r="Y708" s="21">
        <x:v>0</x:v>
      </x:c>
      <x:c r="AK708" s="0" t="s">
        <x:v>1584</x:v>
      </x:c>
    </x:row>
    <x:row r="709" spans="1:37" x14ac:dyDescent="0.25">
      <x:c r="A709" s="0">
        <x:f>ROW(A709)-1</x:f>
      </x:c>
      <x:c r="F709" s="0" t="s">
        <x:v>1836</x:v>
      </x:c>
      <x:c r="G709" s="0" t="s">
        <x:v>1320</x:v>
      </x:c>
      <x:c r="M709" s="0">
        <x:v>1936</x:v>
      </x:c>
      <x:c r="N709" s="0">
        <x:v>2002</x:v>
      </x:c>
      <x:c r="O709" s="0" t="s">
        <x:v>1482</x:v>
      </x:c>
      <x:c r="S709" s="0">
        <x:v>112</x:v>
      </x:c>
      <x:c r="T709" s="0">
        <x:v>0</x:v>
      </x:c>
      <x:c r="V709" s="0">
        <x:v>23828</x:v>
      </x:c>
      <x:c r="W709" s="21">
        <x:v>0</x:v>
      </x:c>
      <x:c r="X709" s="0">
        <x:v>1587</x:v>
      </x:c>
      <x:c r="Y709" s="21">
        <x:v>0</x:v>
      </x:c>
      <x:c r="AK709" s="0" t="s">
        <x:v>1584</x:v>
      </x:c>
    </x:row>
    <x:row r="710" spans="1:37" x14ac:dyDescent="0.25">
      <x:c r="A710" s="0">
        <x:f>ROW(A710)-1</x:f>
      </x:c>
      <x:c r="F710" s="0" t="s">
        <x:v>1838</x:v>
      </x:c>
      <x:c r="G710" s="0" t="s">
        <x:v>1320</x:v>
      </x:c>
      <x:c r="M710" s="0">
        <x:v>1936</x:v>
      </x:c>
      <x:c r="N710" s="0">
        <x:v>2002</x:v>
      </x:c>
      <x:c r="O710" s="0" t="s">
        <x:v>1583</x:v>
      </x:c>
      <x:c r="S710" s="0">
        <x:v>230</x:v>
      </x:c>
      <x:c r="T710" s="0">
        <x:v>0</x:v>
      </x:c>
      <x:c r="V710" s="0">
        <x:v>23828</x:v>
      </x:c>
      <x:c r="W710" s="21">
        <x:v>0</x:v>
      </x:c>
      <x:c r="X710" s="0">
        <x:v>1587</x:v>
      </x:c>
      <x:c r="Y710" s="21">
        <x:v>0</x:v>
      </x:c>
      <x:c r="AK710" s="0" t="s">
        <x:v>1584</x:v>
      </x:c>
    </x:row>
    <x:row r="711" spans="1:37" x14ac:dyDescent="0.25">
      <x:c r="A711" s="0">
        <x:f>ROW(A711)-1</x:f>
      </x:c>
      <x:c r="F711" s="0" t="s">
        <x:v>1838</x:v>
      </x:c>
      <x:c r="G711" s="0" t="s">
        <x:v>1320</x:v>
      </x:c>
      <x:c r="M711" s="0">
        <x:v>0</x:v>
      </x:c>
      <x:c r="N711" s="0">
        <x:v>0</x:v>
      </x:c>
      <x:c r="O711" s="0" t="s">
        <x:v>1583</x:v>
      </x:c>
      <x:c r="S711" s="0">
        <x:v>0</x:v>
      </x:c>
      <x:c r="T711" s="0">
        <x:v>0</x:v>
      </x:c>
      <x:c r="V711" s="0">
        <x:v>0</x:v>
      </x:c>
      <x:c r="W711" s="21">
        <x:v>0</x:v>
      </x:c>
      <x:c r="X711" s="0">
        <x:v>0</x:v>
      </x:c>
      <x:c r="Y711" s="21">
        <x:v>0</x:v>
      </x:c>
      <x:c r="AK711" s="0" t="s">
        <x:v>1584</x:v>
      </x:c>
    </x:row>
    <x:row r="712" spans="1:37" x14ac:dyDescent="0.25">
      <x:c r="A712" s="0">
        <x:f>ROW(A712)-1</x:f>
      </x:c>
      <x:c r="F712" s="0" t="s">
        <x:v>1836</x:v>
      </x:c>
      <x:c r="G712" s="0" t="s">
        <x:v>1320</x:v>
      </x:c>
      <x:c r="M712" s="0">
        <x:v>0</x:v>
      </x:c>
      <x:c r="N712" s="0">
        <x:v>0</x:v>
      </x:c>
      <x:c r="O712" s="0" t="s">
        <x:v>1482</x:v>
      </x:c>
      <x:c r="S712" s="0">
        <x:v>0</x:v>
      </x:c>
      <x:c r="T712" s="0">
        <x:v>0</x:v>
      </x:c>
      <x:c r="V712" s="0">
        <x:v>0</x:v>
      </x:c>
      <x:c r="W712" s="21">
        <x:v>0</x:v>
      </x:c>
      <x:c r="X712" s="0">
        <x:v>0</x:v>
      </x:c>
      <x:c r="Y712" s="21">
        <x:v>0</x:v>
      </x:c>
      <x:c r="AK712" s="0" t="s">
        <x:v>1584</x:v>
      </x:c>
    </x:row>
    <x:row r="713" spans="1:37" x14ac:dyDescent="0.25">
      <x:c r="A713" s="0">
        <x:f>ROW(A713)-1</x:f>
      </x:c>
      <x:c r="F713" s="0" t="s">
        <x:v>1864</x:v>
      </x:c>
      <x:c r="G713" s="0" t="s">
        <x:v>1320</x:v>
      </x:c>
      <x:c r="M713" s="0">
        <x:v>0</x:v>
      </x:c>
      <x:c r="N713" s="0">
        <x:v>0</x:v>
      </x:c>
      <x:c r="O713" s="0" t="s">
        <x:v>1482</x:v>
      </x:c>
      <x:c r="S713" s="0">
        <x:v>0</x:v>
      </x:c>
      <x:c r="T713" s="0">
        <x:v>0</x:v>
      </x:c>
      <x:c r="V713" s="0">
        <x:v>0</x:v>
      </x:c>
      <x:c r="W713" s="21">
        <x:v>0</x:v>
      </x:c>
      <x:c r="X713" s="0">
        <x:v>0</x:v>
      </x:c>
      <x:c r="Y713" s="21">
        <x:v>0</x:v>
      </x:c>
      <x:c r="AK713" s="0" t="s">
        <x:v>1584</x:v>
      </x:c>
    </x:row>
    <x:row r="714" spans="1:37" x14ac:dyDescent="0.25">
      <x:c r="A714" s="0">
        <x:f>ROW(A714)-1</x:f>
      </x:c>
      <x:c r="E714" s="0" t="s">
        <x:v>1865</x:v>
      </x:c>
      <x:c r="F714" s="0" t="s">
        <x:v>1866</x:v>
      </x:c>
      <x:c r="G714" s="0" t="s">
        <x:v>1320</x:v>
      </x:c>
      <x:c r="M714" s="0">
        <x:v>1988</x:v>
      </x:c>
      <x:c r="N714" s="0">
        <x:v>2002</x:v>
      </x:c>
      <x:c r="O714" s="0" t="s">
        <x:v>1482</x:v>
      </x:c>
      <x:c r="S714" s="0">
        <x:v>400</x:v>
      </x:c>
      <x:c r="T714" s="0">
        <x:v>0</x:v>
      </x:c>
      <x:c r="V714" s="0">
        <x:v>53395</x:v>
      </x:c>
      <x:c r="W714" s="21">
        <x:v>0</x:v>
      </x:c>
      <x:c r="X714" s="0">
        <x:v>25889</x:v>
      </x:c>
      <x:c r="Y714" s="21">
        <x:v>0</x:v>
      </x:c>
      <x:c r="AK714" s="0" t="s">
        <x:v>1584</x:v>
      </x:c>
    </x:row>
    <x:row r="715" spans="1:37" x14ac:dyDescent="0.25">
      <x:c r="A715" s="0">
        <x:f>ROW(A715)-1</x:f>
      </x:c>
      <x:c r="F715" s="0" t="s">
        <x:v>1867</x:v>
      </x:c>
      <x:c r="G715" s="0" t="s">
        <x:v>1320</x:v>
      </x:c>
      <x:c r="M715" s="0">
        <x:v>1934</x:v>
      </x:c>
      <x:c r="N715" s="0">
        <x:v>2002</x:v>
      </x:c>
      <x:c r="O715" s="0" t="s">
        <x:v>1583</x:v>
      </x:c>
      <x:c r="S715" s="0">
        <x:v>38</x:v>
      </x:c>
      <x:c r="T715" s="0">
        <x:v>0</x:v>
      </x:c>
      <x:c r="V715" s="0">
        <x:v>3000</x:v>
      </x:c>
      <x:c r="W715" s="21">
        <x:v>0</x:v>
      </x:c>
      <x:c r="X715" s="0">
        <x:v>838</x:v>
      </x:c>
      <x:c r="Y715" s="21">
        <x:v>0</x:v>
      </x:c>
      <x:c r="AK715" s="0" t="s">
        <x:v>1584</x:v>
      </x:c>
    </x:row>
    <x:row r="716" spans="1:37" x14ac:dyDescent="0.25">
      <x:c r="A716" s="0">
        <x:f>ROW(A716)-1</x:f>
      </x:c>
      <x:c r="F716" s="0" t="s">
        <x:v>1867</x:v>
      </x:c>
      <x:c r="G716" s="0" t="s">
        <x:v>1320</x:v>
      </x:c>
      <x:c r="M716" s="0">
        <x:v>1933</x:v>
      </x:c>
      <x:c r="N716" s="0">
        <x:v>2002</x:v>
      </x:c>
      <x:c r="O716" s="0" t="s">
        <x:v>1583</x:v>
      </x:c>
      <x:c r="S716" s="0">
        <x:v>300</x:v>
      </x:c>
      <x:c r="T716" s="0">
        <x:v>0</x:v>
      </x:c>
      <x:c r="V716" s="0">
        <x:v>81492</x:v>
      </x:c>
      <x:c r="W716" s="21">
        <x:v>0</x:v>
      </x:c>
      <x:c r="X716" s="0">
        <x:v>4300</x:v>
      </x:c>
      <x:c r="Y716" s="21">
        <x:v>0</x:v>
      </x:c>
      <x:c r="AK716" s="0" t="s">
        <x:v>1584</x:v>
      </x:c>
    </x:row>
    <x:row r="717" spans="1:37" x14ac:dyDescent="0.25">
      <x:c r="A717" s="0">
        <x:f>ROW(A717)-1</x:f>
      </x:c>
      <x:c r="F717" s="0" t="s">
        <x:v>1838</x:v>
      </x:c>
      <x:c r="G717" s="0" t="s">
        <x:v>1320</x:v>
      </x:c>
      <x:c r="M717" s="0">
        <x:v>1914</x:v>
      </x:c>
      <x:c r="N717" s="0">
        <x:v>2002</x:v>
      </x:c>
      <x:c r="O717" s="0" t="s">
        <x:v>1583</x:v>
      </x:c>
      <x:c r="S717" s="0">
        <x:v>210</x:v>
      </x:c>
      <x:c r="T717" s="0">
        <x:v>0</x:v>
      </x:c>
      <x:c r="V717" s="0">
        <x:v>13105</x:v>
      </x:c>
      <x:c r="W717" s="21">
        <x:v>0</x:v>
      </x:c>
      <x:c r="X717" s="0">
        <x:v>3600</x:v>
      </x:c>
      <x:c r="Y717" s="21">
        <x:v>0</x:v>
      </x:c>
      <x:c r="AK717" s="0" t="s">
        <x:v>1584</x:v>
      </x:c>
    </x:row>
    <x:row r="718" spans="1:37" x14ac:dyDescent="0.25">
      <x:c r="A718" s="0">
        <x:f>ROW(A718)-1</x:f>
      </x:c>
      <x:c r="E718" s="0" t="s">
        <x:v>1868</x:v>
      </x:c>
      <x:c r="F718" s="0" t="s">
        <x:v>1850</x:v>
      </x:c>
      <x:c r="G718" s="0" t="s">
        <x:v>1320</x:v>
      </x:c>
      <x:c r="M718" s="0">
        <x:v>1900</x:v>
      </x:c>
      <x:c r="N718" s="0">
        <x:v>2002</x:v>
      </x:c>
      <x:c r="S718" s="0">
        <x:v>500</x:v>
      </x:c>
      <x:c r="T718" s="0">
        <x:v>0</x:v>
      </x:c>
      <x:c r="V718" s="0">
        <x:v>110000</x:v>
      </x:c>
      <x:c r="W718" s="21">
        <x:v>0</x:v>
      </x:c>
      <x:c r="X718" s="0">
        <x:v>25000</x:v>
      </x:c>
      <x:c r="Y718" s="21">
        <x:v>0</x:v>
      </x:c>
      <x:c r="AK718" s="0" t="s">
        <x:v>1584</x:v>
      </x:c>
    </x:row>
    <x:row r="719" spans="1:37" x14ac:dyDescent="0.25">
      <x:c r="A719" s="0">
        <x:f>ROW(A719)-1</x:f>
      </x:c>
      <x:c r="F719" s="0" t="s">
        <x:v>1836</x:v>
      </x:c>
      <x:c r="G719" s="0" t="s">
        <x:v>1320</x:v>
      </x:c>
      <x:c r="M719" s="0">
        <x:v>0</x:v>
      </x:c>
      <x:c r="N719" s="0">
        <x:v>0</x:v>
      </x:c>
      <x:c r="O719" s="0" t="s">
        <x:v>1482</x:v>
      </x:c>
      <x:c r="S719" s="0">
        <x:v>0</x:v>
      </x:c>
      <x:c r="T719" s="0">
        <x:v>0</x:v>
      </x:c>
      <x:c r="V719" s="0">
        <x:v>0</x:v>
      </x:c>
      <x:c r="W719" s="21">
        <x:v>0</x:v>
      </x:c>
      <x:c r="X719" s="0">
        <x:v>0</x:v>
      </x:c>
      <x:c r="Y719" s="21">
        <x:v>0</x:v>
      </x:c>
      <x:c r="AK719" s="0" t="s">
        <x:v>1584</x:v>
      </x:c>
    </x:row>
    <x:row r="720" spans="1:37" x14ac:dyDescent="0.25">
      <x:c r="A720" s="0">
        <x:f>ROW(A720)-1</x:f>
      </x:c>
      <x:c r="F720" s="0" t="s">
        <x:v>1836</x:v>
      </x:c>
      <x:c r="G720" s="0" t="s">
        <x:v>1320</x:v>
      </x:c>
      <x:c r="M720" s="0">
        <x:v>0</x:v>
      </x:c>
      <x:c r="N720" s="0">
        <x:v>0</x:v>
      </x:c>
      <x:c r="O720" s="0" t="s">
        <x:v>1482</x:v>
      </x:c>
      <x:c r="S720" s="0">
        <x:v>0</x:v>
      </x:c>
      <x:c r="T720" s="0">
        <x:v>0</x:v>
      </x:c>
      <x:c r="V720" s="0">
        <x:v>0</x:v>
      </x:c>
      <x:c r="W720" s="21">
        <x:v>0</x:v>
      </x:c>
      <x:c r="X720" s="0">
        <x:v>0</x:v>
      </x:c>
      <x:c r="Y720" s="21">
        <x:v>0</x:v>
      </x:c>
      <x:c r="AK720" s="0" t="s">
        <x:v>1584</x:v>
      </x:c>
    </x:row>
    <x:row r="721" spans="1:37" x14ac:dyDescent="0.25">
      <x:c r="A721" s="0">
        <x:f>ROW(A721)-1</x:f>
      </x:c>
      <x:c r="F721" s="0" t="s">
        <x:v>1836</x:v>
      </x:c>
      <x:c r="G721" s="0" t="s">
        <x:v>1320</x:v>
      </x:c>
      <x:c r="M721" s="0">
        <x:v>0</x:v>
      </x:c>
      <x:c r="N721" s="0">
        <x:v>2002</x:v>
      </x:c>
      <x:c r="O721" s="0" t="s">
        <x:v>1482</x:v>
      </x:c>
      <x:c r="S721" s="0">
        <x:v>250</x:v>
      </x:c>
      <x:c r="T721" s="0">
        <x:v>0</x:v>
      </x:c>
      <x:c r="V721" s="0">
        <x:v>60000</x:v>
      </x:c>
      <x:c r="W721" s="21">
        <x:v>0</x:v>
      </x:c>
      <x:c r="X721" s="0">
        <x:v>8000</x:v>
      </x:c>
      <x:c r="Y721" s="21">
        <x:v>0</x:v>
      </x:c>
      <x:c r="AK721" s="0" t="s">
        <x:v>1584</x:v>
      </x:c>
    </x:row>
    <x:row r="722" spans="1:37" x14ac:dyDescent="0.25">
      <x:c r="A722" s="0">
        <x:f>ROW(A722)-1</x:f>
      </x:c>
      <x:c r="F722" s="0" t="s">
        <x:v>1869</x:v>
      </x:c>
      <x:c r="G722" s="0" t="s">
        <x:v>1320</x:v>
      </x:c>
      <x:c r="M722" s="0">
        <x:v>0</x:v>
      </x:c>
      <x:c r="N722" s="0">
        <x:v>2002</x:v>
      </x:c>
      <x:c r="O722" s="0" t="s">
        <x:v>1482</x:v>
      </x:c>
      <x:c r="S722" s="0">
        <x:v>0</x:v>
      </x:c>
      <x:c r="T722" s="0">
        <x:v>0</x:v>
      </x:c>
      <x:c r="V722" s="0">
        <x:v>0</x:v>
      </x:c>
      <x:c r="W722" s="21">
        <x:v>0</x:v>
      </x:c>
      <x:c r="X722" s="0">
        <x:v>0</x:v>
      </x:c>
      <x:c r="Y722" s="21">
        <x:v>0</x:v>
      </x:c>
      <x:c r="AK722" s="0" t="s">
        <x:v>1584</x:v>
      </x:c>
    </x:row>
    <x:row r="723" spans="1:37" x14ac:dyDescent="0.25">
      <x:c r="A723" s="0">
        <x:f>ROW(A723)-1</x:f>
      </x:c>
      <x:c r="F723" s="0" t="s">
        <x:v>1838</x:v>
      </x:c>
      <x:c r="G723" s="0" t="s">
        <x:v>1320</x:v>
      </x:c>
      <x:c r="M723" s="0">
        <x:v>1960</x:v>
      </x:c>
      <x:c r="N723" s="0">
        <x:v>2002</x:v>
      </x:c>
      <x:c r="O723" s="0" t="s">
        <x:v>1583</x:v>
      </x:c>
      <x:c r="S723" s="0">
        <x:v>240</x:v>
      </x:c>
      <x:c r="T723" s="0">
        <x:v>0</x:v>
      </x:c>
      <x:c r="V723" s="0">
        <x:v>43201</x:v>
      </x:c>
      <x:c r="W723" s="21">
        <x:v>0</x:v>
      </x:c>
      <x:c r="X723" s="0">
        <x:v>5180</x:v>
      </x:c>
      <x:c r="Y723" s="21">
        <x:v>0</x:v>
      </x:c>
      <x:c r="AK723" s="0" t="s">
        <x:v>1584</x:v>
      </x:c>
    </x:row>
    <x:row r="724" spans="1:37" x14ac:dyDescent="0.25">
      <x:c r="A724" s="0">
        <x:f>ROW(A724)-1</x:f>
      </x:c>
      <x:c r="F724" s="0" t="s">
        <x:v>1838</x:v>
      </x:c>
      <x:c r="G724" s="0" t="s">
        <x:v>1320</x:v>
      </x:c>
      <x:c r="M724" s="0">
        <x:v>0</x:v>
      </x:c>
      <x:c r="N724" s="0">
        <x:v>0</x:v>
      </x:c>
      <x:c r="O724" s="0" t="s">
        <x:v>1583</x:v>
      </x:c>
      <x:c r="S724" s="0">
        <x:v>0</x:v>
      </x:c>
      <x:c r="T724" s="0">
        <x:v>0</x:v>
      </x:c>
      <x:c r="V724" s="0">
        <x:v>0</x:v>
      </x:c>
      <x:c r="W724" s="21">
        <x:v>0</x:v>
      </x:c>
      <x:c r="X724" s="0">
        <x:v>0</x:v>
      </x:c>
      <x:c r="Y724" s="21">
        <x:v>0</x:v>
      </x:c>
      <x:c r="AK724" s="0" t="s">
        <x:v>1584</x:v>
      </x:c>
    </x:row>
    <x:row r="725" spans="1:37" x14ac:dyDescent="0.25">
      <x:c r="A725" s="0">
        <x:f>ROW(A725)-1</x:f>
      </x:c>
      <x:c r="F725" s="0" t="s">
        <x:v>1838</x:v>
      </x:c>
      <x:c r="G725" s="0" t="s">
        <x:v>1320</x:v>
      </x:c>
      <x:c r="M725" s="0">
        <x:v>0</x:v>
      </x:c>
      <x:c r="N725" s="0">
        <x:v>0</x:v>
      </x:c>
      <x:c r="O725" s="0" t="s">
        <x:v>1583</x:v>
      </x:c>
      <x:c r="S725" s="0">
        <x:v>0</x:v>
      </x:c>
      <x:c r="T725" s="0">
        <x:v>0</x:v>
      </x:c>
      <x:c r="V725" s="0">
        <x:v>0</x:v>
      </x:c>
      <x:c r="W725" s="21">
        <x:v>0</x:v>
      </x:c>
      <x:c r="X725" s="0">
        <x:v>0</x:v>
      </x:c>
      <x:c r="Y725" s="21">
        <x:v>0</x:v>
      </x:c>
      <x:c r="AK725" s="0" t="s">
        <x:v>1584</x:v>
      </x:c>
    </x:row>
    <x:row r="726" spans="1:37" x14ac:dyDescent="0.25">
      <x:c r="A726" s="0">
        <x:f>ROW(A726)-1</x:f>
      </x:c>
      <x:c r="F726" s="0" t="s">
        <x:v>1836</x:v>
      </x:c>
      <x:c r="G726" s="0" t="s">
        <x:v>1320</x:v>
      </x:c>
      <x:c r="M726" s="0">
        <x:v>0</x:v>
      </x:c>
      <x:c r="N726" s="0">
        <x:v>0</x:v>
      </x:c>
      <x:c r="O726" s="0" t="s">
        <x:v>1482</x:v>
      </x:c>
      <x:c r="S726" s="0">
        <x:v>0</x:v>
      </x:c>
      <x:c r="T726" s="0">
        <x:v>0</x:v>
      </x:c>
      <x:c r="V726" s="0">
        <x:v>0</x:v>
      </x:c>
      <x:c r="W726" s="21">
        <x:v>0</x:v>
      </x:c>
      <x:c r="X726" s="0">
        <x:v>0</x:v>
      </x:c>
      <x:c r="Y726" s="21">
        <x:v>0</x:v>
      </x:c>
      <x:c r="AK726" s="0" t="s">
        <x:v>1584</x:v>
      </x:c>
    </x:row>
    <x:row r="727" spans="1:37" x14ac:dyDescent="0.25">
      <x:c r="A727" s="0">
        <x:f>ROW(A727)-1</x:f>
      </x:c>
      <x:c r="E727" s="0" t="s">
        <x:v>1512</x:v>
      </x:c>
      <x:c r="F727" s="0" t="s">
        <x:v>1513</x:v>
      </x:c>
      <x:c r="G727" s="0" t="s">
        <x:v>1320</x:v>
      </x:c>
      <x:c r="M727" s="0">
        <x:v>2017</x:v>
      </x:c>
      <x:c r="N727" s="0">
        <x:v>2018</x:v>
      </x:c>
      <x:c r="O727" s="0" t="s">
        <x:v>1583</x:v>
      </x:c>
      <x:c r="S727" s="0">
        <x:v>970</x:v>
      </x:c>
      <x:c r="T727" s="0">
        <x:v>0</x:v>
      </x:c>
      <x:c r="W727" s="21">
        <x:v>0</x:v>
      </x:c>
      <x:c r="X727" s="0">
        <x:v>12900</x:v>
      </x:c>
      <x:c r="Y727" s="21">
        <x:v>0</x:v>
      </x:c>
      <x:c r="AK727" s="0" t="s">
        <x:v>1584</x:v>
      </x:c>
    </x:row>
    <x:row r="728" spans="1:37" x14ac:dyDescent="0.25">
      <x:c r="A728" s="0">
        <x:f>ROW(A728)-1</x:f>
      </x:c>
      <x:c r="G728" s="0" t="s">
        <x:v>1320</x:v>
      </x:c>
      <x:c r="M728" s="0">
        <x:v>0</x:v>
      </x:c>
      <x:c r="N728" s="0">
        <x:v>2002</x:v>
      </x:c>
      <x:c r="S728" s="0">
        <x:v>112</x:v>
      </x:c>
      <x:c r="T728" s="0">
        <x:v>0</x:v>
      </x:c>
      <x:c r="V728" s="0">
        <x:v>0</x:v>
      </x:c>
      <x:c r="W728" s="21">
        <x:v>0</x:v>
      </x:c>
      <x:c r="X728" s="0">
        <x:v>0</x:v>
      </x:c>
      <x:c r="Y728" s="21">
        <x:v>0</x:v>
      </x:c>
      <x:c r="AK728" s="0" t="s">
        <x:v>1584</x:v>
      </x:c>
    </x:row>
    <x:row r="729" spans="1:37" x14ac:dyDescent="0.25">
      <x:c r="A729" s="0">
        <x:f>ROW(A729)-1</x:f>
      </x:c>
      <x:c r="F729" s="0" t="s">
        <x:v>1838</x:v>
      </x:c>
      <x:c r="G729" s="0" t="s">
        <x:v>1320</x:v>
      </x:c>
      <x:c r="M729" s="0">
        <x:v>1950</x:v>
      </x:c>
      <x:c r="N729" s="0">
        <x:v>2002</x:v>
      </x:c>
      <x:c r="O729" s="0" t="s">
        <x:v>1583</x:v>
      </x:c>
      <x:c r="S729" s="0">
        <x:v>128</x:v>
      </x:c>
      <x:c r="T729" s="0">
        <x:v>0</x:v>
      </x:c>
      <x:c r="V729" s="0">
        <x:v>30831</x:v>
      </x:c>
      <x:c r="W729" s="21">
        <x:v>0</x:v>
      </x:c>
      <x:c r="X729" s="0">
        <x:v>4400</x:v>
      </x:c>
      <x:c r="Y729" s="21">
        <x:v>0</x:v>
      </x:c>
      <x:c r="AK729" s="0" t="s">
        <x:v>1584</x:v>
      </x:c>
    </x:row>
    <x:row r="730" spans="1:37" x14ac:dyDescent="0.25">
      <x:c r="A730" s="0">
        <x:f>ROW(A730)-1</x:f>
      </x:c>
      <x:c r="G730" s="0" t="s">
        <x:v>1320</x:v>
      </x:c>
      <x:c r="M730" s="0">
        <x:v>0</x:v>
      </x:c>
      <x:c r="N730" s="0">
        <x:v>0</x:v>
      </x:c>
      <x:c r="S730" s="0">
        <x:v>0</x:v>
      </x:c>
      <x:c r="T730" s="0">
        <x:v>0</x:v>
      </x:c>
      <x:c r="V730" s="0">
        <x:v>0</x:v>
      </x:c>
      <x:c r="W730" s="21">
        <x:v>0</x:v>
      </x:c>
      <x:c r="X730" s="0">
        <x:v>0</x:v>
      </x:c>
      <x:c r="Y730" s="21">
        <x:v>0</x:v>
      </x:c>
      <x:c r="AK730" s="0" t="s">
        <x:v>1584</x:v>
      </x:c>
    </x:row>
    <x:row r="731" spans="1:37" x14ac:dyDescent="0.25">
      <x:c r="A731" s="0">
        <x:f>ROW(A731)-1</x:f>
      </x:c>
      <x:c r="F731" s="0" t="s">
        <x:v>1836</x:v>
      </x:c>
      <x:c r="G731" s="0" t="s">
        <x:v>1320</x:v>
      </x:c>
      <x:c r="M731" s="0">
        <x:v>1955</x:v>
      </x:c>
      <x:c r="N731" s="0">
        <x:v>2002</x:v>
      </x:c>
      <x:c r="O731" s="0" t="s">
        <x:v>1482</x:v>
      </x:c>
      <x:c r="S731" s="0">
        <x:v>105</x:v>
      </x:c>
      <x:c r="T731" s="0">
        <x:v>0</x:v>
      </x:c>
      <x:c r="V731" s="0">
        <x:v>30000</x:v>
      </x:c>
      <x:c r="W731" s="21">
        <x:v>0</x:v>
      </x:c>
      <x:c r="X731" s="0">
        <x:v>2500</x:v>
      </x:c>
      <x:c r="Y731" s="21">
        <x:v>0</x:v>
      </x:c>
      <x:c r="AK731" s="0" t="s">
        <x:v>1584</x:v>
      </x:c>
    </x:row>
    <x:row r="732" spans="1:37" x14ac:dyDescent="0.25">
      <x:c r="A732" s="0">
        <x:f>ROW(A732)-1</x:f>
      </x:c>
      <x:c r="F732" s="0" t="s">
        <x:v>1836</x:v>
      </x:c>
      <x:c r="G732" s="0" t="s">
        <x:v>1320</x:v>
      </x:c>
      <x:c r="M732" s="0">
        <x:v>1949</x:v>
      </x:c>
      <x:c r="N732" s="0">
        <x:v>2002</x:v>
      </x:c>
      <x:c r="O732" s="0" t="s">
        <x:v>1482</x:v>
      </x:c>
      <x:c r="S732" s="0">
        <x:v>128</x:v>
      </x:c>
      <x:c r="T732" s="0">
        <x:v>0</x:v>
      </x:c>
      <x:c r="V732" s="0">
        <x:v>23500</x:v>
      </x:c>
      <x:c r="W732" s="21">
        <x:v>0</x:v>
      </x:c>
      <x:c r="X732" s="0">
        <x:v>15900</x:v>
      </x:c>
      <x:c r="Y732" s="21">
        <x:v>0</x:v>
      </x:c>
      <x:c r="AK732" s="0" t="s">
        <x:v>1584</x:v>
      </x:c>
    </x:row>
    <x:row r="733" spans="1:37" x14ac:dyDescent="0.25">
      <x:c r="A733" s="0">
        <x:f>ROW(A733)-1</x:f>
      </x:c>
      <x:c r="F733" s="0" t="s">
        <x:v>1838</x:v>
      </x:c>
      <x:c r="G733" s="0" t="s">
        <x:v>1320</x:v>
      </x:c>
      <x:c r="M733" s="0">
        <x:v>1950</x:v>
      </x:c>
      <x:c r="N733" s="0">
        <x:v>2002</x:v>
      </x:c>
      <x:c r="O733" s="0" t="s">
        <x:v>1583</x:v>
      </x:c>
      <x:c r="S733" s="0">
        <x:v>144</x:v>
      </x:c>
      <x:c r="T733" s="0">
        <x:v>0</x:v>
      </x:c>
      <x:c r="V733" s="0">
        <x:v>22000</x:v>
      </x:c>
      <x:c r="W733" s="21">
        <x:v>0</x:v>
      </x:c>
      <x:c r="X733" s="0">
        <x:v>9300</x:v>
      </x:c>
      <x:c r="Y733" s="21">
        <x:v>0</x:v>
      </x:c>
      <x:c r="AK733" s="0" t="s">
        <x:v>1584</x:v>
      </x:c>
    </x:row>
    <x:row r="734" spans="1:37" x14ac:dyDescent="0.25">
      <x:c r="A734" s="0">
        <x:f>ROW(A734)-1</x:f>
      </x:c>
      <x:c r="G734" s="0" t="s">
        <x:v>1320</x:v>
      </x:c>
      <x:c r="M734" s="0">
        <x:v>2011</x:v>
      </x:c>
      <x:c r="S734" s="0">
        <x:v>0</x:v>
      </x:c>
      <x:c r="T734" s="0">
        <x:v>0</x:v>
      </x:c>
      <x:c r="V734" s="0">
        <x:v>4200</x:v>
      </x:c>
      <x:c r="W734" s="21">
        <x:v>0</x:v>
      </x:c>
      <x:c r="X734" s="0">
        <x:v>2000</x:v>
      </x:c>
      <x:c r="Y734" s="21">
        <x:v>0</x:v>
      </x:c>
      <x:c r="AK734" s="0" t="s">
        <x:v>1584</x:v>
      </x:c>
    </x:row>
    <x:row r="735" spans="1:37" x14ac:dyDescent="0.25">
      <x:c r="A735" s="0">
        <x:f>ROW(A735)-1</x:f>
      </x:c>
      <x:c r="E735" s="0" t="s">
        <x:v>1514</x:v>
      </x:c>
      <x:c r="G735" s="0" t="s">
        <x:v>1320</x:v>
      </x:c>
      <x:c r="M735" s="0">
        <x:v>2011</x:v>
      </x:c>
      <x:c r="N735" s="0">
        <x:v>0</x:v>
      </x:c>
      <x:c r="S735" s="0">
        <x:v>0</x:v>
      </x:c>
      <x:c r="T735" s="0">
        <x:v>0</x:v>
      </x:c>
      <x:c r="V735" s="0">
        <x:v>15210</x:v>
      </x:c>
      <x:c r="W735" s="21">
        <x:v>0</x:v>
      </x:c>
      <x:c r="X735" s="0">
        <x:v>14872</x:v>
      </x:c>
      <x:c r="Y735" s="21">
        <x:v>0</x:v>
      </x:c>
      <x:c r="AK735" s="0" t="s">
        <x:v>1584</x:v>
      </x:c>
    </x:row>
    <x:row r="736" spans="1:37" x14ac:dyDescent="0.25">
      <x:c r="A736" s="0">
        <x:f>ROW(A736)-1</x:f>
      </x:c>
      <x:c r="E736" s="0" t="s">
        <x:v>1515</x:v>
      </x:c>
      <x:c r="F736" s="0" t="s">
        <x:v>1516</x:v>
      </x:c>
      <x:c r="G736" s="0" t="s">
        <x:v>1320</x:v>
      </x:c>
      <x:c r="M736" s="0">
        <x:v>2012</x:v>
      </x:c>
      <x:c r="N736" s="0">
        <x:v>0</x:v>
      </x:c>
      <x:c r="S736" s="0">
        <x:v>0</x:v>
      </x:c>
      <x:c r="T736" s="0">
        <x:v>0</x:v>
      </x:c>
      <x:c r="V736" s="0">
        <x:v>0</x:v>
      </x:c>
      <x:c r="W736" s="21">
        <x:v>0</x:v>
      </x:c>
      <x:c r="X736" s="0">
        <x:v>74500</x:v>
      </x:c>
      <x:c r="Y736" s="21">
        <x:v>0</x:v>
      </x:c>
      <x:c r="AK736" s="0" t="s">
        <x:v>1584</x:v>
      </x:c>
    </x:row>
    <x:row r="737" spans="1:37" x14ac:dyDescent="0.25">
      <x:c r="A737" s="0">
        <x:f>ROW(A737)-1</x:f>
      </x:c>
      <x:c r="G737" s="0" t="s">
        <x:v>1320</x:v>
      </x:c>
      <x:c r="M737" s="0">
        <x:v>2012</x:v>
      </x:c>
      <x:c r="N737" s="0">
        <x:v>0</x:v>
      </x:c>
      <x:c r="S737" s="0">
        <x:v>0</x:v>
      </x:c>
      <x:c r="T737" s="0">
        <x:v>0</x:v>
      </x:c>
      <x:c r="V737" s="0">
        <x:v>0</x:v>
      </x:c>
      <x:c r="W737" s="21">
        <x:v>0</x:v>
      </x:c>
      <x:c r="X737" s="0">
        <x:v>5000</x:v>
      </x:c>
      <x:c r="Y737" s="21">
        <x:v>0</x:v>
      </x:c>
      <x:c r="AK737" s="0" t="s">
        <x:v>1584</x:v>
      </x:c>
    </x:row>
    <x:row r="738" spans="1:37" x14ac:dyDescent="0.25">
      <x:c r="A738" s="0">
        <x:f>ROW(A738)-1</x:f>
      </x:c>
      <x:c r="E738" s="0" t="s">
        <x:v>1870</x:v>
      </x:c>
      <x:c r="G738" s="0" t="s">
        <x:v>1320</x:v>
      </x:c>
      <x:c r="M738" s="0">
        <x:v>2013</x:v>
      </x:c>
      <x:c r="N738" s="0">
        <x:v>0</x:v>
      </x:c>
      <x:c r="S738" s="0">
        <x:v>0</x:v>
      </x:c>
      <x:c r="T738" s="0">
        <x:v>0</x:v>
      </x:c>
      <x:c r="V738" s="0">
        <x:v>0</x:v>
      </x:c>
      <x:c r="W738" s="21">
        <x:v>0</x:v>
      </x:c>
      <x:c r="X738" s="0">
        <x:v>0</x:v>
      </x:c>
      <x:c r="Y738" s="21">
        <x:v>0</x:v>
      </x:c>
      <x:c r="AK738" s="0" t="s">
        <x:v>1584</x:v>
      </x:c>
    </x:row>
    <x:row r="739" spans="1:37" x14ac:dyDescent="0.25">
      <x:c r="A739" s="0">
        <x:f>ROW(A739)-1</x:f>
      </x:c>
      <x:c r="E739" s="0" t="s">
        <x:v>1871</x:v>
      </x:c>
      <x:c r="F739" s="0" t="s">
        <x:v>1872</x:v>
      </x:c>
      <x:c r="G739" s="0" t="s">
        <x:v>1320</x:v>
      </x:c>
      <x:c r="M739" s="0">
        <x:v>2016</x:v>
      </x:c>
      <x:c r="N739" s="0">
        <x:v>0</x:v>
      </x:c>
      <x:c r="O739" s="0" t="s">
        <x:v>1583</x:v>
      </x:c>
      <x:c r="S739" s="0">
        <x:v>0</x:v>
      </x:c>
      <x:c r="T739" s="0">
        <x:v>0</x:v>
      </x:c>
      <x:c r="V739" s="0">
        <x:v>0</x:v>
      </x:c>
      <x:c r="W739" s="21">
        <x:v>0</x:v>
      </x:c>
      <x:c r="X739" s="0">
        <x:v>5500</x:v>
      </x:c>
      <x:c r="Y739" s="21">
        <x:v>0</x:v>
      </x:c>
      <x:c r="AK739" s="0" t="s">
        <x:v>1584</x:v>
      </x:c>
    </x:row>
    <x:row r="740" spans="1:37" x14ac:dyDescent="0.25">
      <x:c r="A740" s="0">
        <x:f>ROW(A740)-1</x:f>
      </x:c>
      <x:c r="G740" s="0" t="s">
        <x:v>1320</x:v>
      </x:c>
      <x:c r="M740" s="0">
        <x:v>2015</x:v>
      </x:c>
      <x:c r="N740" s="0">
        <x:v>0</x:v>
      </x:c>
      <x:c r="S740" s="0">
        <x:v>0</x:v>
      </x:c>
      <x:c r="T740" s="0">
        <x:v>0</x:v>
      </x:c>
      <x:c r="V740" s="0">
        <x:v>0</x:v>
      </x:c>
      <x:c r="W740" s="21">
        <x:v>0</x:v>
      </x:c>
      <x:c r="X740" s="0">
        <x:v>0</x:v>
      </x:c>
      <x:c r="Y740" s="21">
        <x:v>0</x:v>
      </x:c>
      <x:c r="AK740" s="0" t="s">
        <x:v>1584</x:v>
      </x:c>
    </x:row>
    <x:row r="741" spans="1:37" x14ac:dyDescent="0.25">
      <x:c r="A741" s="0">
        <x:f>ROW(A741)-1</x:f>
      </x:c>
      <x:c r="E741" s="0" t="s">
        <x:v>1517</x:v>
      </x:c>
      <x:c r="G741" s="0" t="s">
        <x:v>1320</x:v>
      </x:c>
      <x:c r="M741" s="0">
        <x:v>2014</x:v>
      </x:c>
      <x:c r="N741" s="0">
        <x:v>0</x:v>
      </x:c>
      <x:c r="S741" s="0">
        <x:v>0</x:v>
      </x:c>
      <x:c r="T741" s="0">
        <x:v>0</x:v>
      </x:c>
      <x:c r="V741" s="0">
        <x:v>0</x:v>
      </x:c>
      <x:c r="W741" s="21">
        <x:v>0</x:v>
      </x:c>
      <x:c r="X741" s="0">
        <x:v>4625</x:v>
      </x:c>
      <x:c r="Y741" s="21">
        <x:v>0</x:v>
      </x:c>
      <x:c r="AK741" s="0" t="s">
        <x:v>1584</x:v>
      </x:c>
    </x:row>
    <x:row r="742" spans="1:37" x14ac:dyDescent="0.25">
      <x:c r="A742" s="0">
        <x:f>ROW(A742)-1</x:f>
      </x:c>
      <x:c r="E742" s="0" t="s">
        <x:v>1518</x:v>
      </x:c>
      <x:c r="F742" s="0" t="s">
        <x:v>1519</x:v>
      </x:c>
      <x:c r="G742" s="0" t="s">
        <x:v>1320</x:v>
      </x:c>
      <x:c r="M742" s="0">
        <x:v>2015</x:v>
      </x:c>
      <x:c r="N742" s="0">
        <x:v>0</x:v>
      </x:c>
      <x:c r="O742" s="0" t="s">
        <x:v>1441</x:v>
      </x:c>
      <x:c r="S742" s="0">
        <x:v>0</x:v>
      </x:c>
      <x:c r="T742" s="0">
        <x:v>0</x:v>
      </x:c>
      <x:c r="V742" s="0">
        <x:v>0</x:v>
      </x:c>
      <x:c r="W742" s="21">
        <x:v>0</x:v>
      </x:c>
      <x:c r="X742" s="0">
        <x:v>11400</x:v>
      </x:c>
      <x:c r="Y742" s="21">
        <x:v>0</x:v>
      </x:c>
      <x:c r="AK742" s="0" t="s">
        <x:v>1584</x:v>
      </x:c>
    </x:row>
    <x:row r="743" spans="1:37" x14ac:dyDescent="0.25">
      <x:c r="A743" s="0">
        <x:f>ROW(A743)-1</x:f>
      </x:c>
      <x:c r="G743" s="0" t="s">
        <x:v>1320</x:v>
      </x:c>
      <x:c r="M743" s="0">
        <x:v>2015</x:v>
      </x:c>
      <x:c r="N743" s="0">
        <x:v>0</x:v>
      </x:c>
      <x:c r="S743" s="0">
        <x:v>0</x:v>
      </x:c>
      <x:c r="T743" s="0">
        <x:v>0</x:v>
      </x:c>
      <x:c r="V743" s="0">
        <x:v>0</x:v>
      </x:c>
      <x:c r="W743" s="21">
        <x:v>0</x:v>
      </x:c>
      <x:c r="X743" s="0">
        <x:v>6045</x:v>
      </x:c>
      <x:c r="Y743" s="21">
        <x:v>0</x:v>
      </x:c>
      <x:c r="AK743" s="0" t="s">
        <x:v>1584</x:v>
      </x:c>
    </x:row>
    <x:row r="744" spans="1:37" x14ac:dyDescent="0.25">
      <x:c r="A744" s="0">
        <x:f>ROW(A744)-1</x:f>
      </x:c>
      <x:c r="E744" s="0" t="s">
        <x:v>1520</x:v>
      </x:c>
      <x:c r="F744" s="0" t="s">
        <x:v>1521</x:v>
      </x:c>
      <x:c r="G744" s="0" t="s">
        <x:v>1320</x:v>
      </x:c>
      <x:c r="M744" s="0">
        <x:v>2015</x:v>
      </x:c>
      <x:c r="N744" s="0">
        <x:v>0</x:v>
      </x:c>
      <x:c r="O744" s="0" t="s">
        <x:v>1583</x:v>
      </x:c>
      <x:c r="S744" s="0">
        <x:v>0</x:v>
      </x:c>
      <x:c r="T744" s="0">
        <x:v>0</x:v>
      </x:c>
      <x:c r="V744" s="0">
        <x:v>0</x:v>
      </x:c>
      <x:c r="W744" s="21">
        <x:v>0</x:v>
      </x:c>
      <x:c r="X744" s="0">
        <x:v>253622</x:v>
      </x:c>
      <x:c r="Y744" s="21">
        <x:v>0</x:v>
      </x:c>
      <x:c r="AK744" s="0" t="s">
        <x:v>1584</x:v>
      </x:c>
    </x:row>
    <x:row r="745" spans="1:37" x14ac:dyDescent="0.25">
      <x:c r="A745" s="0">
        <x:f>ROW(A745)-1</x:f>
      </x:c>
      <x:c r="G745" s="0" t="s">
        <x:v>1320</x:v>
      </x:c>
      <x:c r="M745" s="0">
        <x:v>0</x:v>
      </x:c>
      <x:c r="N745" s="0">
        <x:v>0</x:v>
      </x:c>
      <x:c r="S745" s="0">
        <x:v>0</x:v>
      </x:c>
      <x:c r="T745" s="0">
        <x:v>0</x:v>
      </x:c>
      <x:c r="V745" s="0">
        <x:v>0</x:v>
      </x:c>
      <x:c r="W745" s="21">
        <x:v>0</x:v>
      </x:c>
      <x:c r="X745" s="0">
        <x:v>0</x:v>
      </x:c>
      <x:c r="Y745" s="21">
        <x:v>0</x:v>
      </x:c>
      <x:c r="AK745" s="0" t="s">
        <x:v>1584</x:v>
      </x:c>
    </x:row>
    <x:row r="746" spans="1:37" x14ac:dyDescent="0.25">
      <x:c r="A746" s="0">
        <x:f>ROW(A746)-1</x:f>
      </x:c>
      <x:c r="G746" s="0" t="s">
        <x:v>1320</x:v>
      </x:c>
      <x:c r="M746" s="0">
        <x:v>0</x:v>
      </x:c>
      <x:c r="N746" s="0">
        <x:v>0</x:v>
      </x:c>
      <x:c r="S746" s="0">
        <x:v>0</x:v>
      </x:c>
      <x:c r="T746" s="0">
        <x:v>0</x:v>
      </x:c>
      <x:c r="V746" s="0">
        <x:v>0</x:v>
      </x:c>
      <x:c r="W746" s="21">
        <x:v>0</x:v>
      </x:c>
      <x:c r="X746" s="0">
        <x:v>0</x:v>
      </x:c>
      <x:c r="Y746" s="21">
        <x:v>0</x:v>
      </x:c>
      <x:c r="AK746" s="0" t="s">
        <x:v>1584</x:v>
      </x:c>
    </x:row>
    <x:row r="747" spans="1:37" x14ac:dyDescent="0.25">
      <x:c r="A747" s="0">
        <x:f>ROW(A747)-1</x:f>
      </x:c>
      <x:c r="G747" s="0" t="s">
        <x:v>1320</x:v>
      </x:c>
      <x:c r="M747" s="0">
        <x:v>0</x:v>
      </x:c>
      <x:c r="N747" s="0">
        <x:v>0</x:v>
      </x:c>
      <x:c r="S747" s="0">
        <x:v>0</x:v>
      </x:c>
      <x:c r="T747" s="0">
        <x:v>0</x:v>
      </x:c>
      <x:c r="V747" s="0">
        <x:v>0</x:v>
      </x:c>
      <x:c r="W747" s="21">
        <x:v>0</x:v>
      </x:c>
      <x:c r="X747" s="0">
        <x:v>0</x:v>
      </x:c>
      <x:c r="Y747" s="21">
        <x:v>0</x:v>
      </x:c>
      <x:c r="AK747" s="0" t="s">
        <x:v>1584</x:v>
      </x:c>
    </x:row>
    <x:row r="748" spans="1:37" x14ac:dyDescent="0.25">
      <x:c r="A748" s="0">
        <x:f>ROW(A748)-1</x:f>
      </x:c>
      <x:c r="G748" s="0" t="s">
        <x:v>1320</x:v>
      </x:c>
      <x:c r="M748" s="0">
        <x:v>0</x:v>
      </x:c>
      <x:c r="N748" s="0">
        <x:v>0</x:v>
      </x:c>
      <x:c r="S748" s="0">
        <x:v>0</x:v>
      </x:c>
      <x:c r="T748" s="0">
        <x:v>0</x:v>
      </x:c>
      <x:c r="V748" s="0">
        <x:v>0</x:v>
      </x:c>
      <x:c r="W748" s="21">
        <x:v>0</x:v>
      </x:c>
      <x:c r="X748" s="0">
        <x:v>0</x:v>
      </x:c>
      <x:c r="Y748" s="21">
        <x:v>0</x:v>
      </x:c>
      <x:c r="AK748" s="0" t="s">
        <x:v>1584</x:v>
      </x:c>
    </x:row>
    <x:row r="749" spans="1:37" x14ac:dyDescent="0.25">
      <x:c r="A749" s="0">
        <x:f>ROW(A749)-1</x:f>
      </x:c>
      <x:c r="G749" s="0" t="s">
        <x:v>1320</x:v>
      </x:c>
      <x:c r="M749" s="0">
        <x:v>0</x:v>
      </x:c>
      <x:c r="N749" s="0">
        <x:v>0</x:v>
      </x:c>
      <x:c r="S749" s="0">
        <x:v>0</x:v>
      </x:c>
      <x:c r="T749" s="0">
        <x:v>0</x:v>
      </x:c>
      <x:c r="V749" s="0">
        <x:v>0</x:v>
      </x:c>
      <x:c r="W749" s="21">
        <x:v>0</x:v>
      </x:c>
      <x:c r="X749" s="0">
        <x:v>0</x:v>
      </x:c>
      <x:c r="Y749" s="21">
        <x:v>0</x:v>
      </x:c>
      <x:c r="AK749" s="0" t="s">
        <x:v>1584</x:v>
      </x:c>
    </x:row>
    <x:row r="750" spans="1:37" x14ac:dyDescent="0.25">
      <x:c r="A750" s="0">
        <x:f>ROW(A750)-1</x:f>
      </x:c>
      <x:c r="E750" s="0" t="s">
        <x:v>1873</x:v>
      </x:c>
      <x:c r="F750" s="0" t="s">
        <x:v>1874</x:v>
      </x:c>
      <x:c r="G750" s="0" t="s">
        <x:v>1320</x:v>
      </x:c>
      <x:c r="M750" s="0">
        <x:v>2019</x:v>
      </x:c>
      <x:c r="N750" s="0">
        <x:v>0</x:v>
      </x:c>
      <x:c r="O750" s="0" t="s">
        <x:v>1441</x:v>
      </x:c>
      <x:c r="Q750" s="0" t="s">
        <x:v>1368</x:v>
      </x:c>
      <x:c r="S750" s="0">
        <x:v>0</x:v>
      </x:c>
      <x:c r="T750" s="0">
        <x:v>0</x:v>
      </x:c>
      <x:c r="V750" s="0">
        <x:v>0</x:v>
      </x:c>
      <x:c r="W750" s="21">
        <x:v>0</x:v>
      </x:c>
      <x:c r="X750" s="0">
        <x:v>180460</x:v>
      </x:c>
      <x:c r="Y750" s="21">
        <x:v>0</x:v>
      </x:c>
      <x:c r="AK750" s="0" t="s">
        <x:v>1584</x:v>
      </x:c>
    </x:row>
    <x:row r="751" spans="1:37" x14ac:dyDescent="0.25">
      <x:c r="A751" s="0">
        <x:f>ROW(A751)-1</x:f>
      </x:c>
      <x:c r="G751" s="0" t="s">
        <x:v>1320</x:v>
      </x:c>
      <x:c r="M751" s="0">
        <x:v>0</x:v>
      </x:c>
      <x:c r="N751" s="0">
        <x:v>0</x:v>
      </x:c>
      <x:c r="S751" s="0">
        <x:v>0</x:v>
      </x:c>
      <x:c r="T751" s="0">
        <x:v>0</x:v>
      </x:c>
      <x:c r="V751" s="0">
        <x:v>0</x:v>
      </x:c>
      <x:c r="W751" s="21">
        <x:v>0</x:v>
      </x:c>
      <x:c r="X751" s="0">
        <x:v>0</x:v>
      </x:c>
      <x:c r="Y751" s="21">
        <x:v>0</x:v>
      </x:c>
      <x:c r="AK751" s="0" t="s">
        <x:v>1584</x:v>
      </x:c>
    </x:row>
    <x:row r="752" spans="1:37" x14ac:dyDescent="0.25">
      <x:c r="A752" s="0">
        <x:f>ROW(A752)-1</x:f>
      </x:c>
      <x:c r="E752" s="0" t="s">
        <x:v>1522</x:v>
      </x:c>
      <x:c r="F752" s="0" t="s">
        <x:v>1523</x:v>
      </x:c>
      <x:c r="G752" s="0" t="s">
        <x:v>1320</x:v>
      </x:c>
      <x:c r="M752" s="0">
        <x:v>0</x:v>
      </x:c>
      <x:c r="N752" s="0">
        <x:v>0</x:v>
      </x:c>
      <x:c r="O752" s="0" t="s">
        <x:v>1583</x:v>
      </x:c>
      <x:c r="S752" s="0">
        <x:v>0</x:v>
      </x:c>
      <x:c r="T752" s="0">
        <x:v>0</x:v>
      </x:c>
      <x:c r="V752" s="0">
        <x:v>0</x:v>
      </x:c>
      <x:c r="W752" s="21">
        <x:v>0</x:v>
      </x:c>
      <x:c r="X752" s="0">
        <x:v>45000</x:v>
      </x:c>
      <x:c r="Y752" s="21">
        <x:v>0</x:v>
      </x:c>
      <x:c r="AK752" s="0" t="s">
        <x:v>1584</x:v>
      </x:c>
    </x:row>
    <x:row r="753" spans="1:37" x14ac:dyDescent="0.25">
      <x:c r="A753" s="0">
        <x:f>ROW(A753)-1</x:f>
      </x:c>
      <x:c r="G753" s="0" t="s">
        <x:v>1320</x:v>
      </x:c>
      <x:c r="M753" s="0">
        <x:v>0</x:v>
      </x:c>
      <x:c r="N753" s="0">
        <x:v>0</x:v>
      </x:c>
      <x:c r="S753" s="0">
        <x:v>0</x:v>
      </x:c>
      <x:c r="T753" s="0">
        <x:v>0</x:v>
      </x:c>
      <x:c r="V753" s="0">
        <x:v>0</x:v>
      </x:c>
      <x:c r="W753" s="21">
        <x:v>0</x:v>
      </x:c>
      <x:c r="X753" s="0">
        <x:v>0</x:v>
      </x:c>
      <x:c r="Y753" s="21">
        <x:v>0</x:v>
      </x:c>
      <x:c r="AK753" s="0" t="s">
        <x:v>1584</x:v>
      </x:c>
    </x:row>
    <x:row r="754" spans="1:37" x14ac:dyDescent="0.25">
      <x:c r="A754" s="0">
        <x:f>ROW(A754)-1</x:f>
      </x:c>
      <x:c r="G754" s="0" t="s">
        <x:v>1320</x:v>
      </x:c>
      <x:c r="M754" s="0">
        <x:v>2017</x:v>
      </x:c>
      <x:c r="N754" s="0">
        <x:v>0</x:v>
      </x:c>
      <x:c r="S754" s="0">
        <x:v>0</x:v>
      </x:c>
      <x:c r="T754" s="0">
        <x:v>0</x:v>
      </x:c>
      <x:c r="V754" s="0">
        <x:v>0</x:v>
      </x:c>
      <x:c r="W754" s="21">
        <x:v>0</x:v>
      </x:c>
      <x:c r="X754" s="0">
        <x:v>0</x:v>
      </x:c>
      <x:c r="Y754" s="21">
        <x:v>0</x:v>
      </x:c>
      <x:c r="AK754" s="0" t="s">
        <x:v>1584</x:v>
      </x:c>
    </x:row>
    <x:row r="755" spans="1:37" x14ac:dyDescent="0.25">
      <x:c r="A755" s="0">
        <x:f>ROW(A755)-1</x:f>
      </x:c>
      <x:c r="G755" s="0" t="s">
        <x:v>1320</x:v>
      </x:c>
      <x:c r="M755" s="0">
        <x:v>0</x:v>
      </x:c>
      <x:c r="N755" s="0">
        <x:v>0</x:v>
      </x:c>
      <x:c r="S755" s="0">
        <x:v>0</x:v>
      </x:c>
      <x:c r="T755" s="0">
        <x:v>0</x:v>
      </x:c>
      <x:c r="V755" s="0">
        <x:v>0</x:v>
      </x:c>
      <x:c r="W755" s="21">
        <x:v>0</x:v>
      </x:c>
      <x:c r="X755" s="0">
        <x:v>0</x:v>
      </x:c>
      <x:c r="Y755" s="21">
        <x:v>0</x:v>
      </x:c>
      <x:c r="AK755" s="0" t="s">
        <x:v>1584</x:v>
      </x:c>
    </x:row>
    <x:row r="756" spans="1:37" x14ac:dyDescent="0.25">
      <x:c r="A756" s="0">
        <x:f>ROW(A756)-1</x:f>
      </x:c>
      <x:c r="E756" s="0" t="s">
        <x:v>1707</x:v>
      </x:c>
      <x:c r="F756" s="0" t="s">
        <x:v>1875</x:v>
      </x:c>
      <x:c r="G756" s="0" t="s">
        <x:v>1320</x:v>
      </x:c>
      <x:c r="M756" s="0">
        <x:v>2018</x:v>
      </x:c>
      <x:c r="N756" s="0">
        <x:v>0</x:v>
      </x:c>
      <x:c r="O756" s="0" t="s">
        <x:v>1591</x:v>
      </x:c>
      <x:c r="S756" s="0">
        <x:v>0</x:v>
      </x:c>
      <x:c r="T756" s="0">
        <x:v>0</x:v>
      </x:c>
      <x:c r="V756" s="0">
        <x:v>0</x:v>
      </x:c>
      <x:c r="W756" s="21">
        <x:v>0</x:v>
      </x:c>
      <x:c r="X756" s="0">
        <x:v>16187</x:v>
      </x:c>
      <x:c r="Y756" s="21">
        <x:v>0</x:v>
      </x:c>
      <x:c r="AK756" s="0" t="s">
        <x:v>1876</x:v>
      </x:c>
    </x:row>
    <x:row r="757" spans="1:37" x14ac:dyDescent="0.25">
      <x:c r="A757" s="0">
        <x:f>ROW(A757)-1</x:f>
      </x:c>
      <x:c r="G757" s="0" t="s">
        <x:v>1320</x:v>
      </x:c>
      <x:c r="M757" s="0">
        <x:v>0</x:v>
      </x:c>
      <x:c r="N757" s="0">
        <x:v>0</x:v>
      </x:c>
      <x:c r="S757" s="0">
        <x:v>0</x:v>
      </x:c>
      <x:c r="T757" s="0">
        <x:v>0</x:v>
      </x:c>
      <x:c r="V757" s="0">
        <x:v>0</x:v>
      </x:c>
      <x:c r="W757" s="21">
        <x:v>0</x:v>
      </x:c>
      <x:c r="X757" s="0">
        <x:v>0</x:v>
      </x:c>
      <x:c r="Y757" s="21">
        <x:v>0</x:v>
      </x:c>
    </x:row>
    <x:row r="758" spans="1:37" x14ac:dyDescent="0.25">
      <x:c r="A758" s="0">
        <x:f>ROW(A758)-1</x:f>
      </x:c>
      <x:c r="E758" s="0" t="s">
        <x:v>1877</x:v>
      </x:c>
      <x:c r="G758" s="0" t="s">
        <x:v>1320</x:v>
      </x:c>
      <x:c r="M758" s="0">
        <x:v>0</x:v>
      </x:c>
      <x:c r="N758" s="0">
        <x:v>0</x:v>
      </x:c>
      <x:c r="S758" s="0">
        <x:v>0</x:v>
      </x:c>
      <x:c r="T758" s="0">
        <x:v>0</x:v>
      </x:c>
      <x:c r="V758" s="0">
        <x:v>0</x:v>
      </x:c>
      <x:c r="W758" s="21">
        <x:v>0</x:v>
      </x:c>
      <x:c r="X758" s="0">
        <x:v>0</x:v>
      </x:c>
      <x:c r="Y758" s="21">
        <x:v>0</x:v>
      </x:c>
      <x:c r="AK758" s="0" t="s">
        <x:v>1584</x:v>
      </x:c>
    </x:row>
    <x:row r="759" spans="1:37" x14ac:dyDescent="0.25">
      <x:c r="A759" s="0">
        <x:f>ROW(A759)-1</x:f>
      </x:c>
      <x:c r="E759" s="0" t="s">
        <x:v>1524</x:v>
      </x:c>
      <x:c r="F759" s="0" t="s">
        <x:v>1365</x:v>
      </x:c>
      <x:c r="G759" s="0" t="s">
        <x:v>1320</x:v>
      </x:c>
      <x:c r="M759" s="0">
        <x:v>2022</x:v>
      </x:c>
      <x:c r="N759" s="0">
        <x:v>0</x:v>
      </x:c>
      <x:c r="O759" s="0" t="s">
        <x:v>1482</x:v>
      </x:c>
      <x:c r="S759" s="0">
        <x:v>0</x:v>
      </x:c>
      <x:c r="T759" s="0">
        <x:v>0</x:v>
      </x:c>
      <x:c r="V759" s="0">
        <x:v>0</x:v>
      </x:c>
      <x:c r="W759" s="21">
        <x:v>0</x:v>
      </x:c>
      <x:c r="X759" s="0">
        <x:v>0</x:v>
      </x:c>
      <x:c r="Y759" s="21">
        <x:v>0</x:v>
      </x:c>
      <x:c r="AK759" s="0" t="s">
        <x:v>1584</x:v>
      </x:c>
    </x:row>
    <x:row r="760" spans="1:37" x14ac:dyDescent="0.25">
      <x:c r="A760" s="0">
        <x:f>ROW(A760)-1</x:f>
      </x:c>
      <x:c r="E760" s="0" t="s">
        <x:v>1878</x:v>
      </x:c>
      <x:c r="F760" s="0" t="s">
        <x:v>1879</x:v>
      </x:c>
      <x:c r="G760" s="0" t="s">
        <x:v>1320</x:v>
      </x:c>
      <x:c r="M760" s="0">
        <x:v>0</x:v>
      </x:c>
      <x:c r="N760" s="0">
        <x:v>2022</x:v>
      </x:c>
      <x:c r="S760" s="0">
        <x:v>2567</x:v>
      </x:c>
      <x:c r="T760" s="0">
        <x:v>0</x:v>
      </x:c>
      <x:c r="V760" s="0">
        <x:v>0</x:v>
      </x:c>
      <x:c r="W760" s="21">
        <x:v>0</x:v>
      </x:c>
      <x:c r="X760" s="0">
        <x:v>0</x:v>
      </x:c>
      <x:c r="Y760" s="21">
        <x:v>0</x:v>
      </x:c>
      <x:c r="AK760" s="0" t="s">
        <x:v>1584</x:v>
      </x:c>
    </x:row>
    <x:row r="761" spans="1:37" x14ac:dyDescent="0.25">
      <x:c r="A761" s="0">
        <x:f>ROW(A761)-1</x:f>
      </x:c>
      <x:c r="E761" s="0" t="s">
        <x:v>1880</x:v>
      </x:c>
      <x:c r="F761" s="0" t="s">
        <x:v>1881</x:v>
      </x:c>
      <x:c r="G761" s="0" t="s">
        <x:v>1320</x:v>
      </x:c>
      <x:c r="M761" s="0">
        <x:v>0</x:v>
      </x:c>
      <x:c r="N761" s="0">
        <x:v>2022</x:v>
      </x:c>
      <x:c r="S761" s="0">
        <x:v>0</x:v>
      </x:c>
      <x:c r="T761" s="0">
        <x:v>0</x:v>
      </x:c>
      <x:c r="V761" s="0">
        <x:v>3500</x:v>
      </x:c>
      <x:c r="W761" s="21">
        <x:v>0</x:v>
      </x:c>
      <x:c r="X761" s="0">
        <x:v>2000</x:v>
      </x:c>
      <x:c r="Y761" s="21">
        <x:v>0</x:v>
      </x:c>
      <x:c r="AK761" s="0" t="s">
        <x:v>1584</x:v>
      </x:c>
    </x:row>
    <x:row r="762" spans="1:37" x14ac:dyDescent="0.25">
      <x:c r="A762" s="0">
        <x:f>ROW(A762)-1</x:f>
      </x:c>
      <x:c r="E762" s="0" t="s">
        <x:v>1880</x:v>
      </x:c>
      <x:c r="F762" s="0" t="s">
        <x:v>1882</x:v>
      </x:c>
      <x:c r="G762" s="0" t="s">
        <x:v>1320</x:v>
      </x:c>
      <x:c r="M762" s="0">
        <x:v>0</x:v>
      </x:c>
      <x:c r="N762" s="0">
        <x:v>2022</x:v>
      </x:c>
      <x:c r="S762" s="0">
        <x:v>75</x:v>
      </x:c>
      <x:c r="T762" s="0">
        <x:v>0</x:v>
      </x:c>
      <x:c r="V762" s="0">
        <x:v>6000</x:v>
      </x:c>
      <x:c r="W762" s="21">
        <x:v>0</x:v>
      </x:c>
      <x:c r="X762" s="0">
        <x:v>1156</x:v>
      </x:c>
      <x:c r="Y762" s="21">
        <x:v>0</x:v>
      </x:c>
      <x:c r="AK762" s="0" t="s">
        <x:v>1584</x:v>
      </x:c>
    </x:row>
    <x:row r="763" spans="1:37" x14ac:dyDescent="0.25">
      <x:c r="A763" s="0">
        <x:f>ROW(A763)-1</x:f>
      </x:c>
      <x:c r="E763" s="0" t="s">
        <x:v>1880</x:v>
      </x:c>
      <x:c r="F763" s="0" t="s">
        <x:v>1882</x:v>
      </x:c>
      <x:c r="G763" s="0" t="s">
        <x:v>1320</x:v>
      </x:c>
      <x:c r="M763" s="0">
        <x:v>0</x:v>
      </x:c>
      <x:c r="N763" s="0">
        <x:v>2022</x:v>
      </x:c>
      <x:c r="S763" s="0">
        <x:v>120</x:v>
      </x:c>
      <x:c r="T763" s="0">
        <x:v>0</x:v>
      </x:c>
      <x:c r="V763" s="0">
        <x:v>4000</x:v>
      </x:c>
      <x:c r="W763" s="21">
        <x:v>0</x:v>
      </x:c>
      <x:c r="X763" s="0">
        <x:v>1467</x:v>
      </x:c>
      <x:c r="Y763" s="21">
        <x:v>0</x:v>
      </x:c>
      <x:c r="AK763" s="0" t="s">
        <x:v>1584</x:v>
      </x:c>
    </x:row>
    <x:row r="764" spans="1:37" x14ac:dyDescent="0.25">
      <x:c r="A764" s="0">
        <x:f>ROW(A764)-1</x:f>
      </x:c>
      <x:c r="E764" s="0" t="s">
        <x:v>1880</x:v>
      </x:c>
      <x:c r="F764" s="0" t="s">
        <x:v>1882</x:v>
      </x:c>
      <x:c r="G764" s="0" t="s">
        <x:v>1320</x:v>
      </x:c>
      <x:c r="M764" s="0">
        <x:v>0</x:v>
      </x:c>
      <x:c r="N764" s="0">
        <x:v>2022</x:v>
      </x:c>
      <x:c r="S764" s="0">
        <x:v>82</x:v>
      </x:c>
      <x:c r="T764" s="0">
        <x:v>0</x:v>
      </x:c>
      <x:c r="V764" s="0">
        <x:v>0</x:v>
      </x:c>
      <x:c r="W764" s="21">
        <x:v>0</x:v>
      </x:c>
      <x:c r="X764" s="0">
        <x:v>0</x:v>
      </x:c>
      <x:c r="Y764" s="21">
        <x:v>0</x:v>
      </x:c>
      <x:c r="AK764" s="0" t="s">
        <x:v>1584</x:v>
      </x:c>
    </x:row>
    <x:row r="765" spans="1:37" x14ac:dyDescent="0.25">
      <x:c r="A765" s="0">
        <x:f>ROW(A765)-1</x:f>
      </x:c>
      <x:c r="E765" s="0" t="s">
        <x:v>1880</x:v>
      </x:c>
      <x:c r="F765" s="0" t="s">
        <x:v>1881</x:v>
      </x:c>
      <x:c r="G765" s="0" t="s">
        <x:v>1320</x:v>
      </x:c>
      <x:c r="M765" s="0">
        <x:v>0</x:v>
      </x:c>
      <x:c r="N765" s="0">
        <x:v>2022</x:v>
      </x:c>
      <x:c r="S765" s="0">
        <x:v>0</x:v>
      </x:c>
      <x:c r="T765" s="0">
        <x:v>0</x:v>
      </x:c>
      <x:c r="V765" s="0">
        <x:v>0</x:v>
      </x:c>
      <x:c r="W765" s="21">
        <x:v>0</x:v>
      </x:c>
      <x:c r="X765" s="0">
        <x:v>0</x:v>
      </x:c>
      <x:c r="Y765" s="21">
        <x:v>0</x:v>
      </x:c>
      <x:c r="AK765" s="0" t="s">
        <x:v>1584</x:v>
      </x:c>
    </x:row>
    <x:row r="766" spans="1:37" x14ac:dyDescent="0.25">
      <x:c r="A766" s="0">
        <x:f>ROW(A766)-1</x:f>
      </x:c>
      <x:c r="E766" s="0" t="s">
        <x:v>1883</x:v>
      </x:c>
      <x:c r="F766" s="0" t="s">
        <x:v>1884</x:v>
      </x:c>
      <x:c r="G766" s="0" t="s">
        <x:v>1320</x:v>
      </x:c>
      <x:c r="M766" s="0">
        <x:v>0</x:v>
      </x:c>
      <x:c r="N766" s="0">
        <x:v>2022</x:v>
      </x:c>
      <x:c r="S766" s="0">
        <x:v>100</x:v>
      </x:c>
      <x:c r="T766" s="0">
        <x:v>0</x:v>
      </x:c>
      <x:c r="V766" s="0">
        <x:v>9000</x:v>
      </x:c>
      <x:c r="W766" s="21">
        <x:v>0</x:v>
      </x:c>
      <x:c r="X766" s="0">
        <x:v>1500</x:v>
      </x:c>
      <x:c r="Y766" s="21">
        <x:v>0</x:v>
      </x:c>
      <x:c r="AK766" s="0" t="s">
        <x:v>1584</x:v>
      </x:c>
    </x:row>
    <x:row r="767" spans="1:37" x14ac:dyDescent="0.25">
      <x:c r="A767" s="0">
        <x:f>ROW(A767)-1</x:f>
      </x:c>
      <x:c r="E767" s="0" t="s">
        <x:v>1878</x:v>
      </x:c>
      <x:c r="F767" s="0" t="s">
        <x:v>1885</x:v>
      </x:c>
      <x:c r="G767" s="0" t="s">
        <x:v>1320</x:v>
      </x:c>
      <x:c r="M767" s="0">
        <x:v>0</x:v>
      </x:c>
      <x:c r="N767" s="0">
        <x:v>2022</x:v>
      </x:c>
      <x:c r="S767" s="0">
        <x:v>2400</x:v>
      </x:c>
      <x:c r="T767" s="0">
        <x:v>0</x:v>
      </x:c>
      <x:c r="V767" s="0">
        <x:v>0</x:v>
      </x:c>
      <x:c r="W767" s="21">
        <x:v>0</x:v>
      </x:c>
      <x:c r="X767" s="0">
        <x:v>0</x:v>
      </x:c>
      <x:c r="Y767" s="21">
        <x:v>0</x:v>
      </x:c>
      <x:c r="AK767" s="0" t="s">
        <x:v>1584</x:v>
      </x:c>
    </x:row>
    <x:row r="768" spans="1:37" x14ac:dyDescent="0.25">
      <x:c r="A768" s="0">
        <x:f>ROW(A768)-1</x:f>
      </x:c>
      <x:c r="E768" s="0" t="s">
        <x:v>1886</x:v>
      </x:c>
      <x:c r="F768" s="0" t="s">
        <x:v>1882</x:v>
      </x:c>
      <x:c r="G768" s="0" t="s">
        <x:v>1320</x:v>
      </x:c>
      <x:c r="M768" s="0">
        <x:v>0</x:v>
      </x:c>
      <x:c r="N768" s="0">
        <x:v>2022</x:v>
      </x:c>
      <x:c r="S768" s="0">
        <x:v>0</x:v>
      </x:c>
      <x:c r="T768" s="0">
        <x:v>0</x:v>
      </x:c>
      <x:c r="V768" s="0">
        <x:v>4500</x:v>
      </x:c>
      <x:c r="W768" s="21">
        <x:v>0</x:v>
      </x:c>
      <x:c r="X768" s="0">
        <x:v>6000</x:v>
      </x:c>
      <x:c r="Y768" s="21">
        <x:v>0</x:v>
      </x:c>
      <x:c r="AK768" s="0" t="s">
        <x:v>1584</x:v>
      </x:c>
    </x:row>
    <x:row r="769" spans="1:37" x14ac:dyDescent="0.25">
      <x:c r="A769" s="0">
        <x:f>ROW(A769)-1</x:f>
      </x:c>
      <x:c r="E769" s="0" t="s">
        <x:v>1880</x:v>
      </x:c>
      <x:c r="F769" s="0" t="s">
        <x:v>1882</x:v>
      </x:c>
      <x:c r="G769" s="0" t="s">
        <x:v>1320</x:v>
      </x:c>
      <x:c r="M769" s="0">
        <x:v>0</x:v>
      </x:c>
      <x:c r="N769" s="0">
        <x:v>2022</x:v>
      </x:c>
      <x:c r="S769" s="0">
        <x:v>57</x:v>
      </x:c>
      <x:c r="T769" s="0">
        <x:v>0</x:v>
      </x:c>
      <x:c r="V769" s="0">
        <x:v>8500</x:v>
      </x:c>
      <x:c r="W769" s="21">
        <x:v>0</x:v>
      </x:c>
      <x:c r="X769" s="0">
        <x:v>1500</x:v>
      </x:c>
      <x:c r="Y769" s="21">
        <x:v>0</x:v>
      </x:c>
      <x:c r="AK769" s="0" t="s">
        <x:v>1584</x:v>
      </x:c>
    </x:row>
    <x:row r="770" spans="1:37" x14ac:dyDescent="0.25">
      <x:c r="A770" s="0">
        <x:f>ROW(A770)-1</x:f>
      </x:c>
      <x:c r="E770" s="0" t="s">
        <x:v>1880</x:v>
      </x:c>
      <x:c r="F770" s="0" t="s">
        <x:v>1882</x:v>
      </x:c>
      <x:c r="G770" s="0" t="s">
        <x:v>1320</x:v>
      </x:c>
      <x:c r="M770" s="0">
        <x:v>0</x:v>
      </x:c>
      <x:c r="N770" s="0">
        <x:v>2022</x:v>
      </x:c>
      <x:c r="S770" s="0">
        <x:v>77</x:v>
      </x:c>
      <x:c r="T770" s="0">
        <x:v>0</x:v>
      </x:c>
      <x:c r="V770" s="0">
        <x:v>8500</x:v>
      </x:c>
      <x:c r="W770" s="21">
        <x:v>0</x:v>
      </x:c>
      <x:c r="X770" s="0">
        <x:v>2000</x:v>
      </x:c>
      <x:c r="Y770" s="21">
        <x:v>0</x:v>
      </x:c>
      <x:c r="AK770" s="0" t="s">
        <x:v>1584</x:v>
      </x:c>
    </x:row>
    <x:row r="771" spans="1:37" x14ac:dyDescent="0.25">
      <x:c r="A771" s="0">
        <x:f>ROW(A771)-1</x:f>
      </x:c>
      <x:c r="E771" s="0" t="s">
        <x:v>1880</x:v>
      </x:c>
      <x:c r="F771" s="0" t="s">
        <x:v>1882</x:v>
      </x:c>
      <x:c r="G771" s="0" t="s">
        <x:v>1320</x:v>
      </x:c>
      <x:c r="M771" s="0">
        <x:v>0</x:v>
      </x:c>
      <x:c r="N771" s="0">
        <x:v>2022</x:v>
      </x:c>
      <x:c r="S771" s="0">
        <x:v>77</x:v>
      </x:c>
      <x:c r="T771" s="0">
        <x:v>0</x:v>
      </x:c>
      <x:c r="V771" s="0">
        <x:v>5800</x:v>
      </x:c>
      <x:c r="W771" s="21">
        <x:v>0</x:v>
      </x:c>
      <x:c r="X771" s="0">
        <x:v>1700</x:v>
      </x:c>
      <x:c r="Y771" s="21">
        <x:v>0</x:v>
      </x:c>
      <x:c r="AK771" s="0" t="s">
        <x:v>1584</x:v>
      </x:c>
    </x:row>
    <x:row r="772" spans="1:37" x14ac:dyDescent="0.25">
      <x:c r="A772" s="0">
        <x:f>ROW(A772)-1</x:f>
      </x:c>
      <x:c r="E772" s="0" t="s">
        <x:v>1880</x:v>
      </x:c>
      <x:c r="F772" s="0" t="s">
        <x:v>1882</x:v>
      </x:c>
      <x:c r="G772" s="0" t="s">
        <x:v>1320</x:v>
      </x:c>
      <x:c r="M772" s="0">
        <x:v>0</x:v>
      </x:c>
      <x:c r="N772" s="0">
        <x:v>2022</x:v>
      </x:c>
      <x:c r="S772" s="0">
        <x:v>47</x:v>
      </x:c>
      <x:c r="T772" s="0">
        <x:v>0</x:v>
      </x:c>
      <x:c r="V772" s="0">
        <x:v>0</x:v>
      </x:c>
      <x:c r="W772" s="21">
        <x:v>0</x:v>
      </x:c>
      <x:c r="X772" s="0">
        <x:v>0</x:v>
      </x:c>
      <x:c r="Y772" s="21">
        <x:v>0</x:v>
      </x:c>
      <x:c r="AK772" s="0" t="s">
        <x:v>1584</x:v>
      </x:c>
    </x:row>
    <x:row r="773" spans="1:37" x14ac:dyDescent="0.25">
      <x:c r="A773" s="0">
        <x:f>ROW(A773)-1</x:f>
      </x:c>
      <x:c r="E773" s="0" t="s">
        <x:v>1880</x:v>
      </x:c>
      <x:c r="F773" s="0" t="s">
        <x:v>1882</x:v>
      </x:c>
      <x:c r="G773" s="0" t="s">
        <x:v>1320</x:v>
      </x:c>
      <x:c r="M773" s="0">
        <x:v>0</x:v>
      </x:c>
      <x:c r="N773" s="0">
        <x:v>2022</x:v>
      </x:c>
      <x:c r="S773" s="0">
        <x:v>78</x:v>
      </x:c>
      <x:c r="T773" s="0">
        <x:v>0</x:v>
      </x:c>
      <x:c r="V773" s="0">
        <x:v>10276</x:v>
      </x:c>
      <x:c r="W773" s="21">
        <x:v>0</x:v>
      </x:c>
      <x:c r="X773" s="0">
        <x:v>1830</x:v>
      </x:c>
      <x:c r="Y773" s="21">
        <x:v>0</x:v>
      </x:c>
      <x:c r="AK773" s="0" t="s">
        <x:v>1584</x:v>
      </x:c>
    </x:row>
    <x:row r="774" spans="1:37" x14ac:dyDescent="0.25">
      <x:c r="A774" s="0">
        <x:f>ROW(A774)-1</x:f>
      </x:c>
      <x:c r="E774" s="0" t="s">
        <x:v>1880</x:v>
      </x:c>
      <x:c r="F774" s="0" t="s">
        <x:v>1882</x:v>
      </x:c>
      <x:c r="G774" s="0" t="s">
        <x:v>1320</x:v>
      </x:c>
      <x:c r="M774" s="0">
        <x:v>0</x:v>
      </x:c>
      <x:c r="N774" s="0">
        <x:v>2022</x:v>
      </x:c>
      <x:c r="S774" s="0">
        <x:v>47</x:v>
      </x:c>
      <x:c r="T774" s="0">
        <x:v>0</x:v>
      </x:c>
      <x:c r="V774" s="0">
        <x:v>8169</x:v>
      </x:c>
      <x:c r="W774" s="21">
        <x:v>0</x:v>
      </x:c>
      <x:c r="X774" s="0">
        <x:v>1638</x:v>
      </x:c>
      <x:c r="Y774" s="21">
        <x:v>0</x:v>
      </x:c>
      <x:c r="AK774" s="0" t="s">
        <x:v>1584</x:v>
      </x:c>
    </x:row>
    <x:row r="775" spans="1:37" x14ac:dyDescent="0.25">
      <x:c r="A775" s="0">
        <x:f>ROW(A775)-1</x:f>
      </x:c>
      <x:c r="E775" s="0" t="s">
        <x:v>1880</x:v>
      </x:c>
      <x:c r="F775" s="0" t="s">
        <x:v>1882</x:v>
      </x:c>
      <x:c r="G775" s="0" t="s">
        <x:v>1320</x:v>
      </x:c>
      <x:c r="M775" s="0">
        <x:v>0</x:v>
      </x:c>
      <x:c r="N775" s="0">
        <x:v>2022</x:v>
      </x:c>
      <x:c r="S775" s="0">
        <x:v>76</x:v>
      </x:c>
      <x:c r="T775" s="0">
        <x:v>0</x:v>
      </x:c>
      <x:c r="V775" s="0">
        <x:v>9811</x:v>
      </x:c>
      <x:c r="W775" s="21">
        <x:v>0</x:v>
      </x:c>
      <x:c r="X775" s="0">
        <x:v>2532</x:v>
      </x:c>
      <x:c r="Y775" s="21">
        <x:v>0</x:v>
      </x:c>
      <x:c r="AK775" s="0" t="s">
        <x:v>1584</x:v>
      </x:c>
    </x:row>
    <x:row r="776" spans="1:37" x14ac:dyDescent="0.25">
      <x:c r="A776" s="0">
        <x:f>ROW(A776)-1</x:f>
      </x:c>
      <x:c r="E776" s="0" t="s">
        <x:v>1880</x:v>
      </x:c>
      <x:c r="F776" s="0" t="s">
        <x:v>1882</x:v>
      </x:c>
      <x:c r="G776" s="0" t="s">
        <x:v>1320</x:v>
      </x:c>
      <x:c r="M776" s="0">
        <x:v>0</x:v>
      </x:c>
      <x:c r="N776" s="0">
        <x:v>2022</x:v>
      </x:c>
      <x:c r="S776" s="0">
        <x:v>76</x:v>
      </x:c>
      <x:c r="T776" s="0">
        <x:v>0</x:v>
      </x:c>
      <x:c r="V776" s="0">
        <x:v>12472</x:v>
      </x:c>
      <x:c r="W776" s="21">
        <x:v>0</x:v>
      </x:c>
      <x:c r="X776" s="0">
        <x:v>1780</x:v>
      </x:c>
      <x:c r="Y776" s="21">
        <x:v>0</x:v>
      </x:c>
      <x:c r="AK776" s="0" t="s">
        <x:v>1584</x:v>
      </x:c>
    </x:row>
    <x:row r="777" spans="1:37" x14ac:dyDescent="0.25">
      <x:c r="A777" s="0">
        <x:f>ROW(A777)-1</x:f>
      </x:c>
      <x:c r="E777" s="0" t="s">
        <x:v>1880</x:v>
      </x:c>
      <x:c r="F777" s="0" t="s">
        <x:v>1882</x:v>
      </x:c>
      <x:c r="G777" s="0" t="s">
        <x:v>1320</x:v>
      </x:c>
      <x:c r="M777" s="0">
        <x:v>0</x:v>
      </x:c>
      <x:c r="N777" s="0">
        <x:v>2022</x:v>
      </x:c>
      <x:c r="S777" s="0">
        <x:v>75</x:v>
      </x:c>
      <x:c r="T777" s="0">
        <x:v>0</x:v>
      </x:c>
      <x:c r="V777" s="0">
        <x:v>0</x:v>
      </x:c>
      <x:c r="W777" s="21">
        <x:v>0</x:v>
      </x:c>
      <x:c r="X777" s="0">
        <x:v>0</x:v>
      </x:c>
      <x:c r="Y777" s="21">
        <x:v>0</x:v>
      </x:c>
      <x:c r="AK777" s="0" t="s">
        <x:v>1584</x:v>
      </x:c>
    </x:row>
    <x:row r="778" spans="1:37" x14ac:dyDescent="0.25">
      <x:c r="A778" s="0">
        <x:f>ROW(A778)-1</x:f>
      </x:c>
      <x:c r="E778" s="0" t="s">
        <x:v>1880</x:v>
      </x:c>
      <x:c r="F778" s="0" t="s">
        <x:v>1882</x:v>
      </x:c>
      <x:c r="G778" s="0" t="s">
        <x:v>1320</x:v>
      </x:c>
      <x:c r="M778" s="0">
        <x:v>0</x:v>
      </x:c>
      <x:c r="N778" s="0">
        <x:v>2022</x:v>
      </x:c>
      <x:c r="S778" s="0">
        <x:v>92</x:v>
      </x:c>
      <x:c r="T778" s="0">
        <x:v>0</x:v>
      </x:c>
      <x:c r="V778" s="0">
        <x:v>16870</x:v>
      </x:c>
      <x:c r="W778" s="21">
        <x:v>0</x:v>
      </x:c>
      <x:c r="X778" s="0">
        <x:v>2919</x:v>
      </x:c>
      <x:c r="Y778" s="21">
        <x:v>0</x:v>
      </x:c>
      <x:c r="AK778" s="0" t="s">
        <x:v>1584</x:v>
      </x:c>
    </x:row>
    <x:row r="779" spans="1:37" x14ac:dyDescent="0.25">
      <x:c r="A779" s="0">
        <x:f>ROW(A779)-1</x:f>
      </x:c>
      <x:c r="E779" s="0" t="s">
        <x:v>1880</x:v>
      </x:c>
      <x:c r="F779" s="0" t="s">
        <x:v>1882</x:v>
      </x:c>
      <x:c r="G779" s="0" t="s">
        <x:v>1320</x:v>
      </x:c>
      <x:c r="M779" s="0">
        <x:v>0</x:v>
      </x:c>
      <x:c r="N779" s="0">
        <x:v>2022</x:v>
      </x:c>
      <x:c r="S779" s="0">
        <x:v>78</x:v>
      </x:c>
      <x:c r="T779" s="0">
        <x:v>0</x:v>
      </x:c>
      <x:c r="W779" s="21">
        <x:v>0</x:v>
      </x:c>
      <x:c r="Y779" s="21">
        <x:v>0</x:v>
      </x:c>
      <x:c r="AK779" s="0" t="s">
        <x:v>1584</x:v>
      </x:c>
    </x:row>
    <x:row r="780" spans="1:37" x14ac:dyDescent="0.25">
      <x:c r="A780" s="0">
        <x:f>ROW(A780)-1</x:f>
      </x:c>
      <x:c r="E780" s="0" t="s">
        <x:v>1880</x:v>
      </x:c>
      <x:c r="F780" s="0" t="s">
        <x:v>1882</x:v>
      </x:c>
      <x:c r="G780" s="0" t="s">
        <x:v>1320</x:v>
      </x:c>
      <x:c r="M780" s="0">
        <x:v>0</x:v>
      </x:c>
      <x:c r="N780" s="0">
        <x:v>2022</x:v>
      </x:c>
      <x:c r="S780" s="0">
        <x:v>78</x:v>
      </x:c>
      <x:c r="T780" s="0">
        <x:v>0</x:v>
      </x:c>
      <x:c r="V780" s="0">
        <x:v>10754</x:v>
      </x:c>
      <x:c r="W780" s="21">
        <x:v>0</x:v>
      </x:c>
      <x:c r="X780" s="0">
        <x:v>1806</x:v>
      </x:c>
      <x:c r="Y780" s="21">
        <x:v>0</x:v>
      </x:c>
      <x:c r="AK780" s="0" t="s">
        <x:v>1584</x:v>
      </x:c>
    </x:row>
    <x:row r="781" spans="1:37" x14ac:dyDescent="0.25">
      <x:c r="A781" s="0">
        <x:f>ROW(A781)-1</x:f>
      </x:c>
      <x:c r="E781" s="0" t="s">
        <x:v>1878</x:v>
      </x:c>
      <x:c r="F781" s="0" t="s">
        <x:v>1879</x:v>
      </x:c>
      <x:c r="G781" s="0" t="s">
        <x:v>1320</x:v>
      </x:c>
      <x:c r="M781" s="0">
        <x:v>0</x:v>
      </x:c>
      <x:c r="N781" s="0">
        <x:v>2022</x:v>
      </x:c>
      <x:c r="S781" s="0">
        <x:v>2580</x:v>
      </x:c>
      <x:c r="T781" s="0">
        <x:v>0</x:v>
      </x:c>
      <x:c r="V781" s="0">
        <x:v>0</x:v>
      </x:c>
      <x:c r="W781" s="21">
        <x:v>0</x:v>
      </x:c>
      <x:c r="X781" s="0">
        <x:v>0</x:v>
      </x:c>
      <x:c r="Y781" s="21">
        <x:v>0</x:v>
      </x:c>
      <x:c r="AK781" s="0" t="s">
        <x:v>1584</x:v>
      </x:c>
    </x:row>
    <x:row r="782" spans="1:37" x14ac:dyDescent="0.25">
      <x:c r="A782" s="0">
        <x:f>ROW(A782)-1</x:f>
      </x:c>
      <x:c r="E782" s="0" t="s">
        <x:v>1880</x:v>
      </x:c>
      <x:c r="F782" s="0" t="s">
        <x:v>1882</x:v>
      </x:c>
      <x:c r="G782" s="0" t="s">
        <x:v>1320</x:v>
      </x:c>
      <x:c r="M782" s="0">
        <x:v>0</x:v>
      </x:c>
      <x:c r="N782" s="0">
        <x:v>2022</x:v>
      </x:c>
      <x:c r="S782" s="0">
        <x:v>0</x:v>
      </x:c>
      <x:c r="T782" s="0">
        <x:v>0</x:v>
      </x:c>
      <x:c r="V782" s="0">
        <x:v>0</x:v>
      </x:c>
      <x:c r="W782" s="21">
        <x:v>0</x:v>
      </x:c>
      <x:c r="X782" s="0">
        <x:v>0</x:v>
      </x:c>
      <x:c r="Y782" s="21">
        <x:v>0</x:v>
      </x:c>
      <x:c r="AK782" s="0" t="s">
        <x:v>1584</x:v>
      </x:c>
    </x:row>
    <x:row r="783" spans="1:37" x14ac:dyDescent="0.25">
      <x:c r="A783" s="0">
        <x:f>ROW(A783)-1</x:f>
      </x:c>
      <x:c r="E783" s="0" t="s">
        <x:v>1880</x:v>
      </x:c>
      <x:c r="F783" s="0" t="s">
        <x:v>1882</x:v>
      </x:c>
      <x:c r="G783" s="0" t="s">
        <x:v>1320</x:v>
      </x:c>
      <x:c r="M783" s="0">
        <x:v>0</x:v>
      </x:c>
      <x:c r="N783" s="0">
        <x:v>2022</x:v>
      </x:c>
      <x:c r="S783" s="0">
        <x:v>104</x:v>
      </x:c>
      <x:c r="T783" s="0">
        <x:v>0</x:v>
      </x:c>
      <x:c r="V783" s="0">
        <x:v>0</x:v>
      </x:c>
      <x:c r="W783" s="21">
        <x:v>0</x:v>
      </x:c>
      <x:c r="X783" s="0">
        <x:v>3732</x:v>
      </x:c>
      <x:c r="Y783" s="21">
        <x:v>0</x:v>
      </x:c>
      <x:c r="AK783" s="0" t="s">
        <x:v>1584</x:v>
      </x:c>
    </x:row>
    <x:row r="784" spans="1:37" x14ac:dyDescent="0.25">
      <x:c r="A784" s="0">
        <x:f>ROW(A784)-1</x:f>
      </x:c>
      <x:c r="E784" s="0" t="s">
        <x:v>1880</x:v>
      </x:c>
      <x:c r="F784" s="0" t="s">
        <x:v>1882</x:v>
      </x:c>
      <x:c r="G784" s="0" t="s">
        <x:v>1320</x:v>
      </x:c>
      <x:c r="M784" s="0">
        <x:v>0</x:v>
      </x:c>
      <x:c r="N784" s="0">
        <x:v>2022</x:v>
      </x:c>
      <x:c r="S784" s="0">
        <x:v>0</x:v>
      </x:c>
      <x:c r="T784" s="0">
        <x:v>0</x:v>
      </x:c>
      <x:c r="V784" s="0">
        <x:v>4000</x:v>
      </x:c>
      <x:c r="W784" s="21">
        <x:v>0</x:v>
      </x:c>
      <x:c r="X784" s="0">
        <x:v>1257</x:v>
      </x:c>
      <x:c r="Y784" s="21">
        <x:v>0</x:v>
      </x:c>
      <x:c r="AK784" s="0" t="s">
        <x:v>1584</x:v>
      </x:c>
    </x:row>
    <x:row r="785" spans="1:37" x14ac:dyDescent="0.25">
      <x:c r="A785" s="0">
        <x:f>ROW(A785)-1</x:f>
      </x:c>
      <x:c r="E785" s="0" t="s">
        <x:v>1880</x:v>
      </x:c>
      <x:c r="F785" s="0" t="s">
        <x:v>1882</x:v>
      </x:c>
      <x:c r="G785" s="0" t="s">
        <x:v>1320</x:v>
      </x:c>
      <x:c r="M785" s="0">
        <x:v>0</x:v>
      </x:c>
      <x:c r="N785" s="0">
        <x:v>2022</x:v>
      </x:c>
      <x:c r="S785" s="0">
        <x:v>65</x:v>
      </x:c>
      <x:c r="T785" s="0">
        <x:v>0</x:v>
      </x:c>
      <x:c r="V785" s="0">
        <x:v>1251</x:v>
      </x:c>
      <x:c r="W785" s="21">
        <x:v>0</x:v>
      </x:c>
      <x:c r="X785" s="0">
        <x:v>1200</x:v>
      </x:c>
      <x:c r="Y785" s="21">
        <x:v>0</x:v>
      </x:c>
      <x:c r="AK785" s="0" t="s">
        <x:v>1584</x:v>
      </x:c>
    </x:row>
    <x:row r="786" spans="1:37" x14ac:dyDescent="0.25">
      <x:c r="A786" s="0">
        <x:f>ROW(A786)-1</x:f>
      </x:c>
      <x:c r="E786" s="0" t="s">
        <x:v>1880</x:v>
      </x:c>
      <x:c r="F786" s="0" t="s">
        <x:v>1882</x:v>
      </x:c>
      <x:c r="G786" s="0" t="s">
        <x:v>1320</x:v>
      </x:c>
      <x:c r="M786" s="0">
        <x:v>0</x:v>
      </x:c>
      <x:c r="N786" s="0">
        <x:v>2022</x:v>
      </x:c>
      <x:c r="S786" s="0">
        <x:v>102</x:v>
      </x:c>
      <x:c r="T786" s="0">
        <x:v>0</x:v>
      </x:c>
      <x:c r="V786" s="0">
        <x:v>3000</x:v>
      </x:c>
      <x:c r="W786" s="21">
        <x:v>0</x:v>
      </x:c>
      <x:c r="X786" s="0">
        <x:v>1500</x:v>
      </x:c>
      <x:c r="Y786" s="21">
        <x:v>0</x:v>
      </x:c>
      <x:c r="AK786" s="0" t="s">
        <x:v>1584</x:v>
      </x:c>
    </x:row>
    <x:row r="787" spans="1:37" x14ac:dyDescent="0.25">
      <x:c r="A787" s="0">
        <x:f>ROW(A787)-1</x:f>
      </x:c>
      <x:c r="E787" s="0" t="s">
        <x:v>1880</x:v>
      </x:c>
      <x:c r="F787" s="0" t="s">
        <x:v>1882</x:v>
      </x:c>
      <x:c r="G787" s="0" t="s">
        <x:v>1320</x:v>
      </x:c>
      <x:c r="M787" s="0">
        <x:v>0</x:v>
      </x:c>
      <x:c r="N787" s="0">
        <x:v>2022</x:v>
      </x:c>
      <x:c r="S787" s="0">
        <x:v>0</x:v>
      </x:c>
      <x:c r="T787" s="0">
        <x:v>0</x:v>
      </x:c>
      <x:c r="V787" s="0">
        <x:v>0</x:v>
      </x:c>
      <x:c r="W787" s="21">
        <x:v>0</x:v>
      </x:c>
      <x:c r="X787" s="0">
        <x:v>0</x:v>
      </x:c>
      <x:c r="Y787" s="21">
        <x:v>0</x:v>
      </x:c>
      <x:c r="AK787" s="0" t="s">
        <x:v>1584</x:v>
      </x:c>
    </x:row>
    <x:row r="788" spans="1:37" x14ac:dyDescent="0.25">
      <x:c r="A788" s="0">
        <x:f>ROW(A788)-1</x:f>
      </x:c>
      <x:c r="E788" s="0" t="s">
        <x:v>1880</x:v>
      </x:c>
      <x:c r="F788" s="0" t="s">
        <x:v>1882</x:v>
      </x:c>
      <x:c r="G788" s="0" t="s">
        <x:v>1320</x:v>
      </x:c>
      <x:c r="M788" s="0">
        <x:v>0</x:v>
      </x:c>
      <x:c r="N788" s="0">
        <x:v>2022</x:v>
      </x:c>
      <x:c r="S788" s="0">
        <x:v>84</x:v>
      </x:c>
      <x:c r="T788" s="0">
        <x:v>0</x:v>
      </x:c>
      <x:c r="V788" s="0">
        <x:v>6500</x:v>
      </x:c>
      <x:c r="W788" s="21">
        <x:v>0</x:v>
      </x:c>
      <x:c r="X788" s="0">
        <x:v>1525</x:v>
      </x:c>
      <x:c r="Y788" s="21">
        <x:v>0</x:v>
      </x:c>
      <x:c r="AK788" s="0" t="s">
        <x:v>1584</x:v>
      </x:c>
    </x:row>
    <x:row r="789" spans="1:37" x14ac:dyDescent="0.25">
      <x:c r="A789" s="0">
        <x:f>ROW(A789)-1</x:f>
      </x:c>
      <x:c r="E789" s="0" t="s">
        <x:v>1880</x:v>
      </x:c>
      <x:c r="F789" s="0" t="s">
        <x:v>1882</x:v>
      </x:c>
      <x:c r="G789" s="0" t="s">
        <x:v>1320</x:v>
      </x:c>
      <x:c r="M789" s="0">
        <x:v>0</x:v>
      </x:c>
      <x:c r="N789" s="0">
        <x:v>2022</x:v>
      </x:c>
      <x:c r="S789" s="0">
        <x:v>65</x:v>
      </x:c>
      <x:c r="T789" s="0">
        <x:v>0</x:v>
      </x:c>
      <x:c r="V789" s="0">
        <x:v>2100</x:v>
      </x:c>
      <x:c r="W789" s="21">
        <x:v>0</x:v>
      </x:c>
      <x:c r="X789" s="0">
        <x:v>1000</x:v>
      </x:c>
      <x:c r="Y789" s="21">
        <x:v>0</x:v>
      </x:c>
      <x:c r="AK789" s="0" t="s">
        <x:v>1584</x:v>
      </x:c>
    </x:row>
    <x:row r="790" spans="1:37" x14ac:dyDescent="0.25">
      <x:c r="A790" s="0">
        <x:f>ROW(A790)-1</x:f>
      </x:c>
      <x:c r="E790" s="0" t="s">
        <x:v>1878</x:v>
      </x:c>
      <x:c r="F790" s="0" t="s">
        <x:v>1879</x:v>
      </x:c>
      <x:c r="G790" s="0" t="s">
        <x:v>1320</x:v>
      </x:c>
      <x:c r="M790" s="0">
        <x:v>0</x:v>
      </x:c>
      <x:c r="N790" s="0">
        <x:v>2022</x:v>
      </x:c>
      <x:c r="S790" s="0">
        <x:v>2567</x:v>
      </x:c>
      <x:c r="T790" s="0">
        <x:v>0</x:v>
      </x:c>
      <x:c r="V790" s="0">
        <x:v>0</x:v>
      </x:c>
      <x:c r="W790" s="21">
        <x:v>0</x:v>
      </x:c>
      <x:c r="X790" s="0">
        <x:v>0</x:v>
      </x:c>
      <x:c r="Y790" s="21">
        <x:v>0</x:v>
      </x:c>
      <x:c r="AK790" s="0" t="s">
        <x:v>1584</x:v>
      </x:c>
    </x:row>
    <x:row r="791" spans="1:37" x14ac:dyDescent="0.25">
      <x:c r="A791" s="0">
        <x:f>ROW(A791)-1</x:f>
      </x:c>
      <x:c r="E791" s="0" t="s">
        <x:v>1880</x:v>
      </x:c>
      <x:c r="F791" s="0" t="s">
        <x:v>1882</x:v>
      </x:c>
      <x:c r="G791" s="0" t="s">
        <x:v>1320</x:v>
      </x:c>
      <x:c r="M791" s="0">
        <x:v>0</x:v>
      </x:c>
      <x:c r="N791" s="0">
        <x:v>2022</x:v>
      </x:c>
      <x:c r="S791" s="0">
        <x:v>88</x:v>
      </x:c>
      <x:c r="T791" s="0">
        <x:v>0</x:v>
      </x:c>
      <x:c r="V791" s="0">
        <x:v>10097</x:v>
      </x:c>
      <x:c r="W791" s="21">
        <x:v>0</x:v>
      </x:c>
      <x:c r="X791" s="0">
        <x:v>1121</x:v>
      </x:c>
      <x:c r="Y791" s="21">
        <x:v>0</x:v>
      </x:c>
      <x:c r="AK791" s="0" t="s">
        <x:v>1584</x:v>
      </x:c>
    </x:row>
    <x:row r="792" spans="1:37" x14ac:dyDescent="0.25">
      <x:c r="A792" s="0">
        <x:f>ROW(A792)-1</x:f>
      </x:c>
      <x:c r="E792" s="0" t="s">
        <x:v>1880</x:v>
      </x:c>
      <x:c r="F792" s="0" t="s">
        <x:v>1882</x:v>
      </x:c>
      <x:c r="G792" s="0" t="s">
        <x:v>1320</x:v>
      </x:c>
      <x:c r="M792" s="0">
        <x:v>0</x:v>
      </x:c>
      <x:c r="N792" s="0">
        <x:v>2022</x:v>
      </x:c>
      <x:c r="S792" s="0">
        <x:v>73</x:v>
      </x:c>
      <x:c r="T792" s="0">
        <x:v>0</x:v>
      </x:c>
      <x:c r="V792" s="0">
        <x:v>7100</x:v>
      </x:c>
      <x:c r="W792" s="21">
        <x:v>0</x:v>
      </x:c>
      <x:c r="X792" s="0">
        <x:v>3000</x:v>
      </x:c>
      <x:c r="Y792" s="21">
        <x:v>0</x:v>
      </x:c>
      <x:c r="AK792" s="0" t="s">
        <x:v>1584</x:v>
      </x:c>
    </x:row>
    <x:row r="793" spans="1:37" x14ac:dyDescent="0.25">
      <x:c r="A793" s="0">
        <x:f>ROW(A793)-1</x:f>
      </x:c>
      <x:c r="E793" s="0" t="s">
        <x:v>1880</x:v>
      </x:c>
      <x:c r="F793" s="0" t="s">
        <x:v>1882</x:v>
      </x:c>
      <x:c r="G793" s="0" t="s">
        <x:v>1320</x:v>
      </x:c>
      <x:c r="M793" s="0">
        <x:v>0</x:v>
      </x:c>
      <x:c r="N793" s="0">
        <x:v>2022</x:v>
      </x:c>
      <x:c r="S793" s="0">
        <x:v>80</x:v>
      </x:c>
      <x:c r="T793" s="0">
        <x:v>0</x:v>
      </x:c>
      <x:c r="V793" s="0">
        <x:v>0</x:v>
      </x:c>
      <x:c r="W793" s="21">
        <x:v>0</x:v>
      </x:c>
      <x:c r="X793" s="0">
        <x:v>0</x:v>
      </x:c>
      <x:c r="Y793" s="21">
        <x:v>0</x:v>
      </x:c>
      <x:c r="AK793" s="0" t="s">
        <x:v>1584</x:v>
      </x:c>
    </x:row>
    <x:row r="794" spans="1:37" x14ac:dyDescent="0.25">
      <x:c r="A794" s="0">
        <x:f>ROW(A794)-1</x:f>
      </x:c>
      <x:c r="E794" s="0" t="s">
        <x:v>1880</x:v>
      </x:c>
      <x:c r="F794" s="0" t="s">
        <x:v>1887</x:v>
      </x:c>
      <x:c r="G794" s="0" t="s">
        <x:v>1320</x:v>
      </x:c>
      <x:c r="M794" s="0">
        <x:v>0</x:v>
      </x:c>
      <x:c r="N794" s="0">
        <x:v>2022</x:v>
      </x:c>
      <x:c r="S794" s="0">
        <x:v>80</x:v>
      </x:c>
      <x:c r="T794" s="0">
        <x:v>0</x:v>
      </x:c>
      <x:c r="V794" s="0">
        <x:v>6000</x:v>
      </x:c>
      <x:c r="W794" s="21">
        <x:v>0</x:v>
      </x:c>
      <x:c r="X794" s="0">
        <x:v>1980</x:v>
      </x:c>
      <x:c r="Y794" s="21">
        <x:v>0</x:v>
      </x:c>
      <x:c r="AK794" s="0" t="s">
        <x:v>1584</x:v>
      </x:c>
    </x:row>
    <x:row r="795" spans="1:37" x14ac:dyDescent="0.25">
      <x:c r="A795" s="0">
        <x:f>ROW(A795)-1</x:f>
      </x:c>
      <x:c r="E795" s="0" t="s">
        <x:v>1880</x:v>
      </x:c>
      <x:c r="F795" s="0" t="s">
        <x:v>1882</x:v>
      </x:c>
      <x:c r="G795" s="0" t="s">
        <x:v>1320</x:v>
      </x:c>
      <x:c r="M795" s="0">
        <x:v>0</x:v>
      </x:c>
      <x:c r="N795" s="0">
        <x:v>2022</x:v>
      </x:c>
      <x:c r="S795" s="0">
        <x:v>70</x:v>
      </x:c>
      <x:c r="T795" s="0">
        <x:v>0</x:v>
      </x:c>
      <x:c r="V795" s="0">
        <x:v>9091</x:v>
      </x:c>
      <x:c r="W795" s="21">
        <x:v>0</x:v>
      </x:c>
      <x:c r="X795" s="0">
        <x:v>1185</x:v>
      </x:c>
      <x:c r="Y795" s="21">
        <x:v>0</x:v>
      </x:c>
      <x:c r="AK795" s="0" t="s">
        <x:v>1584</x:v>
      </x:c>
    </x:row>
    <x:row r="796" spans="1:37" x14ac:dyDescent="0.25">
      <x:c r="A796" s="0">
        <x:f>ROW(A796)-1</x:f>
      </x:c>
      <x:c r="E796" s="0" t="s">
        <x:v>1880</x:v>
      </x:c>
      <x:c r="F796" s="0" t="s">
        <x:v>1882</x:v>
      </x:c>
      <x:c r="G796" s="0" t="s">
        <x:v>1320</x:v>
      </x:c>
      <x:c r="M796" s="0">
        <x:v>0</x:v>
      </x:c>
      <x:c r="N796" s="0">
        <x:v>2022</x:v>
      </x:c>
      <x:c r="S796" s="0">
        <x:v>75</x:v>
      </x:c>
      <x:c r="T796" s="0">
        <x:v>0</x:v>
      </x:c>
      <x:c r="V796" s="0">
        <x:v>6000</x:v>
      </x:c>
      <x:c r="W796" s="21">
        <x:v>0</x:v>
      </x:c>
      <x:c r="X796" s="0">
        <x:v>1600</x:v>
      </x:c>
      <x:c r="Y796" s="21">
        <x:v>0</x:v>
      </x:c>
      <x:c r="AK796" s="0" t="s">
        <x:v>1584</x:v>
      </x:c>
    </x:row>
    <x:row r="797" spans="1:37" x14ac:dyDescent="0.25">
      <x:c r="A797" s="0">
        <x:f>ROW(A797)-1</x:f>
      </x:c>
      <x:c r="E797" s="0" t="s">
        <x:v>1880</x:v>
      </x:c>
      <x:c r="F797" s="0" t="s">
        <x:v>1882</x:v>
      </x:c>
      <x:c r="G797" s="0" t="s">
        <x:v>1320</x:v>
      </x:c>
      <x:c r="M797" s="0">
        <x:v>0</x:v>
      </x:c>
      <x:c r="N797" s="0">
        <x:v>2022</x:v>
      </x:c>
      <x:c r="S797" s="0">
        <x:v>76</x:v>
      </x:c>
      <x:c r="T797" s="0">
        <x:v>0</x:v>
      </x:c>
      <x:c r="V797" s="0">
        <x:v>10000</x:v>
      </x:c>
      <x:c r="W797" s="21">
        <x:v>0</x:v>
      </x:c>
      <x:c r="X797" s="0">
        <x:v>2100</x:v>
      </x:c>
      <x:c r="Y797" s="21">
        <x:v>0</x:v>
      </x:c>
      <x:c r="AK797" s="0" t="s">
        <x:v>1584</x:v>
      </x:c>
    </x:row>
    <x:row r="798" spans="1:37" x14ac:dyDescent="0.25">
      <x:c r="A798" s="0">
        <x:f>ROW(A798)-1</x:f>
      </x:c>
      <x:c r="E798" s="0" t="s">
        <x:v>1880</x:v>
      </x:c>
      <x:c r="F798" s="0" t="s">
        <x:v>1888</x:v>
      </x:c>
      <x:c r="G798" s="0" t="s">
        <x:v>1320</x:v>
      </x:c>
      <x:c r="M798" s="0">
        <x:v>0</x:v>
      </x:c>
      <x:c r="N798" s="0">
        <x:v>2022</x:v>
      </x:c>
      <x:c r="S798" s="0">
        <x:v>0</x:v>
      </x:c>
      <x:c r="T798" s="0">
        <x:v>0</x:v>
      </x:c>
      <x:c r="V798" s="0">
        <x:v>7000</x:v>
      </x:c>
      <x:c r="W798" s="21">
        <x:v>0</x:v>
      </x:c>
      <x:c r="X798" s="0">
        <x:v>1500</x:v>
      </x:c>
      <x:c r="Y798" s="21">
        <x:v>0</x:v>
      </x:c>
      <x:c r="AK798" s="0" t="s">
        <x:v>1584</x:v>
      </x:c>
    </x:row>
    <x:row r="799" spans="1:37" x14ac:dyDescent="0.25">
      <x:c r="A799" s="0">
        <x:f>ROW(A799)-1</x:f>
      </x:c>
      <x:c r="E799" s="0" t="s">
        <x:v>1880</x:v>
      </x:c>
      <x:c r="F799" s="0" t="s">
        <x:v>1882</x:v>
      </x:c>
      <x:c r="G799" s="0" t="s">
        <x:v>1320</x:v>
      </x:c>
      <x:c r="M799" s="0">
        <x:v>0</x:v>
      </x:c>
      <x:c r="N799" s="0">
        <x:v>2022</x:v>
      </x:c>
      <x:c r="S799" s="0">
        <x:v>76</x:v>
      </x:c>
      <x:c r="T799" s="0">
        <x:v>0</x:v>
      </x:c>
      <x:c r="V799" s="0">
        <x:v>4851</x:v>
      </x:c>
      <x:c r="W799" s="21">
        <x:v>0</x:v>
      </x:c>
      <x:c r="X799" s="0">
        <x:v>1719</x:v>
      </x:c>
      <x:c r="Y799" s="21">
        <x:v>0</x:v>
      </x:c>
      <x:c r="AK799" s="0" t="s">
        <x:v>1584</x:v>
      </x:c>
    </x:row>
    <x:row r="800" spans="1:37" x14ac:dyDescent="0.25">
      <x:c r="A800" s="0">
        <x:f>ROW(A800)-1</x:f>
      </x:c>
      <x:c r="E800" s="0" t="s">
        <x:v>1880</x:v>
      </x:c>
      <x:c r="F800" s="0" t="s">
        <x:v>1882</x:v>
      </x:c>
      <x:c r="G800" s="0" t="s">
        <x:v>1320</x:v>
      </x:c>
      <x:c r="M800" s="0">
        <x:v>0</x:v>
      </x:c>
      <x:c r="N800" s="0">
        <x:v>2022</x:v>
      </x:c>
      <x:c r="S800" s="0">
        <x:v>76</x:v>
      </x:c>
      <x:c r="T800" s="0">
        <x:v>0</x:v>
      </x:c>
      <x:c r="V800" s="0">
        <x:v>6000</x:v>
      </x:c>
      <x:c r="W800" s="21">
        <x:v>0</x:v>
      </x:c>
      <x:c r="X800" s="0">
        <x:v>2000</x:v>
      </x:c>
      <x:c r="Y800" s="21">
        <x:v>0</x:v>
      </x:c>
      <x:c r="AK800" s="0" t="s">
        <x:v>1584</x:v>
      </x:c>
    </x:row>
    <x:row r="801" spans="1:37" x14ac:dyDescent="0.25">
      <x:c r="A801" s="0">
        <x:f>ROW(A801)-1</x:f>
      </x:c>
      <x:c r="E801" s="0" t="s">
        <x:v>1880</x:v>
      </x:c>
      <x:c r="F801" s="0" t="s">
        <x:v>1882</x:v>
      </x:c>
      <x:c r="G801" s="0" t="s">
        <x:v>1320</x:v>
      </x:c>
      <x:c r="M801" s="0">
        <x:v>0</x:v>
      </x:c>
      <x:c r="N801" s="0">
        <x:v>2022</x:v>
      </x:c>
      <x:c r="S801" s="0">
        <x:v>95</x:v>
      </x:c>
      <x:c r="T801" s="0">
        <x:v>0</x:v>
      </x:c>
      <x:c r="V801" s="0">
        <x:v>1517</x:v>
      </x:c>
      <x:c r="W801" s="21">
        <x:v>0</x:v>
      </x:c>
      <x:c r="X801" s="0">
        <x:v>2051</x:v>
      </x:c>
      <x:c r="Y801" s="21">
        <x:v>0</x:v>
      </x:c>
      <x:c r="AK801" s="0" t="s">
        <x:v>1584</x:v>
      </x:c>
    </x:row>
    <x:row r="802" spans="1:37" x14ac:dyDescent="0.25">
      <x:c r="A802" s="0">
        <x:f>ROW(A802)-1</x:f>
      </x:c>
      <x:c r="E802" s="0" t="s">
        <x:v>1880</x:v>
      </x:c>
      <x:c r="F802" s="0" t="s">
        <x:v>1882</x:v>
      </x:c>
      <x:c r="G802" s="0" t="s">
        <x:v>1320</x:v>
      </x:c>
      <x:c r="M802" s="0">
        <x:v>0</x:v>
      </x:c>
      <x:c r="N802" s="0">
        <x:v>2022</x:v>
      </x:c>
      <x:c r="S802" s="0">
        <x:v>71</x:v>
      </x:c>
      <x:c r="T802" s="0">
        <x:v>0</x:v>
      </x:c>
      <x:c r="V802" s="0">
        <x:v>0</x:v>
      </x:c>
      <x:c r="W802" s="21">
        <x:v>0</x:v>
      </x:c>
      <x:c r="X802" s="0">
        <x:v>0</x:v>
      </x:c>
      <x:c r="Y802" s="21">
        <x:v>0</x:v>
      </x:c>
      <x:c r="AK802" s="0" t="s">
        <x:v>1584</x:v>
      </x:c>
    </x:row>
    <x:row r="803" spans="1:37" x14ac:dyDescent="0.25">
      <x:c r="A803" s="0">
        <x:f>ROW(A803)-1</x:f>
      </x:c>
      <x:c r="E803" s="0" t="s">
        <x:v>1878</x:v>
      </x:c>
      <x:c r="F803" s="0" t="s">
        <x:v>1879</x:v>
      </x:c>
      <x:c r="G803" s="0" t="s">
        <x:v>1320</x:v>
      </x:c>
      <x:c r="M803" s="0">
        <x:v>0</x:v>
      </x:c>
      <x:c r="N803" s="0">
        <x:v>2022</x:v>
      </x:c>
      <x:c r="S803" s="0">
        <x:v>2015</x:v>
      </x:c>
      <x:c r="T803" s="0">
        <x:v>0</x:v>
      </x:c>
      <x:c r="V803" s="0">
        <x:v>0</x:v>
      </x:c>
      <x:c r="W803" s="21">
        <x:v>0</x:v>
      </x:c>
      <x:c r="X803" s="0">
        <x:v>0</x:v>
      </x:c>
      <x:c r="Y803" s="21">
        <x:v>0</x:v>
      </x:c>
      <x:c r="AK803" s="0" t="s">
        <x:v>1584</x:v>
      </x:c>
    </x:row>
    <x:row r="804" spans="1:37" x14ac:dyDescent="0.25">
      <x:c r="A804" s="0">
        <x:f>ROW(A804)-1</x:f>
      </x:c>
      <x:c r="E804" s="0" t="s">
        <x:v>1880</x:v>
      </x:c>
      <x:c r="F804" s="0" t="s">
        <x:v>1882</x:v>
      </x:c>
      <x:c r="G804" s="0" t="s">
        <x:v>1320</x:v>
      </x:c>
      <x:c r="M804" s="0">
        <x:v>0</x:v>
      </x:c>
      <x:c r="N804" s="0">
        <x:v>2022</x:v>
      </x:c>
      <x:c r="S804" s="0">
        <x:v>72</x:v>
      </x:c>
      <x:c r="T804" s="0">
        <x:v>2485</x:v>
      </x:c>
      <x:c r="V804" s="0">
        <x:v>0</x:v>
      </x:c>
      <x:c r="W804" s="21">
        <x:v>0</x:v>
      </x:c>
      <x:c r="X804" s="0">
        <x:v>861</x:v>
      </x:c>
      <x:c r="Y804" s="21">
        <x:v>0</x:v>
      </x:c>
      <x:c r="AK804" s="0" t="s">
        <x:v>1584</x:v>
      </x:c>
    </x:row>
    <x:row r="805" spans="1:37" x14ac:dyDescent="0.25">
      <x:c r="A805" s="0">
        <x:f>ROW(A805)-1</x:f>
      </x:c>
      <x:c r="E805" s="0" t="s">
        <x:v>1880</x:v>
      </x:c>
      <x:c r="F805" s="0" t="s">
        <x:v>1882</x:v>
      </x:c>
      <x:c r="G805" s="0" t="s">
        <x:v>1320</x:v>
      </x:c>
      <x:c r="M805" s="0">
        <x:v>0</x:v>
      </x:c>
      <x:c r="N805" s="0">
        <x:v>2022</x:v>
      </x:c>
      <x:c r="S805" s="0">
        <x:v>85</x:v>
      </x:c>
      <x:c r="T805" s="0">
        <x:v>0</x:v>
      </x:c>
      <x:c r="V805" s="0">
        <x:v>1256</x:v>
      </x:c>
      <x:c r="W805" s="21">
        <x:v>0</x:v>
      </x:c>
      <x:c r="X805" s="0">
        <x:v>2253</x:v>
      </x:c>
      <x:c r="Y805" s="21">
        <x:v>0</x:v>
      </x:c>
      <x:c r="AK805" s="0" t="s">
        <x:v>1584</x:v>
      </x:c>
    </x:row>
    <x:row r="806" spans="1:37" x14ac:dyDescent="0.25">
      <x:c r="A806" s="0">
        <x:f>ROW(A806)-1</x:f>
      </x:c>
      <x:c r="E806" s="0" t="s">
        <x:v>1880</x:v>
      </x:c>
      <x:c r="F806" s="0" t="s">
        <x:v>1882</x:v>
      </x:c>
      <x:c r="G806" s="0" t="s">
        <x:v>1320</x:v>
      </x:c>
      <x:c r="M806" s="0">
        <x:v>0</x:v>
      </x:c>
      <x:c r="N806" s="0">
        <x:v>2022</x:v>
      </x:c>
      <x:c r="S806" s="0">
        <x:v>72</x:v>
      </x:c>
      <x:c r="T806" s="0">
        <x:v>0</x:v>
      </x:c>
      <x:c r="V806" s="0">
        <x:v>270</x:v>
      </x:c>
      <x:c r="W806" s="21">
        <x:v>0</x:v>
      </x:c>
      <x:c r="X806" s="0">
        <x:v>91</x:v>
      </x:c>
      <x:c r="Y806" s="21">
        <x:v>0</x:v>
      </x:c>
      <x:c r="AK806" s="0" t="s">
        <x:v>1584</x:v>
      </x:c>
    </x:row>
    <x:row r="807" spans="1:37" x14ac:dyDescent="0.25">
      <x:c r="A807" s="0">
        <x:f>ROW(A807)-1</x:f>
      </x:c>
      <x:c r="E807" s="0" t="s">
        <x:v>1880</x:v>
      </x:c>
      <x:c r="F807" s="0" t="s">
        <x:v>1882</x:v>
      </x:c>
      <x:c r="G807" s="0" t="s">
        <x:v>1320</x:v>
      </x:c>
      <x:c r="M807" s="0">
        <x:v>0</x:v>
      </x:c>
      <x:c r="N807" s="0">
        <x:v>2022</x:v>
      </x:c>
      <x:c r="S807" s="0">
        <x:v>0</x:v>
      </x:c>
      <x:c r="T807" s="0">
        <x:v>0</x:v>
      </x:c>
      <x:c r="V807" s="0">
        <x:v>7882</x:v>
      </x:c>
      <x:c r="W807" s="21">
        <x:v>0</x:v>
      </x:c>
      <x:c r="X807" s="0">
        <x:v>18010</x:v>
      </x:c>
      <x:c r="Y807" s="21">
        <x:v>0</x:v>
      </x:c>
      <x:c r="AK807" s="0" t="s">
        <x:v>1584</x:v>
      </x:c>
    </x:row>
    <x:row r="808" spans="1:37" x14ac:dyDescent="0.25">
      <x:c r="A808" s="0">
        <x:f>ROW(A808)-1</x:f>
      </x:c>
      <x:c r="E808" s="0" t="s">
        <x:v>1880</x:v>
      </x:c>
      <x:c r="F808" s="0" t="s">
        <x:v>1882</x:v>
      </x:c>
      <x:c r="G808" s="0" t="s">
        <x:v>1320</x:v>
      </x:c>
      <x:c r="M808" s="0">
        <x:v>0</x:v>
      </x:c>
      <x:c r="N808" s="0">
        <x:v>2022</x:v>
      </x:c>
      <x:c r="S808" s="0">
        <x:v>70</x:v>
      </x:c>
      <x:c r="T808" s="0">
        <x:v>0</x:v>
      </x:c>
      <x:c r="V808" s="0">
        <x:v>10000</x:v>
      </x:c>
      <x:c r="W808" s="21">
        <x:v>0</x:v>
      </x:c>
      <x:c r="X808" s="0">
        <x:v>1000</x:v>
      </x:c>
      <x:c r="Y808" s="21">
        <x:v>0</x:v>
      </x:c>
      <x:c r="AK808" s="0" t="s">
        <x:v>1584</x:v>
      </x:c>
    </x:row>
    <x:row r="809" spans="1:37" x14ac:dyDescent="0.25">
      <x:c r="A809" s="0">
        <x:f>ROW(A809)-1</x:f>
      </x:c>
      <x:c r="E809" s="0" t="s">
        <x:v>1880</x:v>
      </x:c>
      <x:c r="F809" s="0" t="s">
        <x:v>1882</x:v>
      </x:c>
      <x:c r="G809" s="0" t="s">
        <x:v>1320</x:v>
      </x:c>
      <x:c r="M809" s="0">
        <x:v>0</x:v>
      </x:c>
      <x:c r="N809" s="0">
        <x:v>2022</x:v>
      </x:c>
      <x:c r="S809" s="0">
        <x:v>70</x:v>
      </x:c>
      <x:c r="T809" s="0">
        <x:v>0</x:v>
      </x:c>
      <x:c r="V809" s="0">
        <x:v>700</x:v>
      </x:c>
      <x:c r="W809" s="21">
        <x:v>0</x:v>
      </x:c>
      <x:c r="X809" s="0">
        <x:v>950</x:v>
      </x:c>
      <x:c r="Y809" s="21">
        <x:v>0</x:v>
      </x:c>
      <x:c r="AK809" s="0" t="s">
        <x:v>1584</x:v>
      </x:c>
    </x:row>
    <x:row r="810" spans="1:37" x14ac:dyDescent="0.25">
      <x:c r="A810" s="0">
        <x:f>ROW(A810)-1</x:f>
      </x:c>
      <x:c r="E810" s="0" t="s">
        <x:v>1880</x:v>
      </x:c>
      <x:c r="F810" s="0" t="s">
        <x:v>1882</x:v>
      </x:c>
      <x:c r="G810" s="0" t="s">
        <x:v>1320</x:v>
      </x:c>
      <x:c r="M810" s="0">
        <x:v>0</x:v>
      </x:c>
      <x:c r="N810" s="0">
        <x:v>2022</x:v>
      </x:c>
      <x:c r="S810" s="0">
        <x:v>50</x:v>
      </x:c>
      <x:c r="T810" s="0">
        <x:v>0</x:v>
      </x:c>
      <x:c r="V810" s="0">
        <x:v>8228</x:v>
      </x:c>
      <x:c r="W810" s="21">
        <x:v>0</x:v>
      </x:c>
      <x:c r="X810" s="0">
        <x:v>2129</x:v>
      </x:c>
      <x:c r="Y810" s="21">
        <x:v>0</x:v>
      </x:c>
      <x:c r="AK810" s="0" t="s">
        <x:v>1584</x:v>
      </x:c>
    </x:row>
    <x:row r="811" spans="1:37" x14ac:dyDescent="0.25">
      <x:c r="A811" s="0">
        <x:f>ROW(A811)-1</x:f>
      </x:c>
      <x:c r="E811" s="0" t="s">
        <x:v>1880</x:v>
      </x:c>
      <x:c r="F811" s="0" t="s">
        <x:v>1882</x:v>
      </x:c>
      <x:c r="G811" s="0" t="s">
        <x:v>1320</x:v>
      </x:c>
      <x:c r="M811" s="0">
        <x:v>0</x:v>
      </x:c>
      <x:c r="N811" s="0">
        <x:v>2022</x:v>
      </x:c>
      <x:c r="S811" s="0">
        <x:v>71</x:v>
      </x:c>
      <x:c r="T811" s="0">
        <x:v>0</x:v>
      </x:c>
      <x:c r="V811" s="0">
        <x:v>5300</x:v>
      </x:c>
      <x:c r="W811" s="21">
        <x:v>0</x:v>
      </x:c>
      <x:c r="X811" s="0">
        <x:v>1900</x:v>
      </x:c>
      <x:c r="Y811" s="21">
        <x:v>0</x:v>
      </x:c>
      <x:c r="AK811" s="0" t="s">
        <x:v>1584</x:v>
      </x:c>
    </x:row>
    <x:row r="812" spans="1:37" x14ac:dyDescent="0.25">
      <x:c r="A812" s="0">
        <x:f>ROW(A812)-1</x:f>
      </x:c>
      <x:c r="E812" s="0" t="s">
        <x:v>1880</x:v>
      </x:c>
      <x:c r="F812" s="0" t="s">
        <x:v>1882</x:v>
      </x:c>
      <x:c r="G812" s="0" t="s">
        <x:v>1320</x:v>
      </x:c>
      <x:c r="M812" s="0">
        <x:v>0</x:v>
      </x:c>
      <x:c r="N812" s="0">
        <x:v>2022</x:v>
      </x:c>
      <x:c r="S812" s="0">
        <x:v>51</x:v>
      </x:c>
      <x:c r="T812" s="0">
        <x:v>0</x:v>
      </x:c>
      <x:c r="V812" s="0">
        <x:v>0</x:v>
      </x:c>
      <x:c r="W812" s="21">
        <x:v>0</x:v>
      </x:c>
      <x:c r="X812" s="0">
        <x:v>1800</x:v>
      </x:c>
      <x:c r="Y812" s="21">
        <x:v>0</x:v>
      </x:c>
      <x:c r="AK812" s="0" t="s">
        <x:v>1584</x:v>
      </x:c>
    </x:row>
    <x:row r="813" spans="1:37" x14ac:dyDescent="0.25">
      <x:c r="A813" s="0">
        <x:f>ROW(A813)-1</x:f>
      </x:c>
      <x:c r="E813" s="0" t="s">
        <x:v>1880</x:v>
      </x:c>
      <x:c r="F813" s="0" t="s">
        <x:v>1882</x:v>
      </x:c>
      <x:c r="G813" s="0" t="s">
        <x:v>1320</x:v>
      </x:c>
      <x:c r="M813" s="0">
        <x:v>0</x:v>
      </x:c>
      <x:c r="N813" s="0">
        <x:v>2022</x:v>
      </x:c>
      <x:c r="S813" s="0">
        <x:v>24</x:v>
      </x:c>
      <x:c r="T813" s="0">
        <x:v>0</x:v>
      </x:c>
      <x:c r="V813" s="0">
        <x:v>900</x:v>
      </x:c>
      <x:c r="W813" s="21">
        <x:v>0</x:v>
      </x:c>
      <x:c r="X813" s="0">
        <x:v>2000</x:v>
      </x:c>
      <x:c r="Y813" s="21">
        <x:v>0</x:v>
      </x:c>
      <x:c r="AK813" s="0" t="s">
        <x:v>1584</x:v>
      </x:c>
    </x:row>
    <x:row r="814" spans="1:37" x14ac:dyDescent="0.25">
      <x:c r="A814" s="0">
        <x:f>ROW(A814)-1</x:f>
      </x:c>
      <x:c r="E814" s="0" t="s">
        <x:v>1880</x:v>
      </x:c>
      <x:c r="F814" s="0" t="s">
        <x:v>1882</x:v>
      </x:c>
      <x:c r="G814" s="0" t="s">
        <x:v>1320</x:v>
      </x:c>
      <x:c r="M814" s="0">
        <x:v>0</x:v>
      </x:c>
      <x:c r="N814" s="0">
        <x:v>2022</x:v>
      </x:c>
      <x:c r="S814" s="0">
        <x:v>70</x:v>
      </x:c>
      <x:c r="T814" s="0">
        <x:v>0</x:v>
      </x:c>
      <x:c r="V814" s="0">
        <x:v>5900</x:v>
      </x:c>
      <x:c r="W814" s="21">
        <x:v>0</x:v>
      </x:c>
      <x:c r="X814" s="0">
        <x:v>3100</x:v>
      </x:c>
      <x:c r="Y814" s="21">
        <x:v>0</x:v>
      </x:c>
      <x:c r="AK814" s="0" t="s">
        <x:v>1584</x:v>
      </x:c>
    </x:row>
    <x:row r="815" spans="1:37" x14ac:dyDescent="0.25">
      <x:c r="A815" s="0">
        <x:f>ROW(A815)-1</x:f>
      </x:c>
      <x:c r="E815" s="0" t="s">
        <x:v>1880</x:v>
      </x:c>
      <x:c r="F815" s="0" t="s">
        <x:v>1882</x:v>
      </x:c>
      <x:c r="G815" s="0" t="s">
        <x:v>1320</x:v>
      </x:c>
      <x:c r="M815" s="0">
        <x:v>0</x:v>
      </x:c>
      <x:c r="N815" s="0">
        <x:v>2022</x:v>
      </x:c>
      <x:c r="S815" s="0">
        <x:v>70</x:v>
      </x:c>
      <x:c r="T815" s="0">
        <x:v>0</x:v>
      </x:c>
      <x:c r="V815" s="0">
        <x:v>2500</x:v>
      </x:c>
      <x:c r="W815" s="21">
        <x:v>0</x:v>
      </x:c>
      <x:c r="X815" s="0">
        <x:v>1500</x:v>
      </x:c>
      <x:c r="Y815" s="21">
        <x:v>0</x:v>
      </x:c>
      <x:c r="AK815" s="0" t="s">
        <x:v>1584</x:v>
      </x:c>
    </x:row>
    <x:row r="816" spans="1:37" x14ac:dyDescent="0.25">
      <x:c r="A816" s="0">
        <x:f>ROW(A816)-1</x:f>
      </x:c>
      <x:c r="E816" s="0" t="s">
        <x:v>1889</x:v>
      </x:c>
      <x:c r="F816" s="0" t="s">
        <x:v>1879</x:v>
      </x:c>
      <x:c r="G816" s="0" t="s">
        <x:v>1320</x:v>
      </x:c>
      <x:c r="M816" s="0">
        <x:v>0</x:v>
      </x:c>
      <x:c r="N816" s="0">
        <x:v>0</x:v>
      </x:c>
      <x:c r="S816" s="0">
        <x:v>0</x:v>
      </x:c>
      <x:c r="T816" s="0">
        <x:v>0</x:v>
      </x:c>
      <x:c r="V816" s="0">
        <x:v>0</x:v>
      </x:c>
      <x:c r="W816" s="21">
        <x:v>0</x:v>
      </x:c>
      <x:c r="X816" s="0">
        <x:v>0</x:v>
      </x:c>
      <x:c r="Y816" s="21">
        <x:v>0</x:v>
      </x:c>
      <x:c r="AK816" s="0" t="s">
        <x:v>1584</x:v>
      </x:c>
    </x:row>
    <x:row r="817" spans="1:37" x14ac:dyDescent="0.25">
      <x:c r="A817" s="0">
        <x:f>ROW(A817)-1</x:f>
      </x:c>
      <x:c r="E817" s="0" t="s">
        <x:v>1880</x:v>
      </x:c>
      <x:c r="F817" s="0" t="s">
        <x:v>1882</x:v>
      </x:c>
      <x:c r="G817" s="0" t="s">
        <x:v>1320</x:v>
      </x:c>
      <x:c r="M817" s="0">
        <x:v>0</x:v>
      </x:c>
      <x:c r="N817" s="0">
        <x:v>2022</x:v>
      </x:c>
      <x:c r="S817" s="0">
        <x:v>90</x:v>
      </x:c>
      <x:c r="T817" s="0">
        <x:v>0</x:v>
      </x:c>
      <x:c r="V817" s="0">
        <x:v>6000</x:v>
      </x:c>
      <x:c r="W817" s="21">
        <x:v>0</x:v>
      </x:c>
      <x:c r="X817" s="0">
        <x:v>3000</x:v>
      </x:c>
      <x:c r="Y817" s="21">
        <x:v>0</x:v>
      </x:c>
      <x:c r="AK817" s="0" t="s">
        <x:v>1584</x:v>
      </x:c>
    </x:row>
    <x:row r="818" spans="1:37" x14ac:dyDescent="0.25">
      <x:c r="A818" s="0">
        <x:f>ROW(A818)-1</x:f>
      </x:c>
      <x:c r="E818" s="0" t="s">
        <x:v>1880</x:v>
      </x:c>
      <x:c r="F818" s="0" t="s">
        <x:v>1882</x:v>
      </x:c>
      <x:c r="G818" s="0" t="s">
        <x:v>1320</x:v>
      </x:c>
      <x:c r="M818" s="0">
        <x:v>0</x:v>
      </x:c>
      <x:c r="N818" s="0">
        <x:v>2022</x:v>
      </x:c>
      <x:c r="S818" s="0">
        <x:v>51</x:v>
      </x:c>
      <x:c r="T818" s="0">
        <x:v>0</x:v>
      </x:c>
      <x:c r="V818" s="0">
        <x:v>1000</x:v>
      </x:c>
      <x:c r="W818" s="21">
        <x:v>0</x:v>
      </x:c>
      <x:c r="X818" s="0">
        <x:v>300</x:v>
      </x:c>
      <x:c r="Y818" s="21">
        <x:v>0</x:v>
      </x:c>
      <x:c r="AK818" s="0" t="s">
        <x:v>1584</x:v>
      </x:c>
    </x:row>
    <x:row r="819" spans="1:37" x14ac:dyDescent="0.25">
      <x:c r="A819" s="0">
        <x:f>ROW(A819)-1</x:f>
      </x:c>
      <x:c r="E819" s="0" t="s">
        <x:v>1880</x:v>
      </x:c>
      <x:c r="F819" s="0" t="s">
        <x:v>1882</x:v>
      </x:c>
      <x:c r="G819" s="0" t="s">
        <x:v>1320</x:v>
      </x:c>
      <x:c r="M819" s="0">
        <x:v>0</x:v>
      </x:c>
      <x:c r="N819" s="0">
        <x:v>2022</x:v>
      </x:c>
      <x:c r="S819" s="0">
        <x:v>50</x:v>
      </x:c>
      <x:c r="T819" s="0">
        <x:v>0</x:v>
      </x:c>
      <x:c r="V819" s="0">
        <x:v>3000</x:v>
      </x:c>
      <x:c r="W819" s="21">
        <x:v>0</x:v>
      </x:c>
      <x:c r="X819" s="0">
        <x:v>1558</x:v>
      </x:c>
      <x:c r="Y819" s="21">
        <x:v>0</x:v>
      </x:c>
      <x:c r="AK819" s="0" t="s">
        <x:v>1584</x:v>
      </x:c>
    </x:row>
    <x:row r="820" spans="1:37" x14ac:dyDescent="0.25">
      <x:c r="A820" s="0">
        <x:f>ROW(A820)-1</x:f>
      </x:c>
      <x:c r="E820" s="0" t="s">
        <x:v>1880</x:v>
      </x:c>
      <x:c r="F820" s="0" t="s">
        <x:v>1882</x:v>
      </x:c>
      <x:c r="G820" s="0" t="s">
        <x:v>1320</x:v>
      </x:c>
      <x:c r="M820" s="0">
        <x:v>0</x:v>
      </x:c>
      <x:c r="N820" s="0">
        <x:v>2022</x:v>
      </x:c>
      <x:c r="S820" s="0">
        <x:v>38</x:v>
      </x:c>
      <x:c r="T820" s="0">
        <x:v>0</x:v>
      </x:c>
      <x:c r="V820" s="0">
        <x:v>2500</x:v>
      </x:c>
      <x:c r="W820" s="21">
        <x:v>0</x:v>
      </x:c>
      <x:c r="X820" s="0">
        <x:v>2400</x:v>
      </x:c>
      <x:c r="Y820" s="21">
        <x:v>0</x:v>
      </x:c>
      <x:c r="AK820" s="0" t="s">
        <x:v>1584</x:v>
      </x:c>
    </x:row>
    <x:row r="821" spans="1:37" x14ac:dyDescent="0.25">
      <x:c r="A821" s="0">
        <x:f>ROW(A821)-1</x:f>
      </x:c>
      <x:c r="E821" s="0" t="s">
        <x:v>1880</x:v>
      </x:c>
      <x:c r="F821" s="0" t="s">
        <x:v>1882</x:v>
      </x:c>
      <x:c r="G821" s="0" t="s">
        <x:v>1320</x:v>
      </x:c>
      <x:c r="M821" s="0">
        <x:v>0</x:v>
      </x:c>
      <x:c r="N821" s="0">
        <x:v>2022</x:v>
      </x:c>
      <x:c r="S821" s="0">
        <x:v>74</x:v>
      </x:c>
      <x:c r="T821" s="0">
        <x:v>0</x:v>
      </x:c>
      <x:c r="V821" s="0">
        <x:v>16000</x:v>
      </x:c>
      <x:c r="W821" s="21">
        <x:v>0</x:v>
      </x:c>
      <x:c r="X821" s="0">
        <x:v>2950</x:v>
      </x:c>
      <x:c r="Y821" s="21">
        <x:v>0</x:v>
      </x:c>
      <x:c r="AK821" s="0" t="s">
        <x:v>1584</x:v>
      </x:c>
    </x:row>
    <x:row r="822" spans="1:37" x14ac:dyDescent="0.25">
      <x:c r="A822" s="0">
        <x:f>ROW(A822)-1</x:f>
      </x:c>
      <x:c r="E822" s="0" t="s">
        <x:v>1880</x:v>
      </x:c>
      <x:c r="F822" s="0" t="s">
        <x:v>1882</x:v>
      </x:c>
      <x:c r="G822" s="0" t="s">
        <x:v>1320</x:v>
      </x:c>
      <x:c r="M822" s="0">
        <x:v>0</x:v>
      </x:c>
      <x:c r="N822" s="0">
        <x:v>2022</x:v>
      </x:c>
      <x:c r="S822" s="0">
        <x:v>73</x:v>
      </x:c>
      <x:c r="T822" s="0">
        <x:v>0</x:v>
      </x:c>
      <x:c r="V822" s="0">
        <x:v>22347</x:v>
      </x:c>
      <x:c r="W822" s="21">
        <x:v>0</x:v>
      </x:c>
      <x:c r="X822" s="0">
        <x:v>2041</x:v>
      </x:c>
      <x:c r="Y822" s="21">
        <x:v>0</x:v>
      </x:c>
      <x:c r="AK822" s="0" t="s">
        <x:v>1584</x:v>
      </x:c>
    </x:row>
    <x:row r="823" spans="1:37" x14ac:dyDescent="0.25">
      <x:c r="A823" s="0">
        <x:f>ROW(A823)-1</x:f>
      </x:c>
      <x:c r="E823" s="0" t="s">
        <x:v>1880</x:v>
      </x:c>
      <x:c r="F823" s="0" t="s">
        <x:v>1882</x:v>
      </x:c>
      <x:c r="G823" s="0" t="s">
        <x:v>1320</x:v>
      </x:c>
      <x:c r="M823" s="0">
        <x:v>0</x:v>
      </x:c>
      <x:c r="N823" s="0">
        <x:v>2022</x:v>
      </x:c>
      <x:c r="S823" s="0">
        <x:v>60</x:v>
      </x:c>
      <x:c r="T823" s="0">
        <x:v>0</x:v>
      </x:c>
      <x:c r="V823" s="0">
        <x:v>18849</x:v>
      </x:c>
      <x:c r="W823" s="21">
        <x:v>0</x:v>
      </x:c>
      <x:c r="X823" s="0">
        <x:v>0</x:v>
      </x:c>
      <x:c r="Y823" s="21">
        <x:v>0</x:v>
      </x:c>
      <x:c r="AK823" s="0" t="s">
        <x:v>1584</x:v>
      </x:c>
    </x:row>
    <x:row r="824" spans="1:37" x14ac:dyDescent="0.25">
      <x:c r="A824" s="0">
        <x:f>ROW(A824)-1</x:f>
      </x:c>
      <x:c r="E824" s="0" t="s">
        <x:v>1880</x:v>
      </x:c>
      <x:c r="F824" s="0" t="s">
        <x:v>1882</x:v>
      </x:c>
      <x:c r="G824" s="0" t="s">
        <x:v>1320</x:v>
      </x:c>
      <x:c r="M824" s="0">
        <x:v>0</x:v>
      </x:c>
      <x:c r="N824" s="0">
        <x:v>2022</x:v>
      </x:c>
      <x:c r="S824" s="0">
        <x:v>70</x:v>
      </x:c>
      <x:c r="T824" s="0">
        <x:v>0</x:v>
      </x:c>
      <x:c r="V824" s="0">
        <x:v>0</x:v>
      </x:c>
      <x:c r="W824" s="21">
        <x:v>0</x:v>
      </x:c>
      <x:c r="X824" s="0">
        <x:v>0</x:v>
      </x:c>
      <x:c r="Y824" s="21">
        <x:v>0</x:v>
      </x:c>
      <x:c r="AK824" s="0" t="s">
        <x:v>1584</x:v>
      </x:c>
    </x:row>
    <x:row r="825" spans="1:37" x14ac:dyDescent="0.25">
      <x:c r="A825" s="0">
        <x:f>ROW(A825)-1</x:f>
      </x:c>
      <x:c r="E825" s="0" t="s">
        <x:v>1889</x:v>
      </x:c>
      <x:c r="F825" s="0" t="s">
        <x:v>1879</x:v>
      </x:c>
      <x:c r="G825" s="0" t="s">
        <x:v>1320</x:v>
      </x:c>
      <x:c r="M825" s="0">
        <x:v>0</x:v>
      </x:c>
      <x:c r="N825" s="0">
        <x:v>2022</x:v>
      </x:c>
      <x:c r="S825" s="0">
        <x:v>0</x:v>
      </x:c>
      <x:c r="T825" s="0">
        <x:v>0</x:v>
      </x:c>
      <x:c r="V825" s="0">
        <x:v>0</x:v>
      </x:c>
      <x:c r="W825" s="21">
        <x:v>0</x:v>
      </x:c>
      <x:c r="X825" s="0">
        <x:v>0</x:v>
      </x:c>
      <x:c r="Y825" s="21">
        <x:v>0</x:v>
      </x:c>
      <x:c r="AK825" s="0" t="s">
        <x:v>1584</x:v>
      </x:c>
    </x:row>
    <x:row r="826" spans="1:37" x14ac:dyDescent="0.25">
      <x:c r="A826" s="0">
        <x:f>ROW(A826)-1</x:f>
      </x:c>
      <x:c r="E826" s="0" t="s">
        <x:v>1880</x:v>
      </x:c>
      <x:c r="F826" s="0" t="s">
        <x:v>1882</x:v>
      </x:c>
      <x:c r="G826" s="0" t="s">
        <x:v>1320</x:v>
      </x:c>
      <x:c r="M826" s="0">
        <x:v>0</x:v>
      </x:c>
      <x:c r="N826" s="0">
        <x:v>2022</x:v>
      </x:c>
      <x:c r="S826" s="0">
        <x:v>75</x:v>
      </x:c>
      <x:c r="T826" s="0">
        <x:v>0</x:v>
      </x:c>
      <x:c r="V826" s="0">
        <x:v>2272</x:v>
      </x:c>
      <x:c r="W826" s="21">
        <x:v>0</x:v>
      </x:c>
      <x:c r="X826" s="0">
        <x:v>6447</x:v>
      </x:c>
      <x:c r="Y826" s="21">
        <x:v>0</x:v>
      </x:c>
      <x:c r="AK826" s="0" t="s">
        <x:v>1584</x:v>
      </x:c>
    </x:row>
    <x:row r="827" spans="1:37" x14ac:dyDescent="0.25">
      <x:c r="A827" s="0">
        <x:f>ROW(A827)-1</x:f>
      </x:c>
      <x:c r="E827" s="0" t="s">
        <x:v>1880</x:v>
      </x:c>
      <x:c r="F827" s="0" t="s">
        <x:v>1882</x:v>
      </x:c>
      <x:c r="G827" s="0" t="s">
        <x:v>1320</x:v>
      </x:c>
      <x:c r="M827" s="0">
        <x:v>0</x:v>
      </x:c>
      <x:c r="N827" s="0">
        <x:v>2022</x:v>
      </x:c>
      <x:c r="S827" s="0">
        <x:v>56</x:v>
      </x:c>
      <x:c r="T827" s="0">
        <x:v>0</x:v>
      </x:c>
      <x:c r="V827" s="0">
        <x:v>0</x:v>
      </x:c>
      <x:c r="W827" s="21">
        <x:v>0</x:v>
      </x:c>
      <x:c r="X827" s="0">
        <x:v>531</x:v>
      </x:c>
      <x:c r="Y827" s="21">
        <x:v>0</x:v>
      </x:c>
      <x:c r="AK827" s="0" t="s">
        <x:v>1584</x:v>
      </x:c>
    </x:row>
    <x:row r="828" spans="1:37" x14ac:dyDescent="0.25">
      <x:c r="A828" s="0">
        <x:f>ROW(A828)-1</x:f>
      </x:c>
      <x:c r="F828" s="0" t="s">
        <x:v>1890</x:v>
      </x:c>
      <x:c r="G828" s="0" t="s">
        <x:v>1320</x:v>
      </x:c>
      <x:c r="M828" s="0">
        <x:v>0</x:v>
      </x:c>
      <x:c r="N828" s="0">
        <x:v>0</x:v>
      </x:c>
      <x:c r="O828" s="0" t="s">
        <x:v>1482</x:v>
      </x:c>
      <x:c r="S828" s="0">
        <x:v>230</x:v>
      </x:c>
      <x:c r="T828" s="0">
        <x:v>0</x:v>
      </x:c>
      <x:c r="V828" s="0">
        <x:v>0</x:v>
      </x:c>
      <x:c r="W828" s="21">
        <x:v>0</x:v>
      </x:c>
      <x:c r="X828" s="0">
        <x:v>0</x:v>
      </x:c>
      <x:c r="Y828" s="21">
        <x:v>0</x:v>
      </x:c>
    </x:row>
    <x:row r="829" spans="1:37" x14ac:dyDescent="0.25">
      <x:c r="A829" s="0">
        <x:f>ROW(A829)-1</x:f>
      </x:c>
      <x:c r="E829" s="0" t="s">
        <x:v>1525</x:v>
      </x:c>
      <x:c r="F829" s="0" t="s">
        <x:v>1526</x:v>
      </x:c>
      <x:c r="G829" s="0" t="s">
        <x:v>1320</x:v>
      </x:c>
      <x:c r="M829" s="0">
        <x:v>0</x:v>
      </x:c>
      <x:c r="N829" s="0">
        <x:v>0</x:v>
      </x:c>
      <x:c r="O829" s="0" t="s">
        <x:v>1482</x:v>
      </x:c>
      <x:c r="S829" s="0">
        <x:v>1591</x:v>
      </x:c>
      <x:c r="T829" s="0">
        <x:v>0</x:v>
      </x:c>
      <x:c r="V829" s="0">
        <x:v>0</x:v>
      </x:c>
      <x:c r="W829" s="21">
        <x:v>0</x:v>
      </x:c>
      <x:c r="X829" s="0">
        <x:v>0</x:v>
      </x:c>
      <x:c r="Y829" s="21">
        <x:v>0</x:v>
      </x:c>
    </x:row>
    <x:row r="830" spans="1:37" x14ac:dyDescent="0.25">
      <x:c r="A830" s="0">
        <x:f>ROW(A830)-1</x:f>
      </x:c>
      <x:c r="E830" s="0" t="s">
        <x:v>1527</x:v>
      </x:c>
      <x:c r="F830" s="0" t="s">
        <x:v>1334</x:v>
      </x:c>
      <x:c r="G830" s="0" t="s">
        <x:v>1320</x:v>
      </x:c>
      <x:c r="H830" s="0" t="s">
        <x:v>1360</x:v>
      </x:c>
      <x:c r="I830" s="0" t="s">
        <x:v>1528</x:v>
      </x:c>
      <x:c r="J830" s="0" t="s">
        <x:v>413</x:v>
      </x:c>
      <x:c r="K830" s="0" t="s">
        <x:v>1441</x:v>
      </x:c>
      <x:c r="M830" s="0">
        <x:v>0</x:v>
      </x:c>
      <x:c r="N830" s="0">
        <x:v>0</x:v>
      </x:c>
      <x:c r="O830" s="0" t="s">
        <x:v>1362</x:v>
      </x:c>
      <x:c r="S830" s="0">
        <x:v>564</x:v>
      </x:c>
      <x:c r="T830" s="0">
        <x:v>0</x:v>
      </x:c>
      <x:c r="V830" s="0">
        <x:v>0</x:v>
      </x:c>
      <x:c r="W830" s="21">
        <x:v>0</x:v>
      </x:c>
      <x:c r="X830" s="0">
        <x:v>0</x:v>
      </x:c>
      <x:c r="Y830" s="21">
        <x:v>0</x:v>
      </x:c>
    </x:row>
    <x:row r="831" spans="1:37" x14ac:dyDescent="0.25">
      <x:c r="A831" s="0">
        <x:f>ROW(A831)-1</x:f>
      </x:c>
      <x:c r="E831" s="0" t="s">
        <x:v>1527</x:v>
      </x:c>
      <x:c r="F831" s="0" t="s">
        <x:v>1334</x:v>
      </x:c>
      <x:c r="G831" s="0" t="s">
        <x:v>1320</x:v>
      </x:c>
      <x:c r="H831" s="0" t="s">
        <x:v>1360</x:v>
      </x:c>
      <x:c r="I831" s="0" t="s">
        <x:v>1361</x:v>
      </x:c>
      <x:c r="J831" s="0" t="s">
        <x:v>1529</x:v>
      </x:c>
      <x:c r="K831" s="0" t="s">
        <x:v>1477</x:v>
      </x:c>
      <x:c r="M831" s="0">
        <x:v>0</x:v>
      </x:c>
      <x:c r="N831" s="0">
        <x:v>0</x:v>
      </x:c>
      <x:c r="O831" s="0" t="s">
        <x:v>1362</x:v>
      </x:c>
      <x:c r="S831" s="0">
        <x:v>348</x:v>
      </x:c>
      <x:c r="T831" s="0">
        <x:v>0</x:v>
      </x:c>
      <x:c r="V831" s="0">
        <x:v>0</x:v>
      </x:c>
      <x:c r="W831" s="21">
        <x:v>0</x:v>
      </x:c>
      <x:c r="X831" s="0">
        <x:v>0</x:v>
      </x:c>
      <x:c r="Y831" s="21">
        <x:v>0</x:v>
      </x:c>
    </x:row>
    <x:row r="832" spans="1:37" x14ac:dyDescent="0.25">
      <x:c r="A832" s="0">
        <x:f>ROW(A832)-1</x:f>
      </x:c>
      <x:c r="E832" s="0" t="s">
        <x:v>1891</x:v>
      </x:c>
      <x:c r="F832" s="0" t="s">
        <x:v>1531</x:v>
      </x:c>
      <x:c r="G832" s="0" t="s">
        <x:v>1320</x:v>
      </x:c>
      <x:c r="H832" s="0" t="s">
        <x:v>1360</x:v>
      </x:c>
      <x:c r="I832" s="0" t="s">
        <x:v>201</x:v>
      </x:c>
      <x:c r="J832" s="0" t="s">
        <x:v>1532</x:v>
      </x:c>
      <x:c r="K832" s="0" t="s">
        <x:v>1533</x:v>
      </x:c>
      <x:c r="M832" s="0">
        <x:v>0</x:v>
      </x:c>
      <x:c r="N832" s="0">
        <x:v>0</x:v>
      </x:c>
      <x:c r="O832" s="0" t="s">
        <x:v>1482</x:v>
      </x:c>
      <x:c r="S832" s="0">
        <x:v>447</x:v>
      </x:c>
      <x:c r="T832" s="0">
        <x:v>0</x:v>
      </x:c>
      <x:c r="V832" s="0">
        <x:v>0</x:v>
      </x:c>
      <x:c r="W832" s="21">
        <x:v>0</x:v>
      </x:c>
      <x:c r="X832" s="0">
        <x:v>0</x:v>
      </x:c>
      <x:c r="Y832" s="21">
        <x:v>0</x:v>
      </x:c>
    </x:row>
    <x:row r="833" spans="1:37" x14ac:dyDescent="0.25">
      <x:c r="A833" s="0">
        <x:f>ROW(A833)-1</x:f>
      </x:c>
      <x:c r="E833" s="0" t="s">
        <x:v>1530</x:v>
      </x:c>
      <x:c r="F833" s="0" t="s">
        <x:v>1534</x:v>
      </x:c>
      <x:c r="G833" s="0" t="s">
        <x:v>1320</x:v>
      </x:c>
      <x:c r="H833" s="0" t="s">
        <x:v>1360</x:v>
      </x:c>
      <x:c r="I833" s="0" t="s">
        <x:v>201</x:v>
      </x:c>
      <x:c r="J833" s="0" t="s">
        <x:v>1535</x:v>
      </x:c>
      <x:c r="K833" s="0" t="s">
        <x:v>1478</x:v>
      </x:c>
      <x:c r="M833" s="0">
        <x:v>0</x:v>
      </x:c>
      <x:c r="N833" s="0">
        <x:v>0</x:v>
      </x:c>
      <x:c r="O833" s="0" t="s">
        <x:v>1362</x:v>
      </x:c>
      <x:c r="S833" s="0">
        <x:v>393</x:v>
      </x:c>
      <x:c r="T833" s="0">
        <x:v>0</x:v>
      </x:c>
      <x:c r="V833" s="0">
        <x:v>0</x:v>
      </x:c>
      <x:c r="W833" s="21">
        <x:v>0</x:v>
      </x:c>
      <x:c r="X833" s="0">
        <x:v>0</x:v>
      </x:c>
      <x:c r="Y833" s="21">
        <x:v>0</x:v>
      </x:c>
    </x:row>
    <x:row r="834" spans="1:37" x14ac:dyDescent="0.25">
      <x:c r="A834" s="0">
        <x:f>ROW(A834)-1</x:f>
      </x:c>
      <x:c r="E834" s="0" t="s">
        <x:v>1530</x:v>
      </x:c>
      <x:c r="F834" s="0" t="s">
        <x:v>1536</x:v>
      </x:c>
      <x:c r="G834" s="0" t="s">
        <x:v>1320</x:v>
      </x:c>
      <x:c r="H834" s="0" t="s">
        <x:v>1360</x:v>
      </x:c>
      <x:c r="I834" s="0" t="s">
        <x:v>201</x:v>
      </x:c>
      <x:c r="J834" s="0" t="s">
        <x:v>1537</x:v>
      </x:c>
      <x:c r="K834" s="0" t="s">
        <x:v>1538</x:v>
      </x:c>
      <x:c r="M834" s="0">
        <x:v>0</x:v>
      </x:c>
      <x:c r="N834" s="0">
        <x:v>0</x:v>
      </x:c>
      <x:c r="S834" s="0">
        <x:v>779</x:v>
      </x:c>
      <x:c r="T834" s="0">
        <x:v>0</x:v>
      </x:c>
      <x:c r="V834" s="0">
        <x:v>0</x:v>
      </x:c>
      <x:c r="W834" s="21">
        <x:v>0</x:v>
      </x:c>
      <x:c r="X834" s="0">
        <x:v>0</x:v>
      </x:c>
      <x:c r="Y834" s="21">
        <x:v>0</x:v>
      </x:c>
    </x:row>
    <x:row r="835" spans="1:37" x14ac:dyDescent="0.25">
      <x:c r="A835" s="0">
        <x:f>ROW(A835)-1</x:f>
      </x:c>
      <x:c r="E835" s="0" t="s">
        <x:v>1530</x:v>
      </x:c>
      <x:c r="F835" s="0" t="s">
        <x:v>1539</x:v>
      </x:c>
      <x:c r="G835" s="0" t="s">
        <x:v>1320</x:v>
      </x:c>
      <x:c r="H835" s="0" t="s">
        <x:v>1360</x:v>
      </x:c>
      <x:c r="I835" s="0" t="s">
        <x:v>201</x:v>
      </x:c>
      <x:c r="J835" s="0" t="s">
        <x:v>1532</x:v>
      </x:c>
      <x:c r="K835" s="0" t="s">
        <x:v>1339</x:v>
      </x:c>
      <x:c r="M835" s="0">
        <x:v>0</x:v>
      </x:c>
      <x:c r="N835" s="0">
        <x:v>0</x:v>
      </x:c>
      <x:c r="S835" s="0">
        <x:v>2019</x:v>
      </x:c>
      <x:c r="T835" s="0">
        <x:v>0</x:v>
      </x:c>
      <x:c r="V835" s="0">
        <x:v>0</x:v>
      </x:c>
      <x:c r="W835" s="21">
        <x:v>0</x:v>
      </x:c>
      <x:c r="X835" s="0">
        <x:v>0</x:v>
      </x:c>
      <x:c r="Y835" s="21">
        <x:v>0</x:v>
      </x:c>
    </x:row>
    <x:row r="836" spans="1:37" x14ac:dyDescent="0.25">
      <x:c r="A836" s="0">
        <x:f>ROW(A836)-1</x:f>
      </x:c>
      <x:c r="E836" s="0" t="s">
        <x:v>1530</x:v>
      </x:c>
      <x:c r="F836" s="0" t="s">
        <x:v>1540</x:v>
      </x:c>
      <x:c r="G836" s="0" t="s">
        <x:v>1320</x:v>
      </x:c>
      <x:c r="H836" s="0" t="s">
        <x:v>1360</x:v>
      </x:c>
      <x:c r="I836" s="0" t="s">
        <x:v>201</x:v>
      </x:c>
      <x:c r="J836" s="0" t="s">
        <x:v>1541</x:v>
      </x:c>
      <x:c r="K836" s="0" t="s">
        <x:v>1542</x:v>
      </x:c>
      <x:c r="M836" s="0">
        <x:v>0</x:v>
      </x:c>
      <x:c r="N836" s="0">
        <x:v>0</x:v>
      </x:c>
      <x:c r="O836" s="0" t="s">
        <x:v>1362</x:v>
      </x:c>
      <x:c r="S836" s="0">
        <x:v>1077</x:v>
      </x:c>
      <x:c r="T836" s="0">
        <x:v>0</x:v>
      </x:c>
      <x:c r="V836" s="0">
        <x:v>0</x:v>
      </x:c>
      <x:c r="W836" s="21">
        <x:v>0</x:v>
      </x:c>
      <x:c r="X836" s="0">
        <x:v>0</x:v>
      </x:c>
      <x:c r="Y836" s="21">
        <x:v>0</x:v>
      </x:c>
    </x:row>
    <x:row r="837" spans="1:37" x14ac:dyDescent="0.25">
      <x:c r="A837" s="0">
        <x:f>ROW(A837)-1</x:f>
      </x:c>
      <x:c r="E837" s="0" t="s">
        <x:v>1543</x:v>
      </x:c>
      <x:c r="F837" s="0" t="s">
        <x:v>1544</x:v>
      </x:c>
      <x:c r="G837" s="0" t="s">
        <x:v>1320</x:v>
      </x:c>
      <x:c r="H837" s="0" t="s">
        <x:v>1360</x:v>
      </x:c>
      <x:c r="I837" s="0" t="s">
        <x:v>201</x:v>
      </x:c>
      <x:c r="J837" s="0" t="s">
        <x:v>1541</x:v>
      </x:c>
      <x:c r="K837" s="0" t="s">
        <x:v>1545</x:v>
      </x:c>
      <x:c r="M837" s="0">
        <x:v>0</x:v>
      </x:c>
      <x:c r="N837" s="0">
        <x:v>0</x:v>
      </x:c>
      <x:c r="O837" s="0" t="s">
        <x:v>1482</x:v>
      </x:c>
      <x:c r="S837" s="0">
        <x:v>530</x:v>
      </x:c>
      <x:c r="T837" s="0">
        <x:v>0</x:v>
      </x:c>
      <x:c r="V837" s="0">
        <x:v>0</x:v>
      </x:c>
      <x:c r="W837" s="21">
        <x:v>0</x:v>
      </x:c>
      <x:c r="X837" s="0">
        <x:v>0</x:v>
      </x:c>
      <x:c r="Y837" s="21">
        <x:v>0</x:v>
      </x:c>
    </x:row>
    <x:row r="838" spans="1:37" x14ac:dyDescent="0.25">
      <x:c r="A838" s="0">
        <x:f>ROW(A838)-1</x:f>
      </x:c>
      <x:c r="E838" s="0" t="s">
        <x:v>1530</x:v>
      </x:c>
      <x:c r="F838" s="0" t="s">
        <x:v>1546</x:v>
      </x:c>
      <x:c r="G838" s="0" t="s">
        <x:v>1320</x:v>
      </x:c>
      <x:c r="H838" s="0" t="s">
        <x:v>1360</x:v>
      </x:c>
      <x:c r="I838" s="0" t="s">
        <x:v>201</x:v>
      </x:c>
      <x:c r="J838" s="0" t="s">
        <x:v>1547</x:v>
      </x:c>
      <x:c r="K838" s="0" t="s">
        <x:v>1533</x:v>
      </x:c>
      <x:c r="M838" s="0">
        <x:v>0</x:v>
      </x:c>
      <x:c r="N838" s="0">
        <x:v>0</x:v>
      </x:c>
      <x:c r="O838" s="0" t="s">
        <x:v>1362</x:v>
      </x:c>
      <x:c r="S838" s="0">
        <x:v>403</x:v>
      </x:c>
      <x:c r="T838" s="0">
        <x:v>0</x:v>
      </x:c>
      <x:c r="V838" s="0">
        <x:v>0</x:v>
      </x:c>
      <x:c r="W838" s="21">
        <x:v>0</x:v>
      </x:c>
      <x:c r="X838" s="0">
        <x:v>0</x:v>
      </x:c>
      <x:c r="Y838" s="21">
        <x:v>0</x:v>
      </x:c>
    </x:row>
    <x:row r="839" spans="1:37" x14ac:dyDescent="0.25">
      <x:c r="A839" s="0">
        <x:f>ROW(A839)-1</x:f>
      </x:c>
      <x:c r="E839" s="0" t="s">
        <x:v>1530</x:v>
      </x:c>
      <x:c r="F839" s="0" t="s">
        <x:v>1548</x:v>
      </x:c>
      <x:c r="G839" s="0" t="s">
        <x:v>1320</x:v>
      </x:c>
      <x:c r="H839" s="0" t="s">
        <x:v>1360</x:v>
      </x:c>
      <x:c r="I839" s="0" t="s">
        <x:v>201</x:v>
      </x:c>
      <x:c r="J839" s="0" t="s">
        <x:v>1549</x:v>
      </x:c>
      <x:c r="K839" s="0" t="s">
        <x:v>1550</x:v>
      </x:c>
      <x:c r="M839" s="0">
        <x:v>0</x:v>
      </x:c>
      <x:c r="N839" s="0">
        <x:v>0</x:v>
      </x:c>
      <x:c r="O839" s="0" t="s">
        <x:v>1362</x:v>
      </x:c>
      <x:c r="S839" s="0">
        <x:v>548</x:v>
      </x:c>
      <x:c r="T839" s="0">
        <x:v>0</x:v>
      </x:c>
      <x:c r="V839" s="0">
        <x:v>0</x:v>
      </x:c>
      <x:c r="W839" s="21">
        <x:v>0</x:v>
      </x:c>
      <x:c r="X839" s="0">
        <x:v>0</x:v>
      </x:c>
      <x:c r="Y839" s="21">
        <x:v>0</x:v>
      </x:c>
    </x:row>
    <x:row r="840" spans="1:37" x14ac:dyDescent="0.25">
      <x:c r="A840" s="0">
        <x:f>ROW(A840)-1</x:f>
      </x:c>
      <x:c r="E840" s="0" t="s">
        <x:v>1530</x:v>
      </x:c>
      <x:c r="F840" s="0" t="s">
        <x:v>1551</x:v>
      </x:c>
      <x:c r="G840" s="0" t="s">
        <x:v>1320</x:v>
      </x:c>
      <x:c r="H840" s="0" t="s">
        <x:v>1360</x:v>
      </x:c>
      <x:c r="I840" s="0" t="s">
        <x:v>201</x:v>
      </x:c>
      <x:c r="J840" s="0" t="s">
        <x:v>1552</x:v>
      </x:c>
      <x:c r="K840" s="0" t="s">
        <x:v>1477</x:v>
      </x:c>
      <x:c r="M840" s="0">
        <x:v>0</x:v>
      </x:c>
      <x:c r="N840" s="0">
        <x:v>0</x:v>
      </x:c>
      <x:c r="S840" s="0">
        <x:v>336</x:v>
      </x:c>
      <x:c r="T840" s="0">
        <x:v>0</x:v>
      </x:c>
      <x:c r="V840" s="0">
        <x:v>0</x:v>
      </x:c>
      <x:c r="W840" s="21">
        <x:v>0</x:v>
      </x:c>
      <x:c r="X840" s="0">
        <x:v>0</x:v>
      </x:c>
      <x:c r="Y840" s="21">
        <x:v>0</x:v>
      </x:c>
    </x:row>
    <x:row r="841" spans="1:37" x14ac:dyDescent="0.25">
      <x:c r="A841" s="0">
        <x:f>ROW(A841)-1</x:f>
      </x:c>
      <x:c r="E841" s="0" t="s">
        <x:v>1530</x:v>
      </x:c>
      <x:c r="F841" s="0" t="s">
        <x:v>1553</x:v>
      </x:c>
      <x:c r="G841" s="0" t="s">
        <x:v>1320</x:v>
      </x:c>
      <x:c r="H841" s="0" t="s">
        <x:v>1360</x:v>
      </x:c>
      <x:c r="I841" s="0" t="s">
        <x:v>201</x:v>
      </x:c>
      <x:c r="J841" s="0" t="s">
        <x:v>413</x:v>
      </x:c>
      <x:c r="K841" s="0" t="s">
        <x:v>1441</x:v>
      </x:c>
      <x:c r="M841" s="0">
        <x:v>0</x:v>
      </x:c>
      <x:c r="N841" s="0">
        <x:v>0</x:v>
      </x:c>
      <x:c r="S841" s="0">
        <x:v>420</x:v>
      </x:c>
      <x:c r="T841" s="0">
        <x:v>0</x:v>
      </x:c>
      <x:c r="V841" s="0">
        <x:v>0</x:v>
      </x:c>
      <x:c r="W841" s="21">
        <x:v>0</x:v>
      </x:c>
      <x:c r="X841" s="0">
        <x:v>0</x:v>
      </x:c>
      <x:c r="Y841" s="21">
        <x:v>0</x:v>
      </x:c>
    </x:row>
    <x:row r="842" spans="1:37" x14ac:dyDescent="0.25">
      <x:c r="A842" s="0">
        <x:f>ROW(A842)-1</x:f>
      </x:c>
      <x:c r="E842" s="0" t="s">
        <x:v>1554</x:v>
      </x:c>
      <x:c r="F842" s="0" t="s">
        <x:v>1555</x:v>
      </x:c>
      <x:c r="G842" s="0" t="s">
        <x:v>1320</x:v>
      </x:c>
      <x:c r="H842" s="0" t="s">
        <x:v>1360</x:v>
      </x:c>
      <x:c r="I842" s="0" t="s">
        <x:v>1361</x:v>
      </x:c>
      <x:c r="J842" s="0" t="s">
        <x:v>1556</x:v>
      </x:c>
      <x:c r="K842" s="0" t="s">
        <x:v>1478</x:v>
      </x:c>
      <x:c r="M842" s="0">
        <x:v>0</x:v>
      </x:c>
      <x:c r="N842" s="0">
        <x:v>0</x:v>
      </x:c>
      <x:c r="O842" s="0" t="s">
        <x:v>1467</x:v>
      </x:c>
      <x:c r="S842" s="0">
        <x:v>2788</x:v>
      </x:c>
      <x:c r="T842" s="0">
        <x:v>0</x:v>
      </x:c>
      <x:c r="V842" s="0">
        <x:v>0</x:v>
      </x:c>
      <x:c r="W842" s="21">
        <x:v>0</x:v>
      </x:c>
      <x:c r="X842" s="0">
        <x:v>0</x:v>
      </x:c>
      <x:c r="Y842" s="21">
        <x:v>0</x:v>
      </x:c>
    </x:row>
    <x:row r="843" spans="1:37" x14ac:dyDescent="0.25">
      <x:c r="A843" s="0">
        <x:f>ROW(A843)-1</x:f>
      </x:c>
      <x:c r="E843" s="0" t="s">
        <x:v>1557</x:v>
      </x:c>
      <x:c r="F843" s="0" t="s">
        <x:v>1558</x:v>
      </x:c>
      <x:c r="G843" s="0" t="s">
        <x:v>1320</x:v>
      </x:c>
      <x:c r="H843" s="0" t="s">
        <x:v>1559</x:v>
      </x:c>
      <x:c r="I843" s="0" t="s">
        <x:v>1560</x:v>
      </x:c>
      <x:c r="J843" s="0" t="s">
        <x:v>1561</x:v>
      </x:c>
      <x:c r="K843" s="0" t="s">
        <x:v>1482</x:v>
      </x:c>
      <x:c r="M843" s="0">
        <x:v>0</x:v>
      </x:c>
      <x:c r="N843" s="0">
        <x:v>0</x:v>
      </x:c>
      <x:c r="O843" s="0" t="s">
        <x:v>1482</x:v>
      </x:c>
      <x:c r="S843" s="0">
        <x:v>202</x:v>
      </x:c>
      <x:c r="T843" s="0">
        <x:v>0</x:v>
      </x:c>
      <x:c r="V843" s="0">
        <x:v>0</x:v>
      </x:c>
      <x:c r="W843" s="21">
        <x:v>0</x:v>
      </x:c>
      <x:c r="X843" s="0">
        <x:v>0</x:v>
      </x:c>
      <x:c r="Y843" s="21">
        <x:v>0</x:v>
      </x:c>
    </x:row>
    <x:row r="844" spans="1:37" x14ac:dyDescent="0.25">
      <x:c r="A844" s="0">
        <x:f>ROW(A844)-1</x:f>
      </x:c>
      <x:c r="E844" s="0" t="s">
        <x:v>1562</x:v>
      </x:c>
      <x:c r="F844" s="0" t="s">
        <x:v>1558</x:v>
      </x:c>
      <x:c r="G844" s="0" t="s">
        <x:v>1320</x:v>
      </x:c>
      <x:c r="H844" s="0" t="s">
        <x:v>1360</x:v>
      </x:c>
      <x:c r="I844" s="0" t="s">
        <x:v>1361</x:v>
      </x:c>
      <x:c r="J844" s="0" t="s">
        <x:v>1563</x:v>
      </x:c>
      <x:c r="K844" s="0" t="s">
        <x:v>1564</x:v>
      </x:c>
      <x:c r="M844" s="0">
        <x:v>0</x:v>
      </x:c>
      <x:c r="N844" s="0">
        <x:v>0</x:v>
      </x:c>
      <x:c r="S844" s="0">
        <x:v>255</x:v>
      </x:c>
      <x:c r="T844" s="0">
        <x:v>0</x:v>
      </x:c>
      <x:c r="V844" s="0">
        <x:v>0</x:v>
      </x:c>
      <x:c r="W844" s="21">
        <x:v>0</x:v>
      </x:c>
      <x:c r="X844" s="0">
        <x:v>0</x:v>
      </x:c>
      <x:c r="Y844" s="21">
        <x:v>0</x:v>
      </x:c>
    </x:row>
    <x:row r="845" spans="1:37" x14ac:dyDescent="0.25">
      <x:c r="A845" s="0">
        <x:f>ROW(A845)-1</x:f>
      </x:c>
      <x:c r="E845" s="0" t="s">
        <x:v>1562</x:v>
      </x:c>
      <x:c r="F845" s="0" t="s">
        <x:v>1558</x:v>
      </x:c>
      <x:c r="G845" s="0" t="s">
        <x:v>1320</x:v>
      </x:c>
      <x:c r="H845" s="0" t="s">
        <x:v>1360</x:v>
      </x:c>
      <x:c r="I845" s="0" t="s">
        <x:v>1565</x:v>
      </x:c>
      <x:c r="J845" s="0" t="s">
        <x:v>1566</x:v>
      </x:c>
      <x:c r="K845" s="0" t="s">
        <x:v>1477</x:v>
      </x:c>
      <x:c r="M845" s="0">
        <x:v>0</x:v>
      </x:c>
      <x:c r="N845" s="0">
        <x:v>0</x:v>
      </x:c>
      <x:c r="S845" s="0">
        <x:v>500</x:v>
      </x:c>
      <x:c r="T845" s="0">
        <x:v>0</x:v>
      </x:c>
      <x:c r="V845" s="0">
        <x:v>0</x:v>
      </x:c>
      <x:c r="W845" s="21">
        <x:v>0</x:v>
      </x:c>
      <x:c r="X845" s="0">
        <x:v>0</x:v>
      </x:c>
      <x:c r="Y845" s="21">
        <x:v>0</x:v>
      </x:c>
    </x:row>
    <x:row r="846" spans="1:37" x14ac:dyDescent="0.25">
      <x:c r="A846" s="0">
        <x:f>ROW(A846)-1</x:f>
      </x:c>
      <x:c r="E846" s="0" t="s">
        <x:v>1567</x:v>
      </x:c>
      <x:c r="F846" s="0" t="s">
        <x:v>1558</x:v>
      </x:c>
      <x:c r="G846" s="0" t="s">
        <x:v>1320</x:v>
      </x:c>
      <x:c r="H846" s="0" t="s">
        <x:v>1360</x:v>
      </x:c>
      <x:c r="I846" s="0" t="s">
        <x:v>1361</x:v>
      </x:c>
      <x:c r="J846" s="0" t="s">
        <x:v>1568</x:v>
      </x:c>
      <x:c r="K846" s="0" t="s">
        <x:v>1458</x:v>
      </x:c>
      <x:c r="M846" s="0">
        <x:v>0</x:v>
      </x:c>
      <x:c r="N846" s="0">
        <x:v>0</x:v>
      </x:c>
      <x:c r="S846" s="0">
        <x:v>363</x:v>
      </x:c>
      <x:c r="T846" s="0">
        <x:v>0</x:v>
      </x:c>
      <x:c r="V846" s="0">
        <x:v>0</x:v>
      </x:c>
      <x:c r="W846" s="21">
        <x:v>0</x:v>
      </x:c>
      <x:c r="X846" s="0">
        <x:v>0</x:v>
      </x:c>
      <x:c r="Y846" s="21">
        <x:v>0</x:v>
      </x:c>
    </x:row>
    <x:row r="847" spans="1:37" x14ac:dyDescent="0.25">
      <x:c r="A847" s="0">
        <x:f>ROW(A847)-1</x:f>
      </x:c>
      <x:c r="E847" s="0" t="s">
        <x:v>1567</x:v>
      </x:c>
      <x:c r="F847" s="0" t="s">
        <x:v>1569</x:v>
      </x:c>
      <x:c r="G847" s="0" t="s">
        <x:v>1320</x:v>
      </x:c>
      <x:c r="H847" s="0" t="s">
        <x:v>1360</x:v>
      </x:c>
      <x:c r="I847" s="0" t="s">
        <x:v>1570</x:v>
      </x:c>
      <x:c r="J847" s="0" t="s">
        <x:v>216</x:v>
      </x:c>
      <x:c r="K847" s="0" t="s">
        <x:v>1362</x:v>
      </x:c>
      <x:c r="M847" s="0">
        <x:v>0</x:v>
      </x:c>
      <x:c r="N847" s="0">
        <x:v>0</x:v>
      </x:c>
      <x:c r="S847" s="0">
        <x:v>264</x:v>
      </x:c>
      <x:c r="T847" s="0">
        <x:v>0</x:v>
      </x:c>
      <x:c r="V847" s="0">
        <x:v>0</x:v>
      </x:c>
      <x:c r="W847" s="21">
        <x:v>0</x:v>
      </x:c>
      <x:c r="X847" s="0">
        <x:v>0</x:v>
      </x:c>
      <x:c r="Y847" s="21">
        <x:v>0</x:v>
      </x:c>
    </x:row>
    <x:row r="848" spans="1:37" x14ac:dyDescent="0.25">
      <x:c r="A848" s="0">
        <x:f>ROW(A848)-1</x:f>
      </x:c>
      <x:c r="E848" s="0" t="s">
        <x:v>1571</x:v>
      </x:c>
      <x:c r="F848" s="0" t="s">
        <x:v>1558</x:v>
      </x:c>
      <x:c r="G848" s="0" t="s">
        <x:v>1320</x:v>
      </x:c>
      <x:c r="H848" s="0" t="s">
        <x:v>1360</x:v>
      </x:c>
      <x:c r="I848" s="0" t="s">
        <x:v>1361</x:v>
      </x:c>
      <x:c r="J848" s="0" t="s">
        <x:v>1572</x:v>
      </x:c>
      <x:c r="K848" s="0" t="s">
        <x:v>1441</x:v>
      </x:c>
      <x:c r="M848" s="0">
        <x:v>0</x:v>
      </x:c>
      <x:c r="N848" s="0">
        <x:v>0</x:v>
      </x:c>
      <x:c r="S848" s="0">
        <x:v>527</x:v>
      </x:c>
      <x:c r="T848" s="0">
        <x:v>0</x:v>
      </x:c>
      <x:c r="V848" s="0">
        <x:v>0</x:v>
      </x:c>
      <x:c r="W848" s="21">
        <x:v>0</x:v>
      </x:c>
      <x:c r="X848" s="0">
        <x:v>0</x:v>
      </x:c>
      <x:c r="Y848" s="21">
        <x:v>0</x:v>
      </x:c>
    </x:row>
    <x:row r="849" spans="1:37" x14ac:dyDescent="0.25">
      <x:c r="A849" s="0">
        <x:f>ROW(A849)-1</x:f>
      </x:c>
      <x:c r="E849" s="0" t="s">
        <x:v>1892</x:v>
      </x:c>
      <x:c r="F849" s="0" t="s">
        <x:v>1893</x:v>
      </x:c>
      <x:c r="G849" s="0" t="s">
        <x:v>1320</x:v>
      </x:c>
      <x:c r="H849" s="0" t="s">
        <x:v>1456</x:v>
      </x:c>
      <x:c r="I849" s="0" t="s">
        <x:v>276</x:v>
      </x:c>
      <x:c r="J849" s="0" t="s">
        <x:v>1894</x:v>
      </x:c>
      <x:c r="K849" s="0" t="s">
        <x:v>1895</x:v>
      </x:c>
      <x:c r="M849" s="0">
        <x:v>0</x:v>
      </x:c>
      <x:c r="N849" s="0">
        <x:v>0</x:v>
      </x:c>
      <x:c r="O849" s="0" t="s">
        <x:v>1441</x:v>
      </x:c>
      <x:c r="S849" s="0">
        <x:v>224</x:v>
      </x:c>
      <x:c r="T849" s="0">
        <x:v>0</x:v>
      </x:c>
      <x:c r="V849" s="0">
        <x:v>0</x:v>
      </x:c>
      <x:c r="W849" s="21">
        <x:v>0</x:v>
      </x:c>
      <x:c r="X849" s="0">
        <x:v>9216</x:v>
      </x:c>
      <x:c r="Y849" s="21">
        <x:v>0</x:v>
      </x:c>
    </x:row>
    <x:row r="850" spans="1:37" x14ac:dyDescent="0.25">
      <x:c r="A850" s="0">
        <x:f>ROW(A850)-1</x:f>
      </x:c>
      <x:c r="E850" s="0" t="s">
        <x:v>1892</x:v>
      </x:c>
      <x:c r="F850" s="0" t="s">
        <x:v>1896</x:v>
      </x:c>
      <x:c r="G850" s="0" t="s">
        <x:v>1320</x:v>
      </x:c>
      <x:c r="H850" s="0" t="s">
        <x:v>1456</x:v>
      </x:c>
      <x:c r="I850" s="0" t="s">
        <x:v>276</x:v>
      </x:c>
      <x:c r="J850" s="0" t="s">
        <x:v>1894</x:v>
      </x:c>
      <x:c r="K850" s="0" t="s">
        <x:v>1895</x:v>
      </x:c>
      <x:c r="M850" s="0">
        <x:v>0</x:v>
      </x:c>
      <x:c r="N850" s="0">
        <x:v>0</x:v>
      </x:c>
      <x:c r="O850" s="0" t="s">
        <x:v>1441</x:v>
      </x:c>
      <x:c r="S850" s="0">
        <x:v>224</x:v>
      </x:c>
      <x:c r="T850" s="0">
        <x:v>0</x:v>
      </x:c>
      <x:c r="V850" s="0">
        <x:v>0</x:v>
      </x:c>
      <x:c r="W850" s="21">
        <x:v>0</x:v>
      </x:c>
      <x:c r="X850" s="0">
        <x:v>9216</x:v>
      </x:c>
      <x:c r="Y850" s="21">
        <x:v>0</x:v>
      </x:c>
    </x:row>
    <x:row r="851" spans="1:37" x14ac:dyDescent="0.25">
      <x:c r="A851" s="0">
        <x:f>ROW(A851)-1</x:f>
      </x:c>
      <x:c r="E851" s="0" t="s">
        <x:v>1892</x:v>
      </x:c>
      <x:c r="F851" s="0" t="s">
        <x:v>1897</x:v>
      </x:c>
      <x:c r="G851" s="0" t="s">
        <x:v>1320</x:v>
      </x:c>
      <x:c r="H851" s="0" t="s">
        <x:v>1456</x:v>
      </x:c>
      <x:c r="I851" s="0" t="s">
        <x:v>276</x:v>
      </x:c>
      <x:c r="J851" s="0" t="s">
        <x:v>1894</x:v>
      </x:c>
      <x:c r="K851" s="0" t="s">
        <x:v>1895</x:v>
      </x:c>
      <x:c r="M851" s="0">
        <x:v>0</x:v>
      </x:c>
      <x:c r="N851" s="0">
        <x:v>0</x:v>
      </x:c>
      <x:c r="O851" s="0" t="s">
        <x:v>1441</x:v>
      </x:c>
      <x:c r="S851" s="0">
        <x:v>380</x:v>
      </x:c>
      <x:c r="T851" s="0">
        <x:v>0</x:v>
      </x:c>
      <x:c r="V851" s="0">
        <x:v>0</x:v>
      </x:c>
      <x:c r="W851" s="21">
        <x:v>0</x:v>
      </x:c>
      <x:c r="X851" s="0">
        <x:v>15621</x:v>
      </x:c>
      <x:c r="Y851" s="21">
        <x:v>0</x:v>
      </x:c>
    </x:row>
    <x:row r="852" spans="1:37" x14ac:dyDescent="0.25">
      <x:c r="A852" s="0">
        <x:f>ROW(A852)-1</x:f>
      </x:c>
      <x:c r="E852" s="0" t="s">
        <x:v>1898</x:v>
      </x:c>
      <x:c r="F852" s="0" t="s">
        <x:v>1899</x:v>
      </x:c>
      <x:c r="G852" s="0" t="s">
        <x:v>1320</x:v>
      </x:c>
      <x:c r="H852" s="0" t="s">
        <x:v>1456</x:v>
      </x:c>
      <x:c r="I852" s="0" t="s">
        <x:v>276</x:v>
      </x:c>
      <x:c r="J852" s="0" t="s">
        <x:v>1894</x:v>
      </x:c>
      <x:c r="K852" s="0" t="s">
        <x:v>1895</x:v>
      </x:c>
      <x:c r="M852" s="0">
        <x:v>0</x:v>
      </x:c>
      <x:c r="N852" s="0">
        <x:v>0</x:v>
      </x:c>
      <x:c r="O852" s="0" t="s">
        <x:v>1441</x:v>
      </x:c>
      <x:c r="S852" s="0">
        <x:v>459</x:v>
      </x:c>
      <x:c r="T852" s="0">
        <x:v>0</x:v>
      </x:c>
      <x:c r="V852" s="0">
        <x:v>0</x:v>
      </x:c>
      <x:c r="W852" s="21">
        <x:v>0</x:v>
      </x:c>
      <x:c r="X852" s="0">
        <x:v>18835</x:v>
      </x:c>
      <x:c r="Y852" s="21">
        <x:v>0</x:v>
      </x:c>
    </x:row>
    <x:row r="853" spans="1:37" x14ac:dyDescent="0.25">
      <x:c r="A853" s="0">
        <x:f>ROW(A853)-1</x:f>
      </x:c>
      <x:c r="E853" s="0" t="s">
        <x:v>1892</x:v>
      </x:c>
      <x:c r="F853" s="0" t="s">
        <x:v>1900</x:v>
      </x:c>
      <x:c r="G853" s="0" t="s">
        <x:v>1320</x:v>
      </x:c>
      <x:c r="H853" s="0" t="s">
        <x:v>1456</x:v>
      </x:c>
      <x:c r="I853" s="0" t="s">
        <x:v>276</x:v>
      </x:c>
      <x:c r="J853" s="0" t="s">
        <x:v>1894</x:v>
      </x:c>
      <x:c r="K853" s="0" t="s">
        <x:v>1895</x:v>
      </x:c>
      <x:c r="M853" s="0">
        <x:v>0</x:v>
      </x:c>
      <x:c r="N853" s="0">
        <x:v>0</x:v>
      </x:c>
      <x:c r="O853" s="0" t="s">
        <x:v>1441</x:v>
      </x:c>
      <x:c r="S853" s="0">
        <x:v>463</x:v>
      </x:c>
      <x:c r="T853" s="0">
        <x:v>0</x:v>
      </x:c>
      <x:c r="V853" s="0">
        <x:v>0</x:v>
      </x:c>
      <x:c r="W853" s="21">
        <x:v>0</x:v>
      </x:c>
      <x:c r="X853" s="0">
        <x:v>19023</x:v>
      </x:c>
      <x:c r="Y853" s="21">
        <x:v>0</x:v>
      </x:c>
    </x:row>
    <x:row r="854" spans="1:37" x14ac:dyDescent="0.25">
      <x:c r="A854" s="0">
        <x:f>ROW(A854)-1</x:f>
      </x:c>
      <x:c r="E854" s="0" t="s">
        <x:v>1892</x:v>
      </x:c>
      <x:c r="F854" s="0" t="s">
        <x:v>1901</x:v>
      </x:c>
      <x:c r="G854" s="0" t="s">
        <x:v>1320</x:v>
      </x:c>
      <x:c r="H854" s="0" t="s">
        <x:v>1902</x:v>
      </x:c>
      <x:c r="I854" s="0" t="s">
        <x:v>276</x:v>
      </x:c>
      <x:c r="J854" s="0" t="s">
        <x:v>1894</x:v>
      </x:c>
      <x:c r="K854" s="0" t="s">
        <x:v>1903</x:v>
      </x:c>
      <x:c r="M854" s="0">
        <x:v>0</x:v>
      </x:c>
      <x:c r="N854" s="0">
        <x:v>0</x:v>
      </x:c>
      <x:c r="O854" s="0" t="s">
        <x:v>1441</x:v>
      </x:c>
      <x:c r="S854" s="0">
        <x:v>465</x:v>
      </x:c>
      <x:c r="T854" s="0">
        <x:v>0</x:v>
      </x:c>
      <x:c r="V854" s="0">
        <x:v>0</x:v>
      </x:c>
      <x:c r="W854" s="21">
        <x:v>0</x:v>
      </x:c>
      <x:c r="X854" s="0">
        <x:v>19080</x:v>
      </x:c>
      <x:c r="Y854" s="21">
        <x:v>0</x:v>
      </x:c>
    </x:row>
    <x:row r="855" spans="1:37" x14ac:dyDescent="0.25">
      <x:c r="A855" s="0">
        <x:f>ROW(A855)-1</x:f>
      </x:c>
      <x:c r="E855" s="0" t="s">
        <x:v>1892</x:v>
      </x:c>
      <x:c r="F855" s="0" t="s">
        <x:v>1904</x:v>
      </x:c>
      <x:c r="G855" s="0" t="s">
        <x:v>1320</x:v>
      </x:c>
      <x:c r="H855" s="0" t="s">
        <x:v>1905</x:v>
      </x:c>
      <x:c r="I855" s="0" t="s">
        <x:v>276</x:v>
      </x:c>
      <x:c r="J855" s="0" t="s">
        <x:v>1894</x:v>
      </x:c>
      <x:c r="K855" s="0" t="s">
        <x:v>1906</x:v>
      </x:c>
      <x:c r="M855" s="0">
        <x:v>0</x:v>
      </x:c>
      <x:c r="N855" s="0">
        <x:v>0</x:v>
      </x:c>
      <x:c r="O855" s="0" t="s">
        <x:v>1441</x:v>
      </x:c>
      <x:c r="S855" s="0">
        <x:v>488</x:v>
      </x:c>
      <x:c r="T855" s="0">
        <x:v>0</x:v>
      </x:c>
      <x:c r="V855" s="0">
        <x:v>0</x:v>
      </x:c>
      <x:c r="W855" s="21">
        <x:v>0</x:v>
      </x:c>
      <x:c r="X855" s="0">
        <x:v>20031</x:v>
      </x:c>
      <x:c r="Y855" s="21">
        <x:v>0</x:v>
      </x:c>
    </x:row>
    <x:row r="856" spans="1:37" x14ac:dyDescent="0.25">
      <x:c r="A856" s="0">
        <x:f>ROW(A856)-1</x:f>
      </x:c>
      <x:c r="E856" s="0" t="s">
        <x:v>1892</x:v>
      </x:c>
      <x:c r="F856" s="0" t="s">
        <x:v>1907</x:v>
      </x:c>
      <x:c r="G856" s="0" t="s">
        <x:v>1320</x:v>
      </x:c>
      <x:c r="H856" s="0" t="s">
        <x:v>1908</x:v>
      </x:c>
      <x:c r="I856" s="0" t="s">
        <x:v>276</x:v>
      </x:c>
      <x:c r="J856" s="0" t="s">
        <x:v>1894</x:v>
      </x:c>
      <x:c r="K856" s="0" t="s">
        <x:v>1909</x:v>
      </x:c>
      <x:c r="M856" s="0">
        <x:v>0</x:v>
      </x:c>
      <x:c r="N856" s="0">
        <x:v>0</x:v>
      </x:c>
      <x:c r="O856" s="0" t="s">
        <x:v>1441</x:v>
      </x:c>
      <x:c r="S856" s="0">
        <x:v>887</x:v>
      </x:c>
      <x:c r="T856" s="0">
        <x:v>0</x:v>
      </x:c>
      <x:c r="V856" s="0">
        <x:v>0</x:v>
      </x:c>
      <x:c r="W856" s="21">
        <x:v>0</x:v>
      </x:c>
      <x:c r="X856" s="0">
        <x:v>25561</x:v>
      </x:c>
      <x:c r="Y856" s="21">
        <x:v>0</x:v>
      </x:c>
    </x:row>
    <x:row r="857" spans="1:37" x14ac:dyDescent="0.25">
      <x:c r="A857" s="0">
        <x:f>ROW(A857)-1</x:f>
      </x:c>
      <x:c r="E857" s="0" t="s">
        <x:v>1892</x:v>
      </x:c>
      <x:c r="F857" s="0" t="s">
        <x:v>1910</x:v>
      </x:c>
      <x:c r="G857" s="0" t="s">
        <x:v>1320</x:v>
      </x:c>
      <x:c r="H857" s="0" t="s">
        <x:v>1911</x:v>
      </x:c>
      <x:c r="I857" s="0" t="s">
        <x:v>276</x:v>
      </x:c>
      <x:c r="J857" s="0" t="s">
        <x:v>1894</x:v>
      </x:c>
      <x:c r="K857" s="0" t="s">
        <x:v>1912</x:v>
      </x:c>
      <x:c r="M857" s="0">
        <x:v>0</x:v>
      </x:c>
      <x:c r="N857" s="0">
        <x:v>0</x:v>
      </x:c>
      <x:c r="O857" s="0" t="s">
        <x:v>1441</x:v>
      </x:c>
      <x:c r="S857" s="0">
        <x:v>195</x:v>
      </x:c>
      <x:c r="T857" s="0">
        <x:v>0</x:v>
      </x:c>
      <x:c r="V857" s="0">
        <x:v>0</x:v>
      </x:c>
      <x:c r="W857" s="21">
        <x:v>0</x:v>
      </x:c>
      <x:c r="X857" s="0">
        <x:v>5627</x:v>
      </x:c>
      <x:c r="Y857" s="21">
        <x:v>0</x:v>
      </x:c>
    </x:row>
    <x:row r="858" spans="1:37" x14ac:dyDescent="0.25">
      <x:c r="A858" s="0">
        <x:f>ROW(A858)-1</x:f>
      </x:c>
      <x:c r="E858" s="0" t="s">
        <x:v>1892</x:v>
      </x:c>
      <x:c r="F858" s="0" t="s">
        <x:v>1913</x:v>
      </x:c>
      <x:c r="G858" s="0" t="s">
        <x:v>1320</x:v>
      </x:c>
      <x:c r="H858" s="0" t="s">
        <x:v>1914</x:v>
      </x:c>
      <x:c r="I858" s="0" t="s">
        <x:v>276</x:v>
      </x:c>
      <x:c r="J858" s="0" t="s">
        <x:v>1894</x:v>
      </x:c>
      <x:c r="K858" s="0" t="s">
        <x:v>1915</x:v>
      </x:c>
      <x:c r="M858" s="0">
        <x:v>0</x:v>
      </x:c>
      <x:c r="N858" s="0">
        <x:v>0</x:v>
      </x:c>
      <x:c r="O858" s="0" t="s">
        <x:v>1441</x:v>
      </x:c>
      <x:c r="S858" s="0">
        <x:v>195</x:v>
      </x:c>
      <x:c r="T858" s="0">
        <x:v>0</x:v>
      </x:c>
      <x:c r="V858" s="0">
        <x:v>0</x:v>
      </x:c>
      <x:c r="W858" s="21">
        <x:v>0</x:v>
      </x:c>
      <x:c r="X858" s="0">
        <x:v>5627</x:v>
      </x:c>
      <x:c r="Y858" s="21">
        <x:v>0</x:v>
      </x:c>
    </x:row>
    <x:row r="859" spans="1:37" x14ac:dyDescent="0.25">
      <x:c r="A859" s="0">
        <x:f>ROW(A859)-1</x:f>
      </x:c>
      <x:c r="E859" s="0" t="s">
        <x:v>1892</x:v>
      </x:c>
      <x:c r="F859" s="0" t="s">
        <x:v>1916</x:v>
      </x:c>
      <x:c r="G859" s="0" t="s">
        <x:v>1320</x:v>
      </x:c>
      <x:c r="H859" s="0" t="s">
        <x:v>1917</x:v>
      </x:c>
      <x:c r="I859" s="0" t="s">
        <x:v>276</x:v>
      </x:c>
      <x:c r="J859" s="0" t="s">
        <x:v>1894</x:v>
      </x:c>
      <x:c r="K859" s="0" t="s">
        <x:v>1918</x:v>
      </x:c>
      <x:c r="M859" s="0">
        <x:v>0</x:v>
      </x:c>
      <x:c r="N859" s="0">
        <x:v>0</x:v>
      </x:c>
      <x:c r="O859" s="0" t="s">
        <x:v>1441</x:v>
      </x:c>
      <x:c r="S859" s="0">
        <x:v>318</x:v>
      </x:c>
      <x:c r="T859" s="0">
        <x:v>0</x:v>
      </x:c>
      <x:c r="V859" s="0">
        <x:v>0</x:v>
      </x:c>
      <x:c r="W859" s="21">
        <x:v>0</x:v>
      </x:c>
      <x:c r="X859" s="0">
        <x:v>9112</x:v>
      </x:c>
      <x:c r="Y859" s="21">
        <x:v>0</x:v>
      </x:c>
    </x:row>
    <x:row r="860" spans="1:37" x14ac:dyDescent="0.25">
      <x:c r="A860" s="0">
        <x:f>ROW(A860)-1</x:f>
      </x:c>
      <x:c r="E860" s="0" t="s">
        <x:v>1892</x:v>
      </x:c>
      <x:c r="F860" s="0" t="s">
        <x:v>1919</x:v>
      </x:c>
      <x:c r="G860" s="0" t="s">
        <x:v>1320</x:v>
      </x:c>
      <x:c r="H860" s="0" t="s">
        <x:v>1920</x:v>
      </x:c>
      <x:c r="I860" s="0" t="s">
        <x:v>276</x:v>
      </x:c>
      <x:c r="J860" s="0" t="s">
        <x:v>1894</x:v>
      </x:c>
      <x:c r="K860" s="0" t="s">
        <x:v>1921</x:v>
      </x:c>
      <x:c r="M860" s="0">
        <x:v>0</x:v>
      </x:c>
      <x:c r="N860" s="0">
        <x:v>0</x:v>
      </x:c>
      <x:c r="O860" s="0" t="s">
        <x:v>1441</x:v>
      </x:c>
      <x:c r="S860" s="0">
        <x:v>390</x:v>
      </x:c>
      <x:c r="T860" s="0">
        <x:v>0</x:v>
      </x:c>
      <x:c r="V860" s="0">
        <x:v>0</x:v>
      </x:c>
      <x:c r="W860" s="21">
        <x:v>0</x:v>
      </x:c>
      <x:c r="X860" s="0">
        <x:v>11254</x:v>
      </x:c>
      <x:c r="Y860" s="21">
        <x:v>0</x:v>
      </x:c>
    </x:row>
    <x:row r="861" spans="1:37" x14ac:dyDescent="0.25">
      <x:c r="A861" s="0">
        <x:f>ROW(A861)-1</x:f>
      </x:c>
      <x:c r="E861" s="0" t="s">
        <x:v>1892</x:v>
      </x:c>
      <x:c r="F861" s="0" t="s">
        <x:v>1922</x:v>
      </x:c>
      <x:c r="G861" s="0" t="s">
        <x:v>1320</x:v>
      </x:c>
      <x:c r="H861" s="0" t="s">
        <x:v>1923</x:v>
      </x:c>
      <x:c r="I861" s="0" t="s">
        <x:v>276</x:v>
      </x:c>
      <x:c r="J861" s="0" t="s">
        <x:v>1894</x:v>
      </x:c>
      <x:c r="K861" s="0" t="s">
        <x:v>1924</x:v>
      </x:c>
      <x:c r="M861" s="0">
        <x:v>0</x:v>
      </x:c>
      <x:c r="N861" s="0">
        <x:v>0</x:v>
      </x:c>
      <x:c r="O861" s="0" t="s">
        <x:v>1441</x:v>
      </x:c>
      <x:c r="S861" s="0">
        <x:v>498</x:v>
      </x:c>
      <x:c r="T861" s="0">
        <x:v>0</x:v>
      </x:c>
      <x:c r="V861" s="0">
        <x:v>0</x:v>
      </x:c>
      <x:c r="W861" s="21">
        <x:v>0</x:v>
      </x:c>
      <x:c r="X861" s="0">
        <x:v>13831</x:v>
      </x:c>
      <x:c r="Y861" s="21">
        <x:v>0</x:v>
      </x:c>
    </x:row>
    <x:row r="862" spans="1:37" x14ac:dyDescent="0.25">
      <x:c r="A862" s="0">
        <x:f>ROW(A862)-1</x:f>
      </x:c>
      <x:c r="E862" s="0" t="s">
        <x:v>1573</x:v>
      </x:c>
      <x:c r="F862" s="0" t="s">
        <x:v>606</x:v>
      </x:c>
      <x:c r="G862" s="0" t="s">
        <x:v>1320</x:v>
      </x:c>
      <x:c r="H862" s="0" t="s">
        <x:v>1574</x:v>
      </x:c>
      <x:c r="I862" s="0" t="s">
        <x:v>544</x:v>
      </x:c>
      <x:c r="J862" s="0" t="s">
        <x:v>544</x:v>
      </x:c>
      <x:c r="K862" s="0" t="s">
        <x:v>1575</x:v>
      </x:c>
      <x:c r="M862" s="0">
        <x:v>0</x:v>
      </x:c>
      <x:c r="N862" s="0">
        <x:v>0</x:v>
      </x:c>
      <x:c r="O862" s="0" t="s">
        <x:v>1533</x:v>
      </x:c>
      <x:c r="S862" s="0">
        <x:v>143</x:v>
      </x:c>
      <x:c r="T862" s="0">
        <x:v>0</x:v>
      </x:c>
      <x:c r="V862" s="0">
        <x:v>0</x:v>
      </x:c>
      <x:c r="W862" s="21">
        <x:v>0</x:v>
      </x:c>
      <x:c r="X862" s="0">
        <x:v>8371</x:v>
      </x:c>
      <x:c r="Y862" s="21">
        <x:v>1942.48</x:v>
      </x:c>
    </x:row>
    <x:row r="863" spans="1:37" x14ac:dyDescent="0.25">
      <x:c r="A863" s="0">
        <x:f>ROW(A863)-1</x:f>
      </x:c>
      <x:c r="F863" s="0" t="s">
        <x:v>1576</x:v>
      </x:c>
      <x:c r="G863" s="0" t="s">
        <x:v>1320</x:v>
      </x:c>
      <x:c r="H863" s="0" t="s">
        <x:v>1577</x:v>
      </x:c>
      <x:c r="I863" s="0" t="s">
        <x:v>905</x:v>
      </x:c>
      <x:c r="J863" s="0" t="s">
        <x:v>1578</x:v>
      </x:c>
      <x:c r="K863" s="0" t="s">
        <x:v>1579</x:v>
      </x:c>
      <x:c r="M863" s="0">
        <x:v>0</x:v>
      </x:c>
      <x:c r="N863" s="0">
        <x:v>0</x:v>
      </x:c>
      <x:c r="S863" s="0">
        <x:v>1132</x:v>
      </x:c>
      <x:c r="T863" s="0">
        <x:v>0</x:v>
      </x:c>
      <x:c r="V863" s="0">
        <x:v>0</x:v>
      </x:c>
      <x:c r="W863" s="21">
        <x:v>0</x:v>
      </x:c>
      <x:c r="X863" s="0">
        <x:v>34866</x:v>
      </x:c>
      <x:c r="Y863" s="21">
        <x:v>4000</x:v>
      </x:c>
    </x:row>
    <x:row r="864" spans="1:37" x14ac:dyDescent="0.25">
      <x:c r="A864" s="0">
        <x:f>ROW(A864)-1</x:f>
      </x:c>
      <x:c r="E864" s="0" t="s">
        <x:v>198</x:v>
      </x:c>
      <x:c r="F864" s="0" t="s">
        <x:v>1359</x:v>
      </x:c>
      <x:c r="G864" s="0" t="s">
        <x:v>1320</x:v>
      </x:c>
      <x:c r="H864" s="0" t="s">
        <x:v>1360</x:v>
      </x:c>
      <x:c r="I864" s="0" t="s">
        <x:v>1361</x:v>
      </x:c>
      <x:c r="J864" s="0" t="s">
        <x:v>755</x:v>
      </x:c>
      <x:c r="K864" s="0" t="s">
        <x:v>1362</x:v>
      </x:c>
      <x:c r="M864" s="0">
        <x:v>0</x:v>
      </x:c>
      <x:c r="N864" s="0">
        <x:v>0</x:v>
      </x:c>
      <x:c r="O864" s="0" t="s">
        <x:v>1482</x:v>
      </x:c>
      <x:c r="S864" s="0">
        <x:v>0</x:v>
      </x:c>
      <x:c r="T864" s="0">
        <x:v>0</x:v>
      </x:c>
      <x:c r="V864" s="0">
        <x:v>0</x:v>
      </x:c>
      <x:c r="W864" s="21">
        <x:v>0</x:v>
      </x:c>
      <x:c r="X864" s="0">
        <x:v>0</x:v>
      </x:c>
      <x:c r="Y864" s="21">
        <x:v>0</x:v>
      </x:c>
    </x:row>
    <x:row r="865" spans="1:37" x14ac:dyDescent="0.25">
      <x:c r="A865" s="0">
        <x:f>ROW(A865)-1</x:f>
      </x:c>
      <x:c r="G865" s="0" t="s">
        <x:v>1320</x:v>
      </x:c>
      <x:c r="M865" s="0">
        <x:v>0</x:v>
      </x:c>
      <x:c r="N865" s="0">
        <x:v>0</x:v>
      </x:c>
      <x:c r="S865" s="0">
        <x:v>0</x:v>
      </x:c>
      <x:c r="T865" s="0">
        <x:v>0</x:v>
      </x:c>
      <x:c r="V865" s="0">
        <x:v>0</x:v>
      </x:c>
      <x:c r="W865" s="21">
        <x:v>0</x:v>
      </x:c>
      <x:c r="X865" s="0">
        <x:v>0</x:v>
      </x:c>
      <x:c r="Y865" s="21">
        <x:v>0</x:v>
      </x:c>
    </x:row>
    <x:row r="866" spans="1:37" x14ac:dyDescent="0.25">
      <x:c r="A866" s="0">
        <x:f>ROW(A866)-1</x:f>
      </x:c>
      <x:c r="G866" s="0" t="s">
        <x:v>1320</x:v>
      </x:c>
      <x:c r="M866" s="0">
        <x:v>0</x:v>
      </x:c>
      <x:c r="N866" s="0">
        <x:v>0</x:v>
      </x:c>
      <x:c r="S866" s="0">
        <x:v>0</x:v>
      </x:c>
      <x:c r="T866" s="0">
        <x:v>0</x:v>
      </x:c>
      <x:c r="V866" s="0">
        <x:v>0</x:v>
      </x:c>
      <x:c r="W866" s="21">
        <x:v>0</x:v>
      </x:c>
      <x:c r="X866" s="0">
        <x:v>0</x:v>
      </x:c>
      <x:c r="Y866" s="21">
        <x:v>0</x:v>
      </x:c>
    </x:row>
    <x:row r="867" spans="1:37" x14ac:dyDescent="0.25">
      <x:c r="A867" s="0">
        <x:f>ROW(A867)-1</x:f>
      </x:c>
      <x:c r="G867" s="0" t="s">
        <x:v>1320</x:v>
      </x:c>
      <x:c r="M867" s="0">
        <x:v>0</x:v>
      </x:c>
      <x:c r="N867" s="0">
        <x:v>0</x:v>
      </x:c>
      <x:c r="S867" s="0">
        <x:v>0</x:v>
      </x:c>
      <x:c r="T867" s="0">
        <x:v>0</x:v>
      </x:c>
      <x:c r="V867" s="0">
        <x:v>0</x:v>
      </x:c>
      <x:c r="W867" s="21">
        <x:v>0</x:v>
      </x:c>
      <x:c r="X867" s="0">
        <x:v>0</x:v>
      </x:c>
      <x:c r="Y867" s="21">
        <x:v>0</x:v>
      </x:c>
    </x:row>
    <x:row r="868" spans="1:37" x14ac:dyDescent="0.25">
      <x:c r="A868" s="0" t="s">
        <x:v>2001</x:v>
      </x:c>
      <x:c r="C868" s="0" t="s">
        <x:v>1925</x:v>
      </x:c>
      <x:c r="D868" s="0" t="s">
        <x:v>1926</x:v>
      </x:c>
      <x:c r="E868" s="0" t="s">
        <x:v>1926</x:v>
      </x:c>
      <x:c r="F868" s="0" t="s">
        <x:v>1926</x:v>
      </x:c>
      <x:c r="W868" s="21"/>
      <x:c r="Y868" s="21"/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tableParts count="1">
    <x:tablePart r:id="rId2"/>
  </x:tableParts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110FE1A-1FA7-4743-87BB-9F9791F4FAA3}" mc:Ignorable="x14ac xr xr2 xr3">
  <x:sheetPr codeName="Tabelle6">
    <x:outlinePr summaryBelow="1" summaryRight="1"/>
  </x:sheetPr>
  <x:dimension ref="A1:H3"/>
  <x:sheetViews>
    <x:sheetView workbookViewId="0"/>
  </x:sheetViews>
  <x:sheetFormatPr baseColWidth="10" defaultColWidth="11.090625" defaultRowHeight="15" x14ac:dyDescent="0.25"/>
  <x:cols>
    <x:col min="1" max="1" width="6" style="0" customWidth="1"/>
    <x:col min="2" max="2" width="5.570312" style="0" customWidth="1"/>
    <x:col min="3" max="3" width="14.570312" style="0" customWidth="1"/>
    <x:col min="4" max="4" width="26" style="0" customWidth="1"/>
    <x:col min="5" max="5" width="17.855469" style="0" customWidth="1"/>
    <x:col min="6" max="6" width="30" style="0" bestFit="1" customWidth="1"/>
    <x:col min="7" max="7" width="15.425781" style="0" customWidth="1"/>
    <x:col min="8" max="8" width="12.710938" style="0" customWidth="1"/>
  </x:cols>
  <x:sheetData>
    <x:row r="1" spans="1:8" x14ac:dyDescent="0.25">
      <x:c r="A1" s="37" t="s">
        <x:v>1927</x:v>
      </x:c>
      <x:c r="B1" s="37" t="s">
        <x:v>1928</x:v>
      </x:c>
      <x:c r="C1" s="37" t="s">
        <x:v>1929</x:v>
      </x:c>
      <x:c r="D1" s="37" t="s">
        <x:v>1930</x:v>
      </x:c>
      <x:c r="E1" s="37" t="s">
        <x:v>1931</x:v>
      </x:c>
      <x:c r="F1" s="37" t="s">
        <x:v>1932</x:v>
      </x:c>
      <x:c r="G1" s="37" t="s">
        <x:v>1933</x:v>
      </x:c>
      <x:c r="H1" s="37" t="s">
        <x:v>1934</x:v>
      </x:c>
    </x:row>
    <x:row r="2" spans="1:8" x14ac:dyDescent="0.25">
      <x:c r="A2" s="0">
        <x:f>ROW(A2)-1</x:f>
      </x:c>
      <x:c r="C2" s="0" t="s">
        <x:v>1926</x:v>
      </x:c>
    </x:row>
    <x:row r="3" spans="1:8" x14ac:dyDescent="0.25">
      <x:c r="A3" s="0">
        <x:f>ROW(A3)-1</x:f>
      </x:c>
      <x:c r="C3" s="0" t="s">
        <x:v>1926</x:v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666DB1A-7025-4C3C-A74B-20A2136545D7}" mc:Ignorable="x14ac xr xr2 xr3">
  <x:sheetPr codeName="Tabelle7">
    <x:outlinePr summaryBelow="1" summaryRight="1"/>
  </x:sheetPr>
  <x:dimension ref="A1:S19"/>
  <x:sheetViews>
    <x:sheetView workbookViewId="0"/>
  </x:sheetViews>
  <x:sheetFormatPr baseColWidth="10" defaultColWidth="11.090625" defaultRowHeight="15" x14ac:dyDescent="0.25"/>
  <x:cols>
    <x:col min="1" max="1" width="11.090625" style="0" customWidth="1"/>
    <x:col min="2" max="2" width="7.710938" style="0" customWidth="1"/>
    <x:col min="3" max="3" width="19" style="0" bestFit="1" customWidth="1"/>
    <x:col min="4" max="4" width="21.710938" style="0" bestFit="1" customWidth="1"/>
    <x:col min="5" max="5" width="29.710938" style="0" bestFit="1" customWidth="1"/>
    <x:col min="6" max="6" width="41.425781" style="0" bestFit="1" customWidth="1"/>
    <x:col min="7" max="7" width="22.285156" style="0" bestFit="1" customWidth="1"/>
    <x:col min="8" max="8" width="14.285156" style="0" customWidth="1"/>
    <x:col min="9" max="9" width="5.710938" style="0" customWidth="1"/>
    <x:col min="10" max="10" width="13.285156" style="0" bestFit="1" customWidth="1"/>
    <x:col min="11" max="11" width="31.710938" style="0" bestFit="1" customWidth="1"/>
    <x:col min="12" max="12" width="18.710938" style="0" bestFit="1" customWidth="1"/>
    <x:col min="13" max="13" width="23.285156" style="0" bestFit="1" customWidth="1"/>
    <x:col min="14" max="14" width="29.855469" style="0" customWidth="1"/>
  </x:cols>
  <x:sheetData>
    <x:row r="1" spans="1:19" x14ac:dyDescent="0.25">
      <x:c r="A1" s="37" t="s">
        <x:v>1935</x:v>
      </x:c>
      <x:c r="B1" s="37" t="s">
        <x:v>1936</x:v>
      </x:c>
      <x:c r="C1" s="37" t="s">
        <x:v>1937</x:v>
      </x:c>
      <x:c r="D1" s="37" t="s">
        <x:v>1938</x:v>
      </x:c>
      <x:c r="E1" s="37" t="s">
        <x:v>1939</x:v>
      </x:c>
      <x:c r="F1" s="37" t="s">
        <x:v>1940</x:v>
      </x:c>
      <x:c r="G1" s="37" t="s">
        <x:v>1941</x:v>
      </x:c>
      <x:c r="H1" s="37" t="s">
        <x:v>1942</x:v>
      </x:c>
      <x:c r="I1" s="37" t="s">
        <x:v>1943</x:v>
      </x:c>
      <x:c r="J1" s="37" t="s">
        <x:v>1944</x:v>
      </x:c>
      <x:c r="K1" s="37" t="s">
        <x:v>1945</x:v>
      </x:c>
      <x:c r="L1" s="37" t="s">
        <x:v>1946</x:v>
      </x:c>
      <x:c r="M1" s="37" t="s">
        <x:v>1947</x:v>
      </x:c>
      <x:c r="N1" s="37" t="s">
        <x:v>1948</x:v>
      </x:c>
      <x:c r="O1" s="37" t="s">
        <x:v>1949</x:v>
      </x:c>
    </x:row>
    <x:row r="2" spans="1:19" ht="30" customHeight="1" x14ac:dyDescent="0.25">
      <x:c r="A2" s="0">
        <x:f>ROW(A2)-1</x:f>
      </x:c>
      <x:c r="B2" s="0" t="s">
        <x:v>1950</x:v>
      </x:c>
      <x:c r="C2" s="0" t="s">
        <x:v>1951</x:v>
      </x:c>
      <x:c r="D2" s="0" t="s">
        <x:v>1952</x:v>
      </x:c>
      <x:c r="E2" s="0" t="s">
        <x:v>1953</x:v>
      </x:c>
      <x:c r="F2" s="0">
        <x:v>6644530783</x:v>
      </x:c>
      <x:c r="G2" s="14" t="s">
        <x:v>1954</x:v>
      </x:c>
      <x:c r="H2" s="0" t="s">
        <x:v>1955</x:v>
      </x:c>
      <x:c r="I2" s="1" t="s">
        <x:v>1134</x:v>
      </x:c>
      <x:c r="J2" s="0" t="s">
        <x:v>1952</x:v>
      </x:c>
      <x:c r="L2" s="0" t="s">
        <x:v>1956</x:v>
      </x:c>
      <x:c r="M2" s="0" t="s">
        <x:v>329</x:v>
      </x:c>
      <x:c r="N2" s="0" t="s">
        <x:v>1957</x:v>
      </x:c>
    </x:row>
    <x:row r="3" spans="1:19" ht="45" customHeight="1" x14ac:dyDescent="0.25">
      <x:c r="A3" s="0">
        <x:f>ROW(A3)-1</x:f>
      </x:c>
      <x:c r="B3" s="0" t="s">
        <x:v>1958</x:v>
      </x:c>
      <x:c r="C3" s="0" t="s">
        <x:v>1951</x:v>
      </x:c>
      <x:c r="D3" s="0" t="s">
        <x:v>1959</x:v>
      </x:c>
      <x:c r="E3" s="0" t="s">
        <x:v>1960</x:v>
      </x:c>
      <x:c r="F3" s="0" t="s">
        <x:v>1961</x:v>
      </x:c>
      <x:c r="G3" s="14" t="s">
        <x:v>1962</x:v>
      </x:c>
      <x:c r="H3" s="0" t="s">
        <x:v>1955</x:v>
      </x:c>
      <x:c r="I3" s="1" t="s">
        <x:v>1187</x:v>
      </x:c>
      <x:c r="J3" s="0" t="s">
        <x:v>1952</x:v>
      </x:c>
      <x:c r="L3" s="0" t="s">
        <x:v>1963</x:v>
      </x:c>
      <x:c r="M3" s="0" t="s">
        <x:v>1964</x:v>
      </x:c>
      <x:c r="N3" s="0" t="s">
        <x:v>1957</x:v>
      </x:c>
    </x:row>
    <x:row r="4" spans="1:19" x14ac:dyDescent="0.25">
      <x:c r="A4" s="0">
        <x:f>ROW(A4)-1</x:f>
      </x:c>
      <x:c r="B4" s="0" t="s">
        <x:v>1965</x:v>
      </x:c>
      <x:c r="C4" s="0" t="s">
        <x:v>1951</x:v>
      </x:c>
      <x:c r="D4" s="14" t="s">
        <x:v>1966</x:v>
      </x:c>
      <x:c r="G4" s="14" t="s">
        <x:v>1967</x:v>
      </x:c>
      <x:c r="I4" s="1"/>
    </x:row>
    <x:row r="9" spans="1:19" x14ac:dyDescent="0.25"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  <x:c r="Q9" s="2"/>
      <x:c r="R9" s="2"/>
      <x:c r="S9" s="2"/>
    </x:row>
    <x:row r="10" spans="1:19" x14ac:dyDescent="0.25">
      <x:c r="F10" s="3"/>
      <x:c r="G10" s="3"/>
      <x:c r="H10" s="3"/>
      <x:c r="I10" s="3"/>
      <x:c r="J10" s="3"/>
      <x:c r="K10" s="4"/>
      <x:c r="L10" s="3"/>
      <x:c r="M10" s="3"/>
      <x:c r="N10" s="3"/>
      <x:c r="O10" s="3"/>
      <x:c r="P10" s="3"/>
      <x:c r="Q10" s="3"/>
      <x:c r="R10" s="3"/>
      <x:c r="S10" s="3"/>
    </x:row>
    <x:row r="11" spans="1:19" x14ac:dyDescent="0.25">
      <x:c r="F11" s="3"/>
      <x:c r="G11" s="3"/>
      <x:c r="H11" s="3"/>
      <x:c r="I11" s="3"/>
      <x:c r="J11" s="3"/>
      <x:c r="K11" s="4"/>
      <x:c r="L11" s="3"/>
      <x:c r="M11" s="3"/>
      <x:c r="N11" s="3"/>
      <x:c r="O11" s="3"/>
      <x:c r="P11" s="3"/>
      <x:c r="Q11" s="3"/>
      <x:c r="R11" s="3"/>
      <x:c r="S11" s="3"/>
    </x:row>
    <x:row r="12" spans="1:19" x14ac:dyDescent="0.25">
      <x:c r="F12" s="3"/>
      <x:c r="G12" s="3"/>
      <x:c r="H12" s="3"/>
      <x:c r="I12" s="3"/>
      <x:c r="J12" s="3"/>
      <x:c r="K12" s="4"/>
      <x:c r="L12" s="3"/>
      <x:c r="M12" s="3"/>
      <x:c r="N12" s="3"/>
      <x:c r="O12" s="3"/>
      <x:c r="P12" s="3"/>
      <x:c r="Q12" s="3"/>
      <x:c r="R12" s="3"/>
      <x:c r="S12" s="3"/>
    </x:row>
    <x:row r="13" spans="1:19" x14ac:dyDescent="0.25">
      <x:c r="F13" s="3"/>
      <x:c r="G13" s="3"/>
      <x:c r="H13" s="3"/>
      <x:c r="I13" s="3"/>
      <x:c r="J13" s="3"/>
      <x:c r="K13" s="4"/>
      <x:c r="L13" s="3"/>
      <x:c r="M13" s="3"/>
      <x:c r="N13" s="3"/>
      <x:c r="O13" s="3"/>
      <x:c r="P13" s="3"/>
      <x:c r="Q13" s="3"/>
      <x:c r="R13" s="3"/>
      <x:c r="S13" s="3"/>
    </x:row>
    <x:row r="14" spans="1:19" x14ac:dyDescent="0.25">
      <x:c r="F14" s="3"/>
      <x:c r="G14" s="3"/>
      <x:c r="H14" s="3"/>
      <x:c r="I14" s="3"/>
      <x:c r="J14" s="3"/>
      <x:c r="K14" s="4"/>
      <x:c r="L14" s="3"/>
      <x:c r="M14" s="3"/>
      <x:c r="N14" s="3"/>
      <x:c r="O14" s="3"/>
      <x:c r="P14" s="3"/>
      <x:c r="Q14" s="3"/>
      <x:c r="R14" s="3"/>
      <x:c r="S14" s="3"/>
    </x:row>
    <x:row r="15" spans="1:19" x14ac:dyDescent="0.25">
      <x:c r="F15" s="3"/>
      <x:c r="G15" s="3"/>
      <x:c r="H15" s="3"/>
      <x:c r="I15" s="3"/>
      <x:c r="J15" s="3"/>
      <x:c r="K15" s="4"/>
      <x:c r="L15" s="3"/>
      <x:c r="M15" s="3"/>
      <x:c r="N15" s="3"/>
      <x:c r="O15" s="3"/>
      <x:c r="P15" s="3"/>
      <x:c r="Q15" s="3"/>
      <x:c r="R15" s="3"/>
      <x:c r="S15" s="3"/>
    </x:row>
    <x:row r="16" spans="1:19" x14ac:dyDescent="0.25">
      <x:c r="F16" s="3"/>
      <x:c r="G16" s="3"/>
      <x:c r="H16" s="3"/>
      <x:c r="I16" s="3"/>
      <x:c r="J16" s="3"/>
      <x:c r="K16" s="4"/>
      <x:c r="L16" s="3"/>
      <x:c r="M16" s="3"/>
      <x:c r="N16" s="3"/>
      <x:c r="O16" s="3"/>
      <x:c r="P16" s="3"/>
      <x:c r="Q16" s="3"/>
      <x:c r="R16" s="3"/>
      <x:c r="S16" s="3"/>
    </x:row>
    <x:row r="17" spans="1:19" x14ac:dyDescent="0.25">
      <x:c r="F17" s="3"/>
      <x:c r="G17" s="3"/>
      <x:c r="H17" s="3"/>
      <x:c r="I17" s="3"/>
      <x:c r="J17" s="3"/>
      <x:c r="K17" s="4"/>
      <x:c r="L17" s="3"/>
      <x:c r="M17" s="3"/>
      <x:c r="N17" s="3"/>
      <x:c r="O17" s="3"/>
      <x:c r="P17" s="3"/>
      <x:c r="Q17" s="3"/>
      <x:c r="R17" s="3"/>
      <x:c r="S17" s="3"/>
    </x:row>
    <x:row r="18" spans="1:19" x14ac:dyDescent="0.25">
      <x:c r="F18" s="3"/>
      <x:c r="G18" s="3"/>
      <x:c r="H18" s="3"/>
      <x:c r="I18" s="3"/>
      <x:c r="J18" s="3"/>
      <x:c r="K18" s="4"/>
      <x:c r="L18" s="3"/>
      <x:c r="M18" s="3"/>
      <x:c r="N18" s="3"/>
      <x:c r="O18" s="3"/>
      <x:c r="P18" s="3"/>
      <x:c r="Q18" s="3"/>
      <x:c r="R18" s="3"/>
      <x:c r="S18" s="3"/>
    </x:row>
    <x:row r="19" spans="1:19" x14ac:dyDescent="0.25">
      <x:c r="F19" s="3"/>
      <x:c r="G19" s="3"/>
      <x:c r="H19" s="3"/>
      <x:c r="I19" s="3"/>
      <x:c r="J19" s="3"/>
      <x:c r="K19" s="4"/>
      <x:c r="L19" s="3"/>
      <x:c r="M19" s="3"/>
      <x:c r="N19" s="3"/>
      <x:c r="O19" s="3"/>
      <x:c r="P19" s="3"/>
      <x:c r="Q19" s="3"/>
      <x:c r="R19" s="3"/>
      <x:c r="S19" s="3"/>
    </x:row>
  </x:sheetData>
  <x:hyperlinks>
    <x:hyperlink ref="G2" r:id="rId19"/>
    <x:hyperlink ref="G3" r:id="rId20"/>
    <x:hyperlink ref="D4" r:id="rId21"/>
    <x:hyperlink ref="G4" r:id="rId22"/>
  </x:hyperlink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5"/>
  <x:headerFooter/>
  <x:tableParts count="1">
    <x:tablePart r:id="rId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8CB8FAB-E257-4AEF-BB18-2B21D93BF236}" mc:Ignorable="x14ac xr xr2 xr3">
  <x:sheetPr codeName="Tabelle8">
    <x:outlinePr summaryBelow="1" summaryRight="1"/>
  </x:sheetPr>
  <x:dimension ref="A1:E2"/>
  <x:sheetViews>
    <x:sheetView workbookViewId="0"/>
  </x:sheetViews>
  <x:sheetFormatPr baseColWidth="10" defaultColWidth="11.090625" defaultRowHeight="15" x14ac:dyDescent="0.25"/>
  <x:sheetData>
    <x:row r="1" spans="1:5" x14ac:dyDescent="0.25">
      <x:c r="A1" s="37" t="s">
        <x:v>1968</x:v>
      </x:c>
      <x:c r="B1" s="37" t="s">
        <x:v>1928</x:v>
      </x:c>
      <x:c r="C1" s="37" t="s">
        <x:v>1935</x:v>
      </x:c>
      <x:c r="D1" s="37" t="s">
        <x:v>1969</x:v>
      </x:c>
      <x:c r="E1" s="37" t="s">
        <x:v>1970</x:v>
      </x:c>
    </x:row>
    <x:row r="2" spans="1:5" x14ac:dyDescent="0.25">
      <x:c r="A2" s="0">
        <x:f>ROW(A2)-1</x:f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34BCB51-F2C9-41A1-B0FE-4F08F8242256}" mc:Ignorable="x14ac xr xr2 xr3">
  <x:sheetPr codeName="Tabelle9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11073A9-CF8B-4A0C-BFAC-7F20D7D0F4BA}" mc:Ignorable="x14ac xr xr2 xr3">
  <x:sheetPr codeName="Tabelle5">
    <x:outlinePr summaryBelow="1" summaryRight="1"/>
  </x:sheetPr>
  <x:dimension ref="A1:K4"/>
  <x:sheetViews>
    <x:sheetView workbookViewId="0">
      <x:selection activeCell="G7" sqref="G7"/>
    </x:sheetView>
  </x:sheetViews>
  <x:sheetFormatPr baseColWidth="10" defaultColWidth="11.090625" defaultRowHeight="15" x14ac:dyDescent="0.25"/>
  <x:cols>
    <x:col min="1" max="1" width="18.710938" style="13" bestFit="1" customWidth="1"/>
    <x:col min="2" max="2" width="20.710938" style="13" bestFit="1" customWidth="1"/>
    <x:col min="3" max="3" width="16.285156" style="0" bestFit="1" customWidth="1"/>
    <x:col min="4" max="4" width="14.140625" style="0" bestFit="1" customWidth="1"/>
    <x:col min="5" max="5" width="12.285156" style="0" bestFit="1" customWidth="1"/>
    <x:col min="6" max="6" width="8.855469" style="0" bestFit="1" customWidth="1"/>
    <x:col min="7" max="7" width="13.140625" style="0" bestFit="1" customWidth="1"/>
    <x:col min="8" max="8" width="18.285156" style="0" bestFit="1" customWidth="1"/>
    <x:col min="9" max="9" width="12.425781" style="0" bestFit="1" customWidth="1"/>
    <x:col min="10" max="10" width="19" style="0" bestFit="1" customWidth="1"/>
    <x:col min="11" max="11" width="15.140625" style="0" bestFit="1" customWidth="1"/>
  </x:cols>
  <x:sheetData>
    <x:row r="1" spans="1:11" x14ac:dyDescent="0.25">
      <x:c r="A1" s="36" t="s">
        <x:v>1971</x:v>
      </x:c>
      <x:c r="B1" s="36" t="s">
        <x:v>1972</x:v>
      </x:c>
      <x:c r="C1" s="37" t="s">
        <x:v>1973</x:v>
      </x:c>
      <x:c r="D1" s="37" t="s">
        <x:v>1974</x:v>
      </x:c>
      <x:c r="E1" s="37" t="s">
        <x:v>1975</x:v>
      </x:c>
      <x:c r="F1" s="37" t="s">
        <x:v>1976</x:v>
      </x:c>
      <x:c r="G1" s="37" t="s">
        <x:v>1977</x:v>
      </x:c>
      <x:c r="H1" s="37" t="s">
        <x:v>1978</x:v>
      </x:c>
      <x:c r="I1" s="37" t="s">
        <x:v>1979</x:v>
      </x:c>
      <x:c r="J1" s="37" t="s">
        <x:v>1980</x:v>
      </x:c>
      <x:c r="K1" s="37" t="s">
        <x:v>1981</x:v>
      </x:c>
    </x:row>
    <x:row r="2" spans="1:11" x14ac:dyDescent="0.25">
      <x:c r="A2" s="13" t="s">
        <x:v>1982</x:v>
      </x:c>
      <x:c r="B2" s="13" t="s">
        <x:v>1983</x:v>
      </x:c>
      <x:c r="C2" s="0" t="s">
        <x:v>1984</x:v>
      </x:c>
      <x:c r="D2" s="0" t="s">
        <x:v>1985</x:v>
      </x:c>
      <x:c r="E2" s="0" t="s">
        <x:v>1986</x:v>
      </x:c>
      <x:c r="F2" s="0" t="s">
        <x:v>1987</x:v>
      </x:c>
      <x:c r="G2" s="0" t="s">
        <x:v>1988</x:v>
      </x:c>
      <x:c r="H2" s="0">
        <x:v>15</x:v>
      </x:c>
      <x:c r="I2" s="0" t="s">
        <x:v>1989</x:v>
      </x:c>
      <x:c r="J2" s="0" t="s">
        <x:v>1990</x:v>
      </x:c>
      <x:c r="K2" s="0" t="s">
        <x:v>1991</x:v>
      </x:c>
    </x:row>
    <x:row r="3" spans="1:11" x14ac:dyDescent="0.25">
      <x:c r="A3" s="13" t="s">
        <x:v>1992</x:v>
      </x:c>
      <x:c r="B3" s="13" t="s">
        <x:v>1983</x:v>
      </x:c>
      <x:c r="C3" s="0" t="s">
        <x:v>1993</x:v>
      </x:c>
      <x:c r="D3" s="0" t="s">
        <x:v>1994</x:v>
      </x:c>
      <x:c r="E3" s="0" t="s">
        <x:v>1986</x:v>
      </x:c>
      <x:c r="F3" s="0" t="s">
        <x:v>1987</x:v>
      </x:c>
      <x:c r="G3" s="0" t="s">
        <x:v>1995</x:v>
      </x:c>
      <x:c r="H3" s="0">
        <x:v>15</x:v>
      </x:c>
      <x:c r="I3" s="0" t="s">
        <x:v>1989</x:v>
      </x:c>
      <x:c r="J3" s="0" t="s">
        <x:v>1996</x:v>
      </x:c>
    </x:row>
    <x:row r="4" spans="1:11" x14ac:dyDescent="0.25">
      <x:c r="A4" s="13" t="s">
        <x:v>1997</x:v>
      </x:c>
      <x:c r="B4" s="13" t="s">
        <x:v>1998</x:v>
      </x:c>
      <x:c r="C4" s="0" t="s">
        <x:v>1999</x:v>
      </x:c>
      <x:c r="D4" s="0" t="s">
        <x:v>1985</x:v>
      </x:c>
      <x:c r="E4" s="0" t="s">
        <x:v>1986</x:v>
      </x:c>
      <x:c r="F4" s="0" t="s">
        <x:v>1987</x:v>
      </x:c>
      <x:c r="G4" s="0" t="s">
        <x:v>1988</x:v>
      </x:c>
      <x:c r="H4" s="0">
        <x:v>15</x:v>
      </x:c>
      <x:c r="I4" s="0" t="s">
        <x:v>1989</x:v>
      </x:c>
      <x:c r="J4" s="0" t="s">
        <x:v>2000</x:v>
      </x:c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4004B8-224C-4740-A7E0-3FCCB3F295DB}" mc:Ignorable="x14ac xr xr2 xr3">
  <x:sheetPr codeName="Tabelle10">
    <x:outlinePr summaryBelow="1" summaryRight="1"/>
  </x:sheetPr>
  <x:dimension ref="A1"/>
  <x:sheetViews>
    <x:sheetView workbookViewId="0">
      <x:selection activeCell="K44" sqref="K44"/>
    </x:sheetView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5E3E9DF-2C7A-4073-AF5D-26015E7B59F3}" mc:Ignorable="x14ac xr xr2 xr3">
  <x:sheetPr codeName="Tabelle11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ap:HeadingPairs>
  <ap:TitlesOfParts>
    <vt:vector baseType="lpstr" size="40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Eingabefeld!Print_Area</vt:lpstr>
      <vt:lpstr>Eingabefeld!Print_Titles</vt:lpstr>
      <vt:lpstr>Customers!Print_Area</vt:lpstr>
      <vt:lpstr>Customers!Print_Titles</vt:lpstr>
      <vt:lpstr>Buildings!Print_Area</vt:lpstr>
      <vt:lpstr>Buildings!Print_Titles</vt:lpstr>
      <vt:lpstr>Mobilität!Print_Area</vt:lpstr>
      <vt:lpstr>Mobilität!Print_Titles</vt:lpstr>
      <vt:lpstr>Energiegemeinschaft!Print_Area</vt:lpstr>
      <vt:lpstr>Energiegemeinschaft!Print_Titles</vt:lpstr>
      <vt:lpstr>EEGTeilnehmer!Print_Area</vt:lpstr>
      <vt:lpstr>EEGTeilnehmer!Print_Titles</vt:lpstr>
      <vt:lpstr>Anlage!Print_Area</vt:lpstr>
      <vt:lpstr>Anlage!Print_Titles</vt:lpstr>
      <vt:lpstr>Lastprofildaten!Print_Area</vt:lpstr>
      <vt:lpstr>Lastprofildaten!Print_Titles</vt:lpstr>
      <vt:lpstr>Nutzung!Print_Area</vt:lpstr>
      <vt:lpstr>Nutzung!Print_Titles</vt:lpstr>
      <vt:lpstr>Prozesse!Print_Area</vt:lpstr>
      <vt:lpstr>Prozesse!Print_Titles</vt:lpstr>
      <vt:lpstr>_xleta.N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Otmar Schlager</dc:creator>
  <lastModifiedBy>Simon Steinschaden</lastModifiedBy>
  <dcterms:created xsi:type="dcterms:W3CDTF">2026-02-11T07:58:00.0000000Z</dcterms:created>
  <dcterms:modified xsi:type="dcterms:W3CDTF">2026-06-08T21:05:52.0000000Z</dcterms:modified>
</coreProperties>
</file>