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rdpadmin\Desktop\Repositories\Data Lake House\Data-Lake-House-main\Data-Lake-House\Externe Daten\"/>
    </mc:Choice>
  </mc:AlternateContent>
  <xr:revisionPtr revIDLastSave="0" documentId="13_ncr:1_{AE0621F7-482B-4A05-8FC3-EB19246630C8}" xr6:coauthVersionLast="47" xr6:coauthVersionMax="47" xr10:uidLastSave="{00000000-0000-0000-0000-000000000000}"/>
  <bookViews>
    <workbookView xWindow="375" yWindow="1125" windowWidth="28800" windowHeight="15345" activeTab="2" xr2:uid="{EC2481EA-B095-425D-BA4C-2500CCE307D2}"/>
  </bookViews>
  <sheets>
    <sheet name="Eingabefeld" sheetId="16" r:id="rId1"/>
    <sheet name="Customers" sheetId="1" r:id="rId2"/>
    <sheet name="Buildings" sheetId="3" r:id="rId3"/>
    <sheet name="Mobilität" sheetId="4" r:id="rId4"/>
    <sheet name="Energiegemeinschaft" sheetId="2" r:id="rId5"/>
    <sheet name="EEGTeilnehmer" sheetId="13" r:id="rId6"/>
    <sheet name="Anlage" sheetId="7" r:id="rId7"/>
    <sheet name="Lastprofildaten" sheetId="11" r:id="rId8"/>
    <sheet name="Nutzung" sheetId="9" r:id="rId9"/>
    <sheet name="Prozesse" sheetId="12" r:id="rId10"/>
  </sheets>
  <definedNames>
    <definedName name="_xleta.N" hidden="1" xlm="1">#NAME?</definedName>
    <definedName name="Buildings">Tabelle2[#All]</definedName>
    <definedName name="Customers">Customer[#All]</definedName>
    <definedName name="DropDownFilterKriterien">Eingabefeld!$A$24:$A$25</definedName>
    <definedName name="EEGTeilnehmer">Tabelle5[#All]</definedName>
    <definedName name="Energiegemeinschaft">Tabelle4[#All]</definedName>
    <definedName name="KundenFilterKriterien">Eingabefeld!$A$28:$A$32</definedName>
    <definedName name="Mobilitaet">Tabelle3[#All]</definedName>
    <definedName name="ObjektFilterKriterien">Eingabefeld!$A$35:$A$40</definedName>
    <definedName name="Reiter">Eingabefeld!$A$10:$A$18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62" i="1" l="1"/>
  <c r="O362" i="1"/>
  <c r="P362" i="1"/>
  <c r="Q362" i="1"/>
  <c r="R362" i="1"/>
  <c r="S362" i="1"/>
  <c r="T362" i="1"/>
  <c r="W362" i="1"/>
  <c r="F5" i="16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2" i="1"/>
  <c r="W361" i="1"/>
  <c r="T361" i="1"/>
  <c r="S361" i="1"/>
  <c r="R361" i="1"/>
  <c r="Q361" i="1"/>
  <c r="P361" i="1"/>
  <c r="O361" i="1"/>
  <c r="N361" i="1"/>
  <c r="W360" i="1"/>
  <c r="T360" i="1"/>
  <c r="S360" i="1"/>
  <c r="R360" i="1"/>
  <c r="Q360" i="1"/>
  <c r="P360" i="1"/>
  <c r="O360" i="1"/>
  <c r="N360" i="1"/>
  <c r="W359" i="1"/>
  <c r="T359" i="1"/>
  <c r="S359" i="1"/>
  <c r="R359" i="1"/>
  <c r="Q359" i="1"/>
  <c r="P359" i="1"/>
  <c r="O359" i="1"/>
  <c r="N359" i="1"/>
  <c r="W358" i="1"/>
  <c r="T358" i="1"/>
  <c r="S358" i="1"/>
  <c r="R358" i="1"/>
  <c r="Q358" i="1"/>
  <c r="P358" i="1"/>
  <c r="O358" i="1"/>
  <c r="N358" i="1"/>
  <c r="W357" i="1"/>
  <c r="T357" i="1"/>
  <c r="S357" i="1"/>
  <c r="R357" i="1"/>
  <c r="Q357" i="1"/>
  <c r="P357" i="1"/>
  <c r="O357" i="1"/>
  <c r="N357" i="1"/>
  <c r="W356" i="1"/>
  <c r="T356" i="1"/>
  <c r="S356" i="1"/>
  <c r="R356" i="1"/>
  <c r="Q356" i="1"/>
  <c r="P356" i="1"/>
  <c r="O356" i="1"/>
  <c r="N356" i="1"/>
  <c r="W355" i="1"/>
  <c r="T355" i="1"/>
  <c r="S355" i="1"/>
  <c r="R355" i="1"/>
  <c r="Q355" i="1"/>
  <c r="P355" i="1"/>
  <c r="O355" i="1"/>
  <c r="N355" i="1"/>
  <c r="W354" i="1"/>
  <c r="T354" i="1"/>
  <c r="S354" i="1"/>
  <c r="R354" i="1"/>
  <c r="Q354" i="1"/>
  <c r="P354" i="1"/>
  <c r="O354" i="1"/>
  <c r="N354" i="1"/>
  <c r="W353" i="1"/>
  <c r="T353" i="1"/>
  <c r="S353" i="1"/>
  <c r="R353" i="1"/>
  <c r="Q353" i="1"/>
  <c r="P353" i="1"/>
  <c r="O353" i="1"/>
  <c r="N353" i="1"/>
  <c r="W352" i="1"/>
  <c r="T352" i="1"/>
  <c r="S352" i="1"/>
  <c r="R352" i="1"/>
  <c r="Q352" i="1"/>
  <c r="P352" i="1"/>
  <c r="O352" i="1"/>
  <c r="N352" i="1"/>
  <c r="W351" i="1"/>
  <c r="T351" i="1"/>
  <c r="S351" i="1"/>
  <c r="R351" i="1"/>
  <c r="Q351" i="1"/>
  <c r="P351" i="1"/>
  <c r="O351" i="1"/>
  <c r="N351" i="1"/>
  <c r="W350" i="1"/>
  <c r="T350" i="1"/>
  <c r="S350" i="1"/>
  <c r="R350" i="1"/>
  <c r="Q350" i="1"/>
  <c r="P350" i="1"/>
  <c r="O350" i="1"/>
  <c r="N350" i="1"/>
  <c r="W349" i="1"/>
  <c r="T349" i="1"/>
  <c r="S349" i="1"/>
  <c r="R349" i="1"/>
  <c r="Q349" i="1"/>
  <c r="P349" i="1"/>
  <c r="O349" i="1"/>
  <c r="N349" i="1"/>
  <c r="W348" i="1"/>
  <c r="T348" i="1"/>
  <c r="S348" i="1"/>
  <c r="R348" i="1"/>
  <c r="Q348" i="1"/>
  <c r="P348" i="1"/>
  <c r="O348" i="1"/>
  <c r="N348" i="1"/>
  <c r="W347" i="1"/>
  <c r="T347" i="1"/>
  <c r="S347" i="1"/>
  <c r="R347" i="1"/>
  <c r="Q347" i="1"/>
  <c r="P347" i="1"/>
  <c r="O347" i="1"/>
  <c r="N347" i="1"/>
  <c r="W346" i="1"/>
  <c r="T346" i="1"/>
  <c r="S346" i="1"/>
  <c r="R346" i="1"/>
  <c r="Q346" i="1"/>
  <c r="P346" i="1"/>
  <c r="O346" i="1"/>
  <c r="N346" i="1"/>
  <c r="W345" i="1"/>
  <c r="T345" i="1"/>
  <c r="S345" i="1"/>
  <c r="R345" i="1"/>
  <c r="Q345" i="1"/>
  <c r="P345" i="1"/>
  <c r="O345" i="1"/>
  <c r="N345" i="1"/>
  <c r="W344" i="1"/>
  <c r="T344" i="1"/>
  <c r="S344" i="1"/>
  <c r="R344" i="1"/>
  <c r="Q344" i="1"/>
  <c r="P344" i="1"/>
  <c r="O344" i="1"/>
  <c r="N344" i="1"/>
  <c r="W343" i="1"/>
  <c r="T343" i="1"/>
  <c r="S343" i="1"/>
  <c r="R343" i="1"/>
  <c r="Q343" i="1"/>
  <c r="P343" i="1"/>
  <c r="O343" i="1"/>
  <c r="N343" i="1"/>
  <c r="W342" i="1"/>
  <c r="T342" i="1"/>
  <c r="S342" i="1"/>
  <c r="R342" i="1"/>
  <c r="Q342" i="1"/>
  <c r="P342" i="1"/>
  <c r="O342" i="1"/>
  <c r="N342" i="1"/>
  <c r="W341" i="1"/>
  <c r="T341" i="1"/>
  <c r="S341" i="1"/>
  <c r="R341" i="1"/>
  <c r="Q341" i="1"/>
  <c r="P341" i="1"/>
  <c r="O341" i="1"/>
  <c r="N341" i="1"/>
  <c r="W340" i="1"/>
  <c r="T340" i="1"/>
  <c r="S340" i="1"/>
  <c r="R340" i="1"/>
  <c r="Q340" i="1"/>
  <c r="P340" i="1"/>
  <c r="O340" i="1"/>
  <c r="N340" i="1"/>
  <c r="W339" i="1"/>
  <c r="T339" i="1"/>
  <c r="S339" i="1"/>
  <c r="R339" i="1"/>
  <c r="Q339" i="1"/>
  <c r="P339" i="1"/>
  <c r="O339" i="1"/>
  <c r="N339" i="1"/>
  <c r="W338" i="1"/>
  <c r="T338" i="1"/>
  <c r="S338" i="1"/>
  <c r="R338" i="1"/>
  <c r="Q338" i="1"/>
  <c r="P338" i="1"/>
  <c r="O338" i="1"/>
  <c r="N338" i="1"/>
  <c r="W337" i="1"/>
  <c r="T337" i="1"/>
  <c r="S337" i="1"/>
  <c r="R337" i="1"/>
  <c r="Q337" i="1"/>
  <c r="P337" i="1"/>
  <c r="O337" i="1"/>
  <c r="N337" i="1"/>
  <c r="W336" i="1"/>
  <c r="T336" i="1"/>
  <c r="S336" i="1"/>
  <c r="R336" i="1"/>
  <c r="Q336" i="1"/>
  <c r="P336" i="1"/>
  <c r="O336" i="1"/>
  <c r="N336" i="1"/>
  <c r="W335" i="1"/>
  <c r="T335" i="1"/>
  <c r="S335" i="1"/>
  <c r="R335" i="1"/>
  <c r="Q335" i="1"/>
  <c r="P335" i="1"/>
  <c r="O335" i="1"/>
  <c r="N335" i="1"/>
  <c r="W334" i="1"/>
  <c r="T334" i="1"/>
  <c r="S334" i="1"/>
  <c r="R334" i="1"/>
  <c r="Q334" i="1"/>
  <c r="P334" i="1"/>
  <c r="O334" i="1"/>
  <c r="N334" i="1"/>
  <c r="W333" i="1"/>
  <c r="T333" i="1"/>
  <c r="S333" i="1"/>
  <c r="R333" i="1"/>
  <c r="Q333" i="1"/>
  <c r="P333" i="1"/>
  <c r="O333" i="1"/>
  <c r="N333" i="1"/>
  <c r="W332" i="1"/>
  <c r="T332" i="1"/>
  <c r="S332" i="1"/>
  <c r="R332" i="1"/>
  <c r="Q332" i="1"/>
  <c r="P332" i="1"/>
  <c r="O332" i="1"/>
  <c r="N332" i="1"/>
  <c r="W331" i="1"/>
  <c r="T331" i="1"/>
  <c r="S331" i="1"/>
  <c r="R331" i="1"/>
  <c r="Q331" i="1"/>
  <c r="P331" i="1"/>
  <c r="O331" i="1"/>
  <c r="N331" i="1"/>
  <c r="W330" i="1"/>
  <c r="T330" i="1"/>
  <c r="S330" i="1"/>
  <c r="R330" i="1"/>
  <c r="Q330" i="1"/>
  <c r="P330" i="1"/>
  <c r="O330" i="1"/>
  <c r="N330" i="1"/>
  <c r="W329" i="1"/>
  <c r="T329" i="1"/>
  <c r="S329" i="1"/>
  <c r="R329" i="1"/>
  <c r="Q329" i="1"/>
  <c r="P329" i="1"/>
  <c r="O329" i="1"/>
  <c r="N329" i="1"/>
  <c r="W328" i="1"/>
  <c r="T328" i="1"/>
  <c r="S328" i="1"/>
  <c r="R328" i="1"/>
  <c r="Q328" i="1"/>
  <c r="P328" i="1"/>
  <c r="O328" i="1"/>
  <c r="N328" i="1"/>
  <c r="W327" i="1"/>
  <c r="T327" i="1"/>
  <c r="S327" i="1"/>
  <c r="R327" i="1"/>
  <c r="Q327" i="1"/>
  <c r="P327" i="1"/>
  <c r="O327" i="1"/>
  <c r="N327" i="1"/>
  <c r="W326" i="1"/>
  <c r="T326" i="1"/>
  <c r="S326" i="1"/>
  <c r="R326" i="1"/>
  <c r="Q326" i="1"/>
  <c r="P326" i="1"/>
  <c r="O326" i="1"/>
  <c r="N326" i="1"/>
  <c r="W325" i="1"/>
  <c r="T325" i="1"/>
  <c r="S325" i="1"/>
  <c r="R325" i="1"/>
  <c r="Q325" i="1"/>
  <c r="P325" i="1"/>
  <c r="O325" i="1"/>
  <c r="N325" i="1"/>
  <c r="W324" i="1"/>
  <c r="T324" i="1"/>
  <c r="S324" i="1"/>
  <c r="R324" i="1"/>
  <c r="Q324" i="1"/>
  <c r="P324" i="1"/>
  <c r="O324" i="1"/>
  <c r="N324" i="1"/>
  <c r="W323" i="1"/>
  <c r="T323" i="1"/>
  <c r="S323" i="1"/>
  <c r="R323" i="1"/>
  <c r="Q323" i="1"/>
  <c r="P323" i="1"/>
  <c r="O323" i="1"/>
  <c r="N323" i="1"/>
  <c r="W322" i="1"/>
  <c r="T322" i="1"/>
  <c r="S322" i="1"/>
  <c r="R322" i="1"/>
  <c r="Q322" i="1"/>
  <c r="P322" i="1"/>
  <c r="O322" i="1"/>
  <c r="N322" i="1"/>
  <c r="T321" i="1"/>
  <c r="S321" i="1"/>
  <c r="R321" i="1"/>
  <c r="Q321" i="1"/>
  <c r="P321" i="1"/>
  <c r="O321" i="1"/>
  <c r="N321" i="1"/>
  <c r="W320" i="1"/>
  <c r="T320" i="1"/>
  <c r="S320" i="1"/>
  <c r="R320" i="1"/>
  <c r="Q320" i="1"/>
  <c r="P320" i="1"/>
  <c r="O320" i="1"/>
  <c r="N320" i="1"/>
  <c r="W319" i="1"/>
  <c r="T319" i="1"/>
  <c r="S319" i="1"/>
  <c r="R319" i="1"/>
  <c r="Q319" i="1"/>
  <c r="P319" i="1"/>
  <c r="O319" i="1"/>
  <c r="N319" i="1"/>
  <c r="W318" i="1"/>
  <c r="T318" i="1"/>
  <c r="S318" i="1"/>
  <c r="R318" i="1"/>
  <c r="Q318" i="1"/>
  <c r="P318" i="1"/>
  <c r="O318" i="1"/>
  <c r="N318" i="1"/>
  <c r="W317" i="1"/>
  <c r="T317" i="1"/>
  <c r="S317" i="1"/>
  <c r="R317" i="1"/>
  <c r="Q317" i="1"/>
  <c r="P317" i="1"/>
  <c r="O317" i="1"/>
  <c r="N317" i="1"/>
  <c r="W316" i="1"/>
  <c r="T316" i="1"/>
  <c r="S316" i="1"/>
  <c r="R316" i="1"/>
  <c r="Q316" i="1"/>
  <c r="P316" i="1"/>
  <c r="O316" i="1"/>
  <c r="N316" i="1"/>
  <c r="T315" i="1"/>
  <c r="S315" i="1"/>
  <c r="R315" i="1"/>
  <c r="Q315" i="1"/>
  <c r="P315" i="1"/>
  <c r="O315" i="1"/>
  <c r="N315" i="1"/>
  <c r="W314" i="1"/>
  <c r="T314" i="1"/>
  <c r="S314" i="1"/>
  <c r="R314" i="1"/>
  <c r="Q314" i="1"/>
  <c r="P314" i="1"/>
  <c r="O314" i="1"/>
  <c r="N314" i="1"/>
  <c r="W313" i="1"/>
  <c r="T313" i="1"/>
  <c r="S313" i="1"/>
  <c r="R313" i="1"/>
  <c r="Q313" i="1"/>
  <c r="P313" i="1"/>
  <c r="O313" i="1"/>
  <c r="N313" i="1"/>
  <c r="W312" i="1"/>
  <c r="T312" i="1"/>
  <c r="S312" i="1"/>
  <c r="R312" i="1"/>
  <c r="Q312" i="1"/>
  <c r="P312" i="1"/>
  <c r="O312" i="1"/>
  <c r="N312" i="1"/>
  <c r="W311" i="1"/>
  <c r="T311" i="1"/>
  <c r="S311" i="1"/>
  <c r="R311" i="1"/>
  <c r="Q311" i="1"/>
  <c r="P311" i="1"/>
  <c r="O311" i="1"/>
  <c r="N311" i="1"/>
  <c r="W310" i="1"/>
  <c r="T310" i="1"/>
  <c r="S310" i="1"/>
  <c r="R310" i="1"/>
  <c r="Q310" i="1"/>
  <c r="P310" i="1"/>
  <c r="O310" i="1"/>
  <c r="N310" i="1"/>
  <c r="W309" i="1"/>
  <c r="T309" i="1"/>
  <c r="S309" i="1"/>
  <c r="R309" i="1"/>
  <c r="Q309" i="1"/>
  <c r="P309" i="1"/>
  <c r="O309" i="1"/>
  <c r="N309" i="1"/>
  <c r="W308" i="1"/>
  <c r="T308" i="1"/>
  <c r="S308" i="1"/>
  <c r="R308" i="1"/>
  <c r="Q308" i="1"/>
  <c r="P308" i="1"/>
  <c r="O308" i="1"/>
  <c r="N308" i="1"/>
  <c r="W307" i="1"/>
  <c r="T307" i="1"/>
  <c r="S307" i="1"/>
  <c r="R307" i="1"/>
  <c r="Q307" i="1"/>
  <c r="P307" i="1"/>
  <c r="O307" i="1"/>
  <c r="N307" i="1"/>
  <c r="W306" i="1"/>
  <c r="T306" i="1"/>
  <c r="S306" i="1"/>
  <c r="R306" i="1"/>
  <c r="Q306" i="1"/>
  <c r="P306" i="1"/>
  <c r="O306" i="1"/>
  <c r="N306" i="1"/>
  <c r="W305" i="1"/>
  <c r="T305" i="1"/>
  <c r="S305" i="1"/>
  <c r="R305" i="1"/>
  <c r="Q305" i="1"/>
  <c r="P305" i="1"/>
  <c r="O305" i="1"/>
  <c r="N305" i="1"/>
  <c r="W304" i="1"/>
  <c r="T304" i="1"/>
  <c r="S304" i="1"/>
  <c r="R304" i="1"/>
  <c r="Q304" i="1"/>
  <c r="P304" i="1"/>
  <c r="O304" i="1"/>
  <c r="N304" i="1"/>
  <c r="W303" i="1"/>
  <c r="T303" i="1"/>
  <c r="S303" i="1"/>
  <c r="R303" i="1"/>
  <c r="Q303" i="1"/>
  <c r="P303" i="1"/>
  <c r="O303" i="1"/>
  <c r="N303" i="1"/>
  <c r="W302" i="1"/>
  <c r="T302" i="1"/>
  <c r="S302" i="1"/>
  <c r="R302" i="1"/>
  <c r="Q302" i="1"/>
  <c r="P302" i="1"/>
  <c r="O302" i="1"/>
  <c r="N302" i="1"/>
  <c r="W301" i="1"/>
  <c r="T301" i="1"/>
  <c r="S301" i="1"/>
  <c r="R301" i="1"/>
  <c r="Q301" i="1"/>
  <c r="P301" i="1"/>
  <c r="O301" i="1"/>
  <c r="N301" i="1"/>
  <c r="W300" i="1"/>
  <c r="T300" i="1"/>
  <c r="S300" i="1"/>
  <c r="R300" i="1"/>
  <c r="Q300" i="1"/>
  <c r="P300" i="1"/>
  <c r="O300" i="1"/>
  <c r="N300" i="1"/>
  <c r="W299" i="1"/>
  <c r="T299" i="1"/>
  <c r="S299" i="1"/>
  <c r="R299" i="1"/>
  <c r="Q299" i="1"/>
  <c r="P299" i="1"/>
  <c r="O299" i="1"/>
  <c r="N299" i="1"/>
  <c r="W298" i="1"/>
  <c r="T298" i="1"/>
  <c r="S298" i="1"/>
  <c r="R298" i="1"/>
  <c r="Q298" i="1"/>
  <c r="P298" i="1"/>
  <c r="O298" i="1"/>
  <c r="N298" i="1"/>
  <c r="W297" i="1"/>
  <c r="T297" i="1"/>
  <c r="S297" i="1"/>
  <c r="R297" i="1"/>
  <c r="Q297" i="1"/>
  <c r="P297" i="1"/>
  <c r="O297" i="1"/>
  <c r="N297" i="1"/>
  <c r="W296" i="1"/>
  <c r="T296" i="1"/>
  <c r="S296" i="1"/>
  <c r="R296" i="1"/>
  <c r="Q296" i="1"/>
  <c r="P296" i="1"/>
  <c r="O296" i="1"/>
  <c r="N296" i="1"/>
  <c r="W295" i="1"/>
  <c r="T295" i="1"/>
  <c r="S295" i="1"/>
  <c r="R295" i="1"/>
  <c r="Q295" i="1"/>
  <c r="P295" i="1"/>
  <c r="O295" i="1"/>
  <c r="N295" i="1"/>
  <c r="W294" i="1"/>
  <c r="T294" i="1"/>
  <c r="S294" i="1"/>
  <c r="R294" i="1"/>
  <c r="Q294" i="1"/>
  <c r="P294" i="1"/>
  <c r="O294" i="1"/>
  <c r="N294" i="1"/>
  <c r="W293" i="1"/>
  <c r="T293" i="1"/>
  <c r="S293" i="1"/>
  <c r="R293" i="1"/>
  <c r="Q293" i="1"/>
  <c r="P293" i="1"/>
  <c r="O293" i="1"/>
  <c r="N293" i="1"/>
  <c r="T292" i="1"/>
  <c r="S292" i="1"/>
  <c r="R292" i="1"/>
  <c r="Q292" i="1"/>
  <c r="P292" i="1"/>
  <c r="O292" i="1"/>
  <c r="N292" i="1"/>
  <c r="W291" i="1"/>
  <c r="T291" i="1"/>
  <c r="S291" i="1"/>
  <c r="R291" i="1"/>
  <c r="Q291" i="1"/>
  <c r="P291" i="1"/>
  <c r="O291" i="1"/>
  <c r="N291" i="1"/>
  <c r="W290" i="1"/>
  <c r="T290" i="1"/>
  <c r="S290" i="1"/>
  <c r="R290" i="1"/>
  <c r="Q290" i="1"/>
  <c r="P290" i="1"/>
  <c r="O290" i="1"/>
  <c r="N290" i="1"/>
  <c r="W289" i="1"/>
  <c r="T289" i="1"/>
  <c r="S289" i="1"/>
  <c r="R289" i="1"/>
  <c r="Q289" i="1"/>
  <c r="P289" i="1"/>
  <c r="O289" i="1"/>
  <c r="N289" i="1"/>
  <c r="W288" i="1"/>
  <c r="T288" i="1"/>
  <c r="S288" i="1"/>
  <c r="R288" i="1"/>
  <c r="Q288" i="1"/>
  <c r="P288" i="1"/>
  <c r="O288" i="1"/>
  <c r="N288" i="1"/>
  <c r="T287" i="1"/>
  <c r="S287" i="1"/>
  <c r="R287" i="1"/>
  <c r="Q287" i="1"/>
  <c r="P287" i="1"/>
  <c r="O287" i="1"/>
  <c r="N287" i="1"/>
  <c r="W286" i="1"/>
  <c r="T286" i="1"/>
  <c r="S286" i="1"/>
  <c r="R286" i="1"/>
  <c r="Q286" i="1"/>
  <c r="P286" i="1"/>
  <c r="O286" i="1"/>
  <c r="N286" i="1"/>
  <c r="W285" i="1"/>
  <c r="T285" i="1"/>
  <c r="S285" i="1"/>
  <c r="R285" i="1"/>
  <c r="Q285" i="1"/>
  <c r="P285" i="1"/>
  <c r="O285" i="1"/>
  <c r="N285" i="1"/>
  <c r="W284" i="1"/>
  <c r="T284" i="1"/>
  <c r="S284" i="1"/>
  <c r="R284" i="1"/>
  <c r="Q284" i="1"/>
  <c r="P284" i="1"/>
  <c r="O284" i="1"/>
  <c r="N284" i="1"/>
  <c r="W283" i="1"/>
  <c r="T283" i="1"/>
  <c r="S283" i="1"/>
  <c r="R283" i="1"/>
  <c r="Q283" i="1"/>
  <c r="P283" i="1"/>
  <c r="O283" i="1"/>
  <c r="N283" i="1"/>
  <c r="W282" i="1"/>
  <c r="T282" i="1"/>
  <c r="S282" i="1"/>
  <c r="R282" i="1"/>
  <c r="Q282" i="1"/>
  <c r="P282" i="1"/>
  <c r="O282" i="1"/>
  <c r="N282" i="1"/>
  <c r="W281" i="1"/>
  <c r="T281" i="1"/>
  <c r="S281" i="1"/>
  <c r="R281" i="1"/>
  <c r="Q281" i="1"/>
  <c r="P281" i="1"/>
  <c r="O281" i="1"/>
  <c r="N281" i="1"/>
  <c r="W280" i="1"/>
  <c r="T280" i="1"/>
  <c r="S280" i="1"/>
  <c r="R280" i="1"/>
  <c r="Q280" i="1"/>
  <c r="P280" i="1"/>
  <c r="O280" i="1"/>
  <c r="N280" i="1"/>
  <c r="W279" i="1"/>
  <c r="T279" i="1"/>
  <c r="S279" i="1"/>
  <c r="R279" i="1"/>
  <c r="Q279" i="1"/>
  <c r="P279" i="1"/>
  <c r="O279" i="1"/>
  <c r="N279" i="1"/>
  <c r="T278" i="1"/>
  <c r="S278" i="1"/>
  <c r="R278" i="1"/>
  <c r="Q278" i="1"/>
  <c r="P278" i="1"/>
  <c r="O278" i="1"/>
  <c r="N278" i="1"/>
  <c r="W277" i="1"/>
  <c r="T277" i="1"/>
  <c r="S277" i="1"/>
  <c r="R277" i="1"/>
  <c r="Q277" i="1"/>
  <c r="P277" i="1"/>
  <c r="O277" i="1"/>
  <c r="N277" i="1"/>
  <c r="W276" i="1"/>
  <c r="T276" i="1"/>
  <c r="S276" i="1"/>
  <c r="R276" i="1"/>
  <c r="Q276" i="1"/>
  <c r="P276" i="1"/>
  <c r="O276" i="1"/>
  <c r="N276" i="1"/>
  <c r="W275" i="1"/>
  <c r="T275" i="1"/>
  <c r="S275" i="1"/>
  <c r="R275" i="1"/>
  <c r="Q275" i="1"/>
  <c r="P275" i="1"/>
  <c r="O275" i="1"/>
  <c r="N275" i="1"/>
  <c r="W274" i="1"/>
  <c r="T274" i="1"/>
  <c r="S274" i="1"/>
  <c r="R274" i="1"/>
  <c r="Q274" i="1"/>
  <c r="P274" i="1"/>
  <c r="O274" i="1"/>
  <c r="N274" i="1"/>
  <c r="W273" i="1"/>
  <c r="T273" i="1"/>
  <c r="S273" i="1"/>
  <c r="R273" i="1"/>
  <c r="Q273" i="1"/>
  <c r="P273" i="1"/>
  <c r="O273" i="1"/>
  <c r="N273" i="1"/>
  <c r="W272" i="1"/>
  <c r="T272" i="1"/>
  <c r="S272" i="1"/>
  <c r="R272" i="1"/>
  <c r="Q272" i="1"/>
  <c r="P272" i="1"/>
  <c r="O272" i="1"/>
  <c r="N272" i="1"/>
  <c r="W271" i="1"/>
  <c r="T271" i="1"/>
  <c r="S271" i="1"/>
  <c r="R271" i="1"/>
  <c r="Q271" i="1"/>
  <c r="P271" i="1"/>
  <c r="O271" i="1"/>
  <c r="N271" i="1"/>
  <c r="W270" i="1"/>
  <c r="T270" i="1"/>
  <c r="S270" i="1"/>
  <c r="R270" i="1"/>
  <c r="Q270" i="1"/>
  <c r="P270" i="1"/>
  <c r="O270" i="1"/>
  <c r="N270" i="1"/>
  <c r="W269" i="1"/>
  <c r="T269" i="1"/>
  <c r="S269" i="1"/>
  <c r="R269" i="1"/>
  <c r="Q269" i="1"/>
  <c r="P269" i="1"/>
  <c r="O269" i="1"/>
  <c r="N269" i="1"/>
  <c r="W268" i="1"/>
  <c r="T268" i="1"/>
  <c r="S268" i="1"/>
  <c r="R268" i="1"/>
  <c r="Q268" i="1"/>
  <c r="P268" i="1"/>
  <c r="O268" i="1"/>
  <c r="N268" i="1"/>
  <c r="W267" i="1"/>
  <c r="T267" i="1"/>
  <c r="S267" i="1"/>
  <c r="R267" i="1"/>
  <c r="Q267" i="1"/>
  <c r="P267" i="1"/>
  <c r="O267" i="1"/>
  <c r="N267" i="1"/>
  <c r="W266" i="1"/>
  <c r="T266" i="1"/>
  <c r="S266" i="1"/>
  <c r="R266" i="1"/>
  <c r="Q266" i="1"/>
  <c r="P266" i="1"/>
  <c r="O266" i="1"/>
  <c r="N266" i="1"/>
  <c r="W265" i="1"/>
  <c r="T265" i="1"/>
  <c r="S265" i="1"/>
  <c r="R265" i="1"/>
  <c r="Q265" i="1"/>
  <c r="P265" i="1"/>
  <c r="O265" i="1"/>
  <c r="N265" i="1"/>
  <c r="W264" i="1"/>
  <c r="T264" i="1"/>
  <c r="S264" i="1"/>
  <c r="R264" i="1"/>
  <c r="Q264" i="1"/>
  <c r="P264" i="1"/>
  <c r="O264" i="1"/>
  <c r="N264" i="1"/>
  <c r="W263" i="1"/>
  <c r="T263" i="1"/>
  <c r="S263" i="1"/>
  <c r="R263" i="1"/>
  <c r="Q263" i="1"/>
  <c r="P263" i="1"/>
  <c r="O263" i="1"/>
  <c r="N263" i="1"/>
  <c r="W262" i="1"/>
  <c r="T262" i="1"/>
  <c r="S262" i="1"/>
  <c r="R262" i="1"/>
  <c r="Q262" i="1"/>
  <c r="P262" i="1"/>
  <c r="O262" i="1"/>
  <c r="N262" i="1"/>
  <c r="W261" i="1"/>
  <c r="T261" i="1"/>
  <c r="S261" i="1"/>
  <c r="R261" i="1"/>
  <c r="Q261" i="1"/>
  <c r="P261" i="1"/>
  <c r="O261" i="1"/>
  <c r="N261" i="1"/>
  <c r="W260" i="1"/>
  <c r="T260" i="1"/>
  <c r="S260" i="1"/>
  <c r="R260" i="1"/>
  <c r="Q260" i="1"/>
  <c r="P260" i="1"/>
  <c r="O260" i="1"/>
  <c r="N260" i="1"/>
  <c r="W259" i="1"/>
  <c r="T259" i="1"/>
  <c r="S259" i="1"/>
  <c r="R259" i="1"/>
  <c r="Q259" i="1"/>
  <c r="P259" i="1"/>
  <c r="O259" i="1"/>
  <c r="N259" i="1"/>
  <c r="W258" i="1"/>
  <c r="T258" i="1"/>
  <c r="S258" i="1"/>
  <c r="R258" i="1"/>
  <c r="Q258" i="1"/>
  <c r="P258" i="1"/>
  <c r="O258" i="1"/>
  <c r="N258" i="1"/>
  <c r="W257" i="1"/>
  <c r="T257" i="1"/>
  <c r="S257" i="1"/>
  <c r="R257" i="1"/>
  <c r="Q257" i="1"/>
  <c r="P257" i="1"/>
  <c r="O257" i="1"/>
  <c r="N257" i="1"/>
  <c r="W256" i="1"/>
  <c r="T256" i="1"/>
  <c r="S256" i="1"/>
  <c r="R256" i="1"/>
  <c r="Q256" i="1"/>
  <c r="P256" i="1"/>
  <c r="O256" i="1"/>
  <c r="N256" i="1"/>
  <c r="W255" i="1"/>
  <c r="T255" i="1"/>
  <c r="S255" i="1"/>
  <c r="R255" i="1"/>
  <c r="Q255" i="1"/>
  <c r="P255" i="1"/>
  <c r="O255" i="1"/>
  <c r="N255" i="1"/>
  <c r="W254" i="1"/>
  <c r="T254" i="1"/>
  <c r="S254" i="1"/>
  <c r="R254" i="1"/>
  <c r="Q254" i="1"/>
  <c r="P254" i="1"/>
  <c r="O254" i="1"/>
  <c r="N254" i="1"/>
  <c r="W253" i="1"/>
  <c r="T253" i="1"/>
  <c r="S253" i="1"/>
  <c r="R253" i="1"/>
  <c r="Q253" i="1"/>
  <c r="P253" i="1"/>
  <c r="O253" i="1"/>
  <c r="N253" i="1"/>
  <c r="W252" i="1"/>
  <c r="T252" i="1"/>
  <c r="S252" i="1"/>
  <c r="R252" i="1"/>
  <c r="Q252" i="1"/>
  <c r="P252" i="1"/>
  <c r="O252" i="1"/>
  <c r="N252" i="1"/>
  <c r="W251" i="1"/>
  <c r="T251" i="1"/>
  <c r="S251" i="1"/>
  <c r="R251" i="1"/>
  <c r="Q251" i="1"/>
  <c r="P251" i="1"/>
  <c r="O251" i="1"/>
  <c r="N251" i="1"/>
  <c r="W250" i="1"/>
  <c r="T250" i="1"/>
  <c r="S250" i="1"/>
  <c r="R250" i="1"/>
  <c r="Q250" i="1"/>
  <c r="P250" i="1"/>
  <c r="O250" i="1"/>
  <c r="N250" i="1"/>
  <c r="T249" i="1"/>
  <c r="S249" i="1"/>
  <c r="R249" i="1"/>
  <c r="Q249" i="1"/>
  <c r="P249" i="1"/>
  <c r="O249" i="1"/>
  <c r="N249" i="1"/>
  <c r="T248" i="1"/>
  <c r="S248" i="1"/>
  <c r="R248" i="1"/>
  <c r="Q248" i="1"/>
  <c r="P248" i="1"/>
  <c r="O248" i="1"/>
  <c r="N248" i="1"/>
  <c r="T247" i="1"/>
  <c r="S247" i="1"/>
  <c r="R247" i="1"/>
  <c r="Q247" i="1"/>
  <c r="P247" i="1"/>
  <c r="O247" i="1"/>
  <c r="N247" i="1"/>
  <c r="W246" i="1"/>
  <c r="T246" i="1"/>
  <c r="S246" i="1"/>
  <c r="R246" i="1"/>
  <c r="Q246" i="1"/>
  <c r="P246" i="1"/>
  <c r="O246" i="1"/>
  <c r="N246" i="1"/>
  <c r="W245" i="1"/>
  <c r="T245" i="1"/>
  <c r="S245" i="1"/>
  <c r="R245" i="1"/>
  <c r="Q245" i="1"/>
  <c r="P245" i="1"/>
  <c r="O245" i="1"/>
  <c r="N245" i="1"/>
  <c r="W244" i="1"/>
  <c r="T244" i="1"/>
  <c r="S244" i="1"/>
  <c r="R244" i="1"/>
  <c r="Q244" i="1"/>
  <c r="P244" i="1"/>
  <c r="O244" i="1"/>
  <c r="N244" i="1"/>
  <c r="W243" i="1"/>
  <c r="T243" i="1"/>
  <c r="S243" i="1"/>
  <c r="R243" i="1"/>
  <c r="Q243" i="1"/>
  <c r="P243" i="1"/>
  <c r="O243" i="1"/>
  <c r="N243" i="1"/>
  <c r="W242" i="1"/>
  <c r="T242" i="1"/>
  <c r="S242" i="1"/>
  <c r="R242" i="1"/>
  <c r="Q242" i="1"/>
  <c r="P242" i="1"/>
  <c r="O242" i="1"/>
  <c r="N242" i="1"/>
  <c r="W241" i="1"/>
  <c r="T241" i="1"/>
  <c r="S241" i="1"/>
  <c r="R241" i="1"/>
  <c r="Q241" i="1"/>
  <c r="P241" i="1"/>
  <c r="O241" i="1"/>
  <c r="N241" i="1"/>
  <c r="W240" i="1"/>
  <c r="T240" i="1"/>
  <c r="S240" i="1"/>
  <c r="R240" i="1"/>
  <c r="Q240" i="1"/>
  <c r="P240" i="1"/>
  <c r="O240" i="1"/>
  <c r="N240" i="1"/>
  <c r="W239" i="1"/>
  <c r="T239" i="1"/>
  <c r="S239" i="1"/>
  <c r="R239" i="1"/>
  <c r="Q239" i="1"/>
  <c r="P239" i="1"/>
  <c r="O239" i="1"/>
  <c r="N239" i="1"/>
  <c r="W238" i="1"/>
  <c r="T238" i="1"/>
  <c r="S238" i="1"/>
  <c r="R238" i="1"/>
  <c r="Q238" i="1"/>
  <c r="P238" i="1"/>
  <c r="O238" i="1"/>
  <c r="N238" i="1"/>
  <c r="W237" i="1"/>
  <c r="T237" i="1"/>
  <c r="S237" i="1"/>
  <c r="R237" i="1"/>
  <c r="Q237" i="1"/>
  <c r="P237" i="1"/>
  <c r="O237" i="1"/>
  <c r="N237" i="1"/>
  <c r="T236" i="1"/>
  <c r="S236" i="1"/>
  <c r="R236" i="1"/>
  <c r="Q236" i="1"/>
  <c r="P236" i="1"/>
  <c r="O236" i="1"/>
  <c r="N236" i="1"/>
  <c r="W235" i="1"/>
  <c r="T235" i="1"/>
  <c r="S235" i="1"/>
  <c r="R235" i="1"/>
  <c r="Q235" i="1"/>
  <c r="P235" i="1"/>
  <c r="O235" i="1"/>
  <c r="N235" i="1"/>
  <c r="W234" i="1"/>
  <c r="T234" i="1"/>
  <c r="S234" i="1"/>
  <c r="R234" i="1"/>
  <c r="Q234" i="1"/>
  <c r="P234" i="1"/>
  <c r="O234" i="1"/>
  <c r="N234" i="1"/>
  <c r="W233" i="1"/>
  <c r="T233" i="1"/>
  <c r="S233" i="1"/>
  <c r="R233" i="1"/>
  <c r="Q233" i="1"/>
  <c r="P233" i="1"/>
  <c r="O233" i="1"/>
  <c r="N233" i="1"/>
  <c r="W232" i="1"/>
  <c r="T232" i="1"/>
  <c r="S232" i="1"/>
  <c r="R232" i="1"/>
  <c r="Q232" i="1"/>
  <c r="P232" i="1"/>
  <c r="O232" i="1"/>
  <c r="N232" i="1"/>
  <c r="W231" i="1"/>
  <c r="T231" i="1"/>
  <c r="S231" i="1"/>
  <c r="R231" i="1"/>
  <c r="Q231" i="1"/>
  <c r="P231" i="1"/>
  <c r="O231" i="1"/>
  <c r="N231" i="1"/>
  <c r="W230" i="1"/>
  <c r="T230" i="1"/>
  <c r="S230" i="1"/>
  <c r="R230" i="1"/>
  <c r="Q230" i="1"/>
  <c r="P230" i="1"/>
  <c r="O230" i="1"/>
  <c r="N230" i="1"/>
  <c r="W229" i="1"/>
  <c r="T229" i="1"/>
  <c r="S229" i="1"/>
  <c r="R229" i="1"/>
  <c r="Q229" i="1"/>
  <c r="P229" i="1"/>
  <c r="O229" i="1"/>
  <c r="N229" i="1"/>
  <c r="W228" i="1"/>
  <c r="T228" i="1"/>
  <c r="S228" i="1"/>
  <c r="R228" i="1"/>
  <c r="Q228" i="1"/>
  <c r="P228" i="1"/>
  <c r="O228" i="1"/>
  <c r="N228" i="1"/>
  <c r="W227" i="1"/>
  <c r="T227" i="1"/>
  <c r="S227" i="1"/>
  <c r="R227" i="1"/>
  <c r="Q227" i="1"/>
  <c r="P227" i="1"/>
  <c r="O227" i="1"/>
  <c r="N227" i="1"/>
  <c r="W226" i="1"/>
  <c r="T226" i="1"/>
  <c r="S226" i="1"/>
  <c r="R226" i="1"/>
  <c r="Q226" i="1"/>
  <c r="P226" i="1"/>
  <c r="O226" i="1"/>
  <c r="N226" i="1"/>
  <c r="W225" i="1"/>
  <c r="T225" i="1"/>
  <c r="S225" i="1"/>
  <c r="R225" i="1"/>
  <c r="Q225" i="1"/>
  <c r="P225" i="1"/>
  <c r="O225" i="1"/>
  <c r="N225" i="1"/>
  <c r="W224" i="1"/>
  <c r="T224" i="1"/>
  <c r="S224" i="1"/>
  <c r="R224" i="1"/>
  <c r="Q224" i="1"/>
  <c r="P224" i="1"/>
  <c r="O224" i="1"/>
  <c r="N224" i="1"/>
  <c r="W223" i="1"/>
  <c r="T223" i="1"/>
  <c r="S223" i="1"/>
  <c r="R223" i="1"/>
  <c r="Q223" i="1"/>
  <c r="P223" i="1"/>
  <c r="O223" i="1"/>
  <c r="N223" i="1"/>
  <c r="W222" i="1"/>
  <c r="T222" i="1"/>
  <c r="S222" i="1"/>
  <c r="R222" i="1"/>
  <c r="Q222" i="1"/>
  <c r="P222" i="1"/>
  <c r="O222" i="1"/>
  <c r="N222" i="1"/>
  <c r="W221" i="1"/>
  <c r="T221" i="1"/>
  <c r="S221" i="1"/>
  <c r="R221" i="1"/>
  <c r="Q221" i="1"/>
  <c r="P221" i="1"/>
  <c r="O221" i="1"/>
  <c r="N221" i="1"/>
  <c r="W220" i="1"/>
  <c r="T220" i="1"/>
  <c r="S220" i="1"/>
  <c r="R220" i="1"/>
  <c r="Q220" i="1"/>
  <c r="P220" i="1"/>
  <c r="O220" i="1"/>
  <c r="N220" i="1"/>
  <c r="W219" i="1"/>
  <c r="T219" i="1"/>
  <c r="S219" i="1"/>
  <c r="R219" i="1"/>
  <c r="Q219" i="1"/>
  <c r="P219" i="1"/>
  <c r="O219" i="1"/>
  <c r="N219" i="1"/>
  <c r="W218" i="1"/>
  <c r="T218" i="1"/>
  <c r="S218" i="1"/>
  <c r="R218" i="1"/>
  <c r="Q218" i="1"/>
  <c r="P218" i="1"/>
  <c r="O218" i="1"/>
  <c r="N218" i="1"/>
  <c r="W217" i="1"/>
  <c r="T217" i="1"/>
  <c r="S217" i="1"/>
  <c r="R217" i="1"/>
  <c r="Q217" i="1"/>
  <c r="P217" i="1"/>
  <c r="O217" i="1"/>
  <c r="N217" i="1"/>
  <c r="W216" i="1"/>
  <c r="T216" i="1"/>
  <c r="S216" i="1"/>
  <c r="R216" i="1"/>
  <c r="Q216" i="1"/>
  <c r="P216" i="1"/>
  <c r="O216" i="1"/>
  <c r="N216" i="1"/>
  <c r="W215" i="1"/>
  <c r="T215" i="1"/>
  <c r="S215" i="1"/>
  <c r="R215" i="1"/>
  <c r="Q215" i="1"/>
  <c r="P215" i="1"/>
  <c r="O215" i="1"/>
  <c r="N215" i="1"/>
  <c r="W214" i="1"/>
  <c r="T214" i="1"/>
  <c r="S214" i="1"/>
  <c r="R214" i="1"/>
  <c r="Q214" i="1"/>
  <c r="P214" i="1"/>
  <c r="O214" i="1"/>
  <c r="N214" i="1"/>
  <c r="W213" i="1"/>
  <c r="T213" i="1"/>
  <c r="S213" i="1"/>
  <c r="R213" i="1"/>
  <c r="Q213" i="1"/>
  <c r="P213" i="1"/>
  <c r="O213" i="1"/>
  <c r="N213" i="1"/>
  <c r="W212" i="1"/>
  <c r="T212" i="1"/>
  <c r="S212" i="1"/>
  <c r="R212" i="1"/>
  <c r="Q212" i="1"/>
  <c r="P212" i="1"/>
  <c r="O212" i="1"/>
  <c r="N212" i="1"/>
  <c r="W211" i="1"/>
  <c r="T211" i="1"/>
  <c r="S211" i="1"/>
  <c r="R211" i="1"/>
  <c r="Q211" i="1"/>
  <c r="P211" i="1"/>
  <c r="O211" i="1"/>
  <c r="N211" i="1"/>
  <c r="T210" i="1"/>
  <c r="S210" i="1"/>
  <c r="R210" i="1"/>
  <c r="Q210" i="1"/>
  <c r="P210" i="1"/>
  <c r="O210" i="1"/>
  <c r="N210" i="1"/>
  <c r="W209" i="1"/>
  <c r="T209" i="1"/>
  <c r="S209" i="1"/>
  <c r="R209" i="1"/>
  <c r="Q209" i="1"/>
  <c r="P209" i="1"/>
  <c r="O209" i="1"/>
  <c r="N209" i="1"/>
  <c r="T208" i="1"/>
  <c r="S208" i="1"/>
  <c r="R208" i="1"/>
  <c r="Q208" i="1"/>
  <c r="P208" i="1"/>
  <c r="O208" i="1"/>
  <c r="N208" i="1"/>
  <c r="T207" i="1"/>
  <c r="S207" i="1"/>
  <c r="R207" i="1"/>
  <c r="Q207" i="1"/>
  <c r="P207" i="1"/>
  <c r="O207" i="1"/>
  <c r="N207" i="1"/>
  <c r="T206" i="1"/>
  <c r="S206" i="1"/>
  <c r="R206" i="1"/>
  <c r="Q206" i="1"/>
  <c r="P206" i="1"/>
  <c r="O206" i="1"/>
  <c r="N206" i="1"/>
  <c r="W205" i="1"/>
  <c r="T205" i="1"/>
  <c r="S205" i="1"/>
  <c r="R205" i="1"/>
  <c r="Q205" i="1"/>
  <c r="P205" i="1"/>
  <c r="O205" i="1"/>
  <c r="N205" i="1"/>
  <c r="W204" i="1"/>
  <c r="T204" i="1"/>
  <c r="S204" i="1"/>
  <c r="R204" i="1"/>
  <c r="Q204" i="1"/>
  <c r="P204" i="1"/>
  <c r="O204" i="1"/>
  <c r="N204" i="1"/>
  <c r="W203" i="1"/>
  <c r="T203" i="1"/>
  <c r="S203" i="1"/>
  <c r="R203" i="1"/>
  <c r="Q203" i="1"/>
  <c r="P203" i="1"/>
  <c r="O203" i="1"/>
  <c r="N203" i="1"/>
  <c r="W202" i="1"/>
  <c r="T202" i="1"/>
  <c r="S202" i="1"/>
  <c r="R202" i="1"/>
  <c r="Q202" i="1"/>
  <c r="P202" i="1"/>
  <c r="O202" i="1"/>
  <c r="N202" i="1"/>
  <c r="W201" i="1"/>
  <c r="T201" i="1"/>
  <c r="S201" i="1"/>
  <c r="R201" i="1"/>
  <c r="Q201" i="1"/>
  <c r="P201" i="1"/>
  <c r="O201" i="1"/>
  <c r="N201" i="1"/>
  <c r="W200" i="1"/>
  <c r="T200" i="1"/>
  <c r="S200" i="1"/>
  <c r="R200" i="1"/>
  <c r="Q200" i="1"/>
  <c r="P200" i="1"/>
  <c r="O200" i="1"/>
  <c r="N200" i="1"/>
  <c r="W199" i="1"/>
  <c r="T199" i="1"/>
  <c r="S199" i="1"/>
  <c r="R199" i="1"/>
  <c r="Q199" i="1"/>
  <c r="P199" i="1"/>
  <c r="O199" i="1"/>
  <c r="N199" i="1"/>
  <c r="W198" i="1"/>
  <c r="T198" i="1"/>
  <c r="S198" i="1"/>
  <c r="R198" i="1"/>
  <c r="Q198" i="1"/>
  <c r="P198" i="1"/>
  <c r="O198" i="1"/>
  <c r="N198" i="1"/>
  <c r="W197" i="1"/>
  <c r="T197" i="1"/>
  <c r="S197" i="1"/>
  <c r="R197" i="1"/>
  <c r="Q197" i="1"/>
  <c r="P197" i="1"/>
  <c r="O197" i="1"/>
  <c r="N197" i="1"/>
  <c r="W196" i="1"/>
  <c r="T196" i="1"/>
  <c r="S196" i="1"/>
  <c r="R196" i="1"/>
  <c r="Q196" i="1"/>
  <c r="P196" i="1"/>
  <c r="O196" i="1"/>
  <c r="N196" i="1"/>
  <c r="W195" i="1"/>
  <c r="T195" i="1"/>
  <c r="S195" i="1"/>
  <c r="R195" i="1"/>
  <c r="Q195" i="1"/>
  <c r="P195" i="1"/>
  <c r="O195" i="1"/>
  <c r="N195" i="1"/>
  <c r="W194" i="1"/>
  <c r="T194" i="1"/>
  <c r="S194" i="1"/>
  <c r="R194" i="1"/>
  <c r="Q194" i="1"/>
  <c r="P194" i="1"/>
  <c r="O194" i="1"/>
  <c r="N194" i="1"/>
  <c r="W193" i="1"/>
  <c r="T193" i="1"/>
  <c r="S193" i="1"/>
  <c r="R193" i="1"/>
  <c r="Q193" i="1"/>
  <c r="P193" i="1"/>
  <c r="O193" i="1"/>
  <c r="N193" i="1"/>
  <c r="W192" i="1"/>
  <c r="T192" i="1"/>
  <c r="S192" i="1"/>
  <c r="R192" i="1"/>
  <c r="Q192" i="1"/>
  <c r="P192" i="1"/>
  <c r="O192" i="1"/>
  <c r="N192" i="1"/>
  <c r="W191" i="1"/>
  <c r="T191" i="1"/>
  <c r="S191" i="1"/>
  <c r="R191" i="1"/>
  <c r="Q191" i="1"/>
  <c r="P191" i="1"/>
  <c r="O191" i="1"/>
  <c r="N191" i="1"/>
  <c r="W190" i="1"/>
  <c r="T190" i="1"/>
  <c r="S190" i="1"/>
  <c r="R190" i="1"/>
  <c r="Q190" i="1"/>
  <c r="P190" i="1"/>
  <c r="O190" i="1"/>
  <c r="N190" i="1"/>
  <c r="W189" i="1"/>
  <c r="T189" i="1"/>
  <c r="S189" i="1"/>
  <c r="R189" i="1"/>
  <c r="Q189" i="1"/>
  <c r="P189" i="1"/>
  <c r="O189" i="1"/>
  <c r="N189" i="1"/>
  <c r="W188" i="1"/>
  <c r="T188" i="1"/>
  <c r="S188" i="1"/>
  <c r="R188" i="1"/>
  <c r="Q188" i="1"/>
  <c r="P188" i="1"/>
  <c r="O188" i="1"/>
  <c r="N188" i="1"/>
  <c r="W187" i="1"/>
  <c r="T187" i="1"/>
  <c r="S187" i="1"/>
  <c r="R187" i="1"/>
  <c r="Q187" i="1"/>
  <c r="P187" i="1"/>
  <c r="O187" i="1"/>
  <c r="N187" i="1"/>
  <c r="W186" i="1"/>
  <c r="T186" i="1"/>
  <c r="S186" i="1"/>
  <c r="R186" i="1"/>
  <c r="Q186" i="1"/>
  <c r="P186" i="1"/>
  <c r="O186" i="1"/>
  <c r="N186" i="1"/>
  <c r="W185" i="1"/>
  <c r="T185" i="1"/>
  <c r="S185" i="1"/>
  <c r="R185" i="1"/>
  <c r="Q185" i="1"/>
  <c r="P185" i="1"/>
  <c r="O185" i="1"/>
  <c r="N185" i="1"/>
  <c r="W184" i="1"/>
  <c r="T184" i="1"/>
  <c r="S184" i="1"/>
  <c r="R184" i="1"/>
  <c r="Q184" i="1"/>
  <c r="P184" i="1"/>
  <c r="O184" i="1"/>
  <c r="N184" i="1"/>
  <c r="W183" i="1"/>
  <c r="T183" i="1"/>
  <c r="S183" i="1"/>
  <c r="R183" i="1"/>
  <c r="Q183" i="1"/>
  <c r="P183" i="1"/>
  <c r="O183" i="1"/>
  <c r="N183" i="1"/>
  <c r="W182" i="1"/>
  <c r="T182" i="1"/>
  <c r="S182" i="1"/>
  <c r="R182" i="1"/>
  <c r="Q182" i="1"/>
  <c r="P182" i="1"/>
  <c r="O182" i="1"/>
  <c r="N182" i="1"/>
  <c r="W181" i="1"/>
  <c r="T181" i="1"/>
  <c r="S181" i="1"/>
  <c r="R181" i="1"/>
  <c r="Q181" i="1"/>
  <c r="P181" i="1"/>
  <c r="O181" i="1"/>
  <c r="N181" i="1"/>
  <c r="W180" i="1"/>
  <c r="T180" i="1"/>
  <c r="S180" i="1"/>
  <c r="R180" i="1"/>
  <c r="Q180" i="1"/>
  <c r="P180" i="1"/>
  <c r="O180" i="1"/>
  <c r="N180" i="1"/>
  <c r="W179" i="1"/>
  <c r="T179" i="1"/>
  <c r="S179" i="1"/>
  <c r="R179" i="1"/>
  <c r="Q179" i="1"/>
  <c r="P179" i="1"/>
  <c r="O179" i="1"/>
  <c r="N179" i="1"/>
  <c r="W178" i="1"/>
  <c r="T178" i="1"/>
  <c r="S178" i="1"/>
  <c r="R178" i="1"/>
  <c r="Q178" i="1"/>
  <c r="P178" i="1"/>
  <c r="O178" i="1"/>
  <c r="N178" i="1"/>
  <c r="W177" i="1"/>
  <c r="T177" i="1"/>
  <c r="S177" i="1"/>
  <c r="R177" i="1"/>
  <c r="Q177" i="1"/>
  <c r="P177" i="1"/>
  <c r="O177" i="1"/>
  <c r="N177" i="1"/>
  <c r="W176" i="1"/>
  <c r="T176" i="1"/>
  <c r="S176" i="1"/>
  <c r="R176" i="1"/>
  <c r="Q176" i="1"/>
  <c r="P176" i="1"/>
  <c r="O176" i="1"/>
  <c r="N176" i="1"/>
  <c r="W175" i="1"/>
  <c r="T175" i="1"/>
  <c r="S175" i="1"/>
  <c r="R175" i="1"/>
  <c r="Q175" i="1"/>
  <c r="P175" i="1"/>
  <c r="O175" i="1"/>
  <c r="N175" i="1"/>
  <c r="W174" i="1"/>
  <c r="T174" i="1"/>
  <c r="S174" i="1"/>
  <c r="R174" i="1"/>
  <c r="Q174" i="1"/>
  <c r="P174" i="1"/>
  <c r="O174" i="1"/>
  <c r="N174" i="1"/>
  <c r="W173" i="1"/>
  <c r="T173" i="1"/>
  <c r="S173" i="1"/>
  <c r="R173" i="1"/>
  <c r="Q173" i="1"/>
  <c r="P173" i="1"/>
  <c r="O173" i="1"/>
  <c r="N173" i="1"/>
  <c r="W172" i="1"/>
  <c r="T172" i="1"/>
  <c r="S172" i="1"/>
  <c r="R172" i="1"/>
  <c r="Q172" i="1"/>
  <c r="P172" i="1"/>
  <c r="O172" i="1"/>
  <c r="N172" i="1"/>
  <c r="W171" i="1"/>
  <c r="T171" i="1"/>
  <c r="S171" i="1"/>
  <c r="R171" i="1"/>
  <c r="Q171" i="1"/>
  <c r="P171" i="1"/>
  <c r="O171" i="1"/>
  <c r="N171" i="1"/>
  <c r="W170" i="1"/>
  <c r="T170" i="1"/>
  <c r="S170" i="1"/>
  <c r="R170" i="1"/>
  <c r="Q170" i="1"/>
  <c r="P170" i="1"/>
  <c r="O170" i="1"/>
  <c r="N170" i="1"/>
  <c r="W169" i="1"/>
  <c r="T169" i="1"/>
  <c r="S169" i="1"/>
  <c r="R169" i="1"/>
  <c r="Q169" i="1"/>
  <c r="P169" i="1"/>
  <c r="O169" i="1"/>
  <c r="N169" i="1"/>
  <c r="W168" i="1"/>
  <c r="T168" i="1"/>
  <c r="S168" i="1"/>
  <c r="R168" i="1"/>
  <c r="Q168" i="1"/>
  <c r="P168" i="1"/>
  <c r="O168" i="1"/>
  <c r="N168" i="1"/>
  <c r="W167" i="1"/>
  <c r="T167" i="1"/>
  <c r="S167" i="1"/>
  <c r="R167" i="1"/>
  <c r="Q167" i="1"/>
  <c r="P167" i="1"/>
  <c r="O167" i="1"/>
  <c r="N167" i="1"/>
  <c r="W166" i="1"/>
  <c r="T166" i="1"/>
  <c r="S166" i="1"/>
  <c r="R166" i="1"/>
  <c r="Q166" i="1"/>
  <c r="P166" i="1"/>
  <c r="O166" i="1"/>
  <c r="N166" i="1"/>
  <c r="W165" i="1"/>
  <c r="T165" i="1"/>
  <c r="S165" i="1"/>
  <c r="R165" i="1"/>
  <c r="Q165" i="1"/>
  <c r="P165" i="1"/>
  <c r="O165" i="1"/>
  <c r="N165" i="1"/>
  <c r="W164" i="1"/>
  <c r="T164" i="1"/>
  <c r="S164" i="1"/>
  <c r="R164" i="1"/>
  <c r="Q164" i="1"/>
  <c r="P164" i="1"/>
  <c r="O164" i="1"/>
  <c r="N164" i="1"/>
  <c r="W163" i="1"/>
  <c r="T163" i="1"/>
  <c r="S163" i="1"/>
  <c r="R163" i="1"/>
  <c r="Q163" i="1"/>
  <c r="P163" i="1"/>
  <c r="O163" i="1"/>
  <c r="N163" i="1"/>
  <c r="W162" i="1"/>
  <c r="T162" i="1"/>
  <c r="S162" i="1"/>
  <c r="R162" i="1"/>
  <c r="Q162" i="1"/>
  <c r="P162" i="1"/>
  <c r="O162" i="1"/>
  <c r="N162" i="1"/>
  <c r="W161" i="1"/>
  <c r="T161" i="1"/>
  <c r="S161" i="1"/>
  <c r="R161" i="1"/>
  <c r="Q161" i="1"/>
  <c r="P161" i="1"/>
  <c r="O161" i="1"/>
  <c r="N161" i="1"/>
  <c r="W160" i="1"/>
  <c r="T160" i="1"/>
  <c r="S160" i="1"/>
  <c r="R160" i="1"/>
  <c r="Q160" i="1"/>
  <c r="P160" i="1"/>
  <c r="O160" i="1"/>
  <c r="N160" i="1"/>
  <c r="W159" i="1"/>
  <c r="T159" i="1"/>
  <c r="S159" i="1"/>
  <c r="R159" i="1"/>
  <c r="Q159" i="1"/>
  <c r="P159" i="1"/>
  <c r="O159" i="1"/>
  <c r="N159" i="1"/>
  <c r="W158" i="1"/>
  <c r="T158" i="1"/>
  <c r="S158" i="1"/>
  <c r="R158" i="1"/>
  <c r="Q158" i="1"/>
  <c r="P158" i="1"/>
  <c r="O158" i="1"/>
  <c r="N158" i="1"/>
  <c r="W157" i="1"/>
  <c r="T157" i="1"/>
  <c r="S157" i="1"/>
  <c r="R157" i="1"/>
  <c r="Q157" i="1"/>
  <c r="P157" i="1"/>
  <c r="O157" i="1"/>
  <c r="N157" i="1"/>
  <c r="W156" i="1"/>
  <c r="T156" i="1"/>
  <c r="S156" i="1"/>
  <c r="R156" i="1"/>
  <c r="Q156" i="1"/>
  <c r="P156" i="1"/>
  <c r="O156" i="1"/>
  <c r="N156" i="1"/>
  <c r="W155" i="1"/>
  <c r="T155" i="1"/>
  <c r="S155" i="1"/>
  <c r="R155" i="1"/>
  <c r="Q155" i="1"/>
  <c r="P155" i="1"/>
  <c r="O155" i="1"/>
  <c r="N155" i="1"/>
  <c r="W154" i="1"/>
  <c r="T154" i="1"/>
  <c r="S154" i="1"/>
  <c r="R154" i="1"/>
  <c r="Q154" i="1"/>
  <c r="P154" i="1"/>
  <c r="O154" i="1"/>
  <c r="N154" i="1"/>
  <c r="W153" i="1"/>
  <c r="T153" i="1"/>
  <c r="S153" i="1"/>
  <c r="R153" i="1"/>
  <c r="Q153" i="1"/>
  <c r="P153" i="1"/>
  <c r="O153" i="1"/>
  <c r="N153" i="1"/>
  <c r="W152" i="1"/>
  <c r="T152" i="1"/>
  <c r="S152" i="1"/>
  <c r="R152" i="1"/>
  <c r="Q152" i="1"/>
  <c r="P152" i="1"/>
  <c r="O152" i="1"/>
  <c r="N152" i="1"/>
  <c r="W151" i="1"/>
  <c r="T151" i="1"/>
  <c r="S151" i="1"/>
  <c r="R151" i="1"/>
  <c r="Q151" i="1"/>
  <c r="P151" i="1"/>
  <c r="O151" i="1"/>
  <c r="N151" i="1"/>
  <c r="W150" i="1"/>
  <c r="T150" i="1"/>
  <c r="S150" i="1"/>
  <c r="R150" i="1"/>
  <c r="Q150" i="1"/>
  <c r="P150" i="1"/>
  <c r="O150" i="1"/>
  <c r="N150" i="1"/>
  <c r="W149" i="1"/>
  <c r="T149" i="1"/>
  <c r="S149" i="1"/>
  <c r="R149" i="1"/>
  <c r="Q149" i="1"/>
  <c r="P149" i="1"/>
  <c r="O149" i="1"/>
  <c r="N149" i="1"/>
  <c r="W148" i="1"/>
  <c r="T148" i="1"/>
  <c r="S148" i="1"/>
  <c r="R148" i="1"/>
  <c r="Q148" i="1"/>
  <c r="P148" i="1"/>
  <c r="O148" i="1"/>
  <c r="N148" i="1"/>
  <c r="W147" i="1"/>
  <c r="T147" i="1"/>
  <c r="S147" i="1"/>
  <c r="R147" i="1"/>
  <c r="Q147" i="1"/>
  <c r="P147" i="1"/>
  <c r="O147" i="1"/>
  <c r="N147" i="1"/>
  <c r="W146" i="1"/>
  <c r="T146" i="1"/>
  <c r="S146" i="1"/>
  <c r="R146" i="1"/>
  <c r="Q146" i="1"/>
  <c r="P146" i="1"/>
  <c r="O146" i="1"/>
  <c r="N146" i="1"/>
  <c r="W145" i="1"/>
  <c r="T145" i="1"/>
  <c r="S145" i="1"/>
  <c r="R145" i="1"/>
  <c r="Q145" i="1"/>
  <c r="P145" i="1"/>
  <c r="O145" i="1"/>
  <c r="N145" i="1"/>
  <c r="W144" i="1"/>
  <c r="T144" i="1"/>
  <c r="S144" i="1"/>
  <c r="R144" i="1"/>
  <c r="Q144" i="1"/>
  <c r="P144" i="1"/>
  <c r="O144" i="1"/>
  <c r="N144" i="1"/>
  <c r="W143" i="1"/>
  <c r="T143" i="1"/>
  <c r="S143" i="1"/>
  <c r="R143" i="1"/>
  <c r="Q143" i="1"/>
  <c r="P143" i="1"/>
  <c r="O143" i="1"/>
  <c r="N143" i="1"/>
  <c r="W142" i="1"/>
  <c r="T142" i="1"/>
  <c r="S142" i="1"/>
  <c r="R142" i="1"/>
  <c r="Q142" i="1"/>
  <c r="P142" i="1"/>
  <c r="O142" i="1"/>
  <c r="N142" i="1"/>
  <c r="W141" i="1"/>
  <c r="T141" i="1"/>
  <c r="S141" i="1"/>
  <c r="R141" i="1"/>
  <c r="Q141" i="1"/>
  <c r="P141" i="1"/>
  <c r="O141" i="1"/>
  <c r="N141" i="1"/>
  <c r="W140" i="1"/>
  <c r="T140" i="1"/>
  <c r="S140" i="1"/>
  <c r="R140" i="1"/>
  <c r="Q140" i="1"/>
  <c r="P140" i="1"/>
  <c r="O140" i="1"/>
  <c r="N140" i="1"/>
  <c r="W139" i="1"/>
  <c r="T139" i="1"/>
  <c r="S139" i="1"/>
  <c r="R139" i="1"/>
  <c r="Q139" i="1"/>
  <c r="P139" i="1"/>
  <c r="O139" i="1"/>
  <c r="N139" i="1"/>
  <c r="W138" i="1"/>
  <c r="T138" i="1"/>
  <c r="S138" i="1"/>
  <c r="R138" i="1"/>
  <c r="Q138" i="1"/>
  <c r="P138" i="1"/>
  <c r="O138" i="1"/>
  <c r="N138" i="1"/>
  <c r="W137" i="1"/>
  <c r="T137" i="1"/>
  <c r="S137" i="1"/>
  <c r="R137" i="1"/>
  <c r="Q137" i="1"/>
  <c r="P137" i="1"/>
  <c r="O137" i="1"/>
  <c r="N137" i="1"/>
  <c r="W136" i="1"/>
  <c r="T136" i="1"/>
  <c r="S136" i="1"/>
  <c r="R136" i="1"/>
  <c r="Q136" i="1"/>
  <c r="P136" i="1"/>
  <c r="O136" i="1"/>
  <c r="N136" i="1"/>
  <c r="W135" i="1"/>
  <c r="T135" i="1"/>
  <c r="S135" i="1"/>
  <c r="R135" i="1"/>
  <c r="Q135" i="1"/>
  <c r="P135" i="1"/>
  <c r="O135" i="1"/>
  <c r="N135" i="1"/>
  <c r="W134" i="1"/>
  <c r="T134" i="1"/>
  <c r="S134" i="1"/>
  <c r="R134" i="1"/>
  <c r="Q134" i="1"/>
  <c r="P134" i="1"/>
  <c r="O134" i="1"/>
  <c r="N134" i="1"/>
  <c r="W133" i="1"/>
  <c r="T133" i="1"/>
  <c r="S133" i="1"/>
  <c r="R133" i="1"/>
  <c r="Q133" i="1"/>
  <c r="P133" i="1"/>
  <c r="O133" i="1"/>
  <c r="N133" i="1"/>
  <c r="W132" i="1"/>
  <c r="T132" i="1"/>
  <c r="S132" i="1"/>
  <c r="R132" i="1"/>
  <c r="Q132" i="1"/>
  <c r="P132" i="1"/>
  <c r="O132" i="1"/>
  <c r="N132" i="1"/>
  <c r="W131" i="1"/>
  <c r="T131" i="1"/>
  <c r="S131" i="1"/>
  <c r="R131" i="1"/>
  <c r="Q131" i="1"/>
  <c r="P131" i="1"/>
  <c r="O131" i="1"/>
  <c r="N131" i="1"/>
  <c r="W130" i="1"/>
  <c r="T130" i="1"/>
  <c r="S130" i="1"/>
  <c r="R130" i="1"/>
  <c r="Q130" i="1"/>
  <c r="P130" i="1"/>
  <c r="O130" i="1"/>
  <c r="N130" i="1"/>
  <c r="W129" i="1"/>
  <c r="T129" i="1"/>
  <c r="S129" i="1"/>
  <c r="R129" i="1"/>
  <c r="Q129" i="1"/>
  <c r="P129" i="1"/>
  <c r="O129" i="1"/>
  <c r="N129" i="1"/>
  <c r="W128" i="1"/>
  <c r="T128" i="1"/>
  <c r="S128" i="1"/>
  <c r="R128" i="1"/>
  <c r="Q128" i="1"/>
  <c r="P128" i="1"/>
  <c r="O128" i="1"/>
  <c r="N128" i="1"/>
  <c r="W127" i="1"/>
  <c r="T127" i="1"/>
  <c r="S127" i="1"/>
  <c r="R127" i="1"/>
  <c r="Q127" i="1"/>
  <c r="P127" i="1"/>
  <c r="O127" i="1"/>
  <c r="N127" i="1"/>
  <c r="W126" i="1"/>
  <c r="T126" i="1"/>
  <c r="S126" i="1"/>
  <c r="R126" i="1"/>
  <c r="Q126" i="1"/>
  <c r="P126" i="1"/>
  <c r="O126" i="1"/>
  <c r="N126" i="1"/>
  <c r="W125" i="1"/>
  <c r="T125" i="1"/>
  <c r="S125" i="1"/>
  <c r="R125" i="1"/>
  <c r="Q125" i="1"/>
  <c r="P125" i="1"/>
  <c r="O125" i="1"/>
  <c r="N125" i="1"/>
  <c r="W124" i="1"/>
  <c r="T124" i="1"/>
  <c r="S124" i="1"/>
  <c r="R124" i="1"/>
  <c r="Q124" i="1"/>
  <c r="P124" i="1"/>
  <c r="O124" i="1"/>
  <c r="N124" i="1"/>
  <c r="W123" i="1"/>
  <c r="T123" i="1"/>
  <c r="S123" i="1"/>
  <c r="R123" i="1"/>
  <c r="Q123" i="1"/>
  <c r="P123" i="1"/>
  <c r="O123" i="1"/>
  <c r="N123" i="1"/>
  <c r="W122" i="1"/>
  <c r="T122" i="1"/>
  <c r="S122" i="1"/>
  <c r="R122" i="1"/>
  <c r="Q122" i="1"/>
  <c r="P122" i="1"/>
  <c r="O122" i="1"/>
  <c r="N122" i="1"/>
  <c r="W121" i="1"/>
  <c r="T121" i="1"/>
  <c r="S121" i="1"/>
  <c r="R121" i="1"/>
  <c r="Q121" i="1"/>
  <c r="P121" i="1"/>
  <c r="O121" i="1"/>
  <c r="N121" i="1"/>
  <c r="W120" i="1"/>
  <c r="T120" i="1"/>
  <c r="S120" i="1"/>
  <c r="R120" i="1"/>
  <c r="Q120" i="1"/>
  <c r="P120" i="1"/>
  <c r="O120" i="1"/>
  <c r="N120" i="1"/>
  <c r="W119" i="1"/>
  <c r="T119" i="1"/>
  <c r="S119" i="1"/>
  <c r="R119" i="1"/>
  <c r="Q119" i="1"/>
  <c r="P119" i="1"/>
  <c r="O119" i="1"/>
  <c r="N119" i="1"/>
  <c r="W118" i="1"/>
  <c r="T118" i="1"/>
  <c r="S118" i="1"/>
  <c r="R118" i="1"/>
  <c r="Q118" i="1"/>
  <c r="P118" i="1"/>
  <c r="O118" i="1"/>
  <c r="N118" i="1"/>
  <c r="W117" i="1"/>
  <c r="T117" i="1"/>
  <c r="S117" i="1"/>
  <c r="R117" i="1"/>
  <c r="Q117" i="1"/>
  <c r="P117" i="1"/>
  <c r="O117" i="1"/>
  <c r="N117" i="1"/>
  <c r="W116" i="1"/>
  <c r="T116" i="1"/>
  <c r="S116" i="1"/>
  <c r="R116" i="1"/>
  <c r="Q116" i="1"/>
  <c r="P116" i="1"/>
  <c r="O116" i="1"/>
  <c r="N116" i="1"/>
  <c r="W115" i="1"/>
  <c r="T115" i="1"/>
  <c r="S115" i="1"/>
  <c r="R115" i="1"/>
  <c r="Q115" i="1"/>
  <c r="P115" i="1"/>
  <c r="O115" i="1"/>
  <c r="N115" i="1"/>
  <c r="W114" i="1"/>
  <c r="T114" i="1"/>
  <c r="S114" i="1"/>
  <c r="R114" i="1"/>
  <c r="Q114" i="1"/>
  <c r="P114" i="1"/>
  <c r="O114" i="1"/>
  <c r="N114" i="1"/>
  <c r="W113" i="1"/>
  <c r="T113" i="1"/>
  <c r="S113" i="1"/>
  <c r="R113" i="1"/>
  <c r="Q113" i="1"/>
  <c r="P113" i="1"/>
  <c r="O113" i="1"/>
  <c r="N113" i="1"/>
  <c r="W112" i="1"/>
  <c r="T112" i="1"/>
  <c r="S112" i="1"/>
  <c r="R112" i="1"/>
  <c r="Q112" i="1"/>
  <c r="P112" i="1"/>
  <c r="O112" i="1"/>
  <c r="N112" i="1"/>
  <c r="W111" i="1"/>
  <c r="T111" i="1"/>
  <c r="S111" i="1"/>
  <c r="R111" i="1"/>
  <c r="Q111" i="1"/>
  <c r="P111" i="1"/>
  <c r="O111" i="1"/>
  <c r="N111" i="1"/>
  <c r="W110" i="1"/>
  <c r="T110" i="1"/>
  <c r="S110" i="1"/>
  <c r="R110" i="1"/>
  <c r="Q110" i="1"/>
  <c r="P110" i="1"/>
  <c r="O110" i="1"/>
  <c r="N110" i="1"/>
  <c r="W109" i="1"/>
  <c r="T109" i="1"/>
  <c r="S109" i="1"/>
  <c r="R109" i="1"/>
  <c r="Q109" i="1"/>
  <c r="P109" i="1"/>
  <c r="O109" i="1"/>
  <c r="N109" i="1"/>
  <c r="W108" i="1"/>
  <c r="T108" i="1"/>
  <c r="S108" i="1"/>
  <c r="R108" i="1"/>
  <c r="Q108" i="1"/>
  <c r="P108" i="1"/>
  <c r="O108" i="1"/>
  <c r="N108" i="1"/>
  <c r="W107" i="1"/>
  <c r="T107" i="1"/>
  <c r="S107" i="1"/>
  <c r="R107" i="1"/>
  <c r="Q107" i="1"/>
  <c r="P107" i="1"/>
  <c r="O107" i="1"/>
  <c r="N107" i="1"/>
  <c r="W106" i="1"/>
  <c r="T106" i="1"/>
  <c r="S106" i="1"/>
  <c r="R106" i="1"/>
  <c r="Q106" i="1"/>
  <c r="P106" i="1"/>
  <c r="O106" i="1"/>
  <c r="N106" i="1"/>
  <c r="W105" i="1"/>
  <c r="T105" i="1"/>
  <c r="S105" i="1"/>
  <c r="R105" i="1"/>
  <c r="Q105" i="1"/>
  <c r="P105" i="1"/>
  <c r="O105" i="1"/>
  <c r="N105" i="1"/>
  <c r="W104" i="1"/>
  <c r="T104" i="1"/>
  <c r="S104" i="1"/>
  <c r="R104" i="1"/>
  <c r="Q104" i="1"/>
  <c r="P104" i="1"/>
  <c r="O104" i="1"/>
  <c r="N104" i="1"/>
  <c r="W103" i="1"/>
  <c r="T103" i="1"/>
  <c r="S103" i="1"/>
  <c r="R103" i="1"/>
  <c r="Q103" i="1"/>
  <c r="P103" i="1"/>
  <c r="O103" i="1"/>
  <c r="N103" i="1"/>
  <c r="W102" i="1"/>
  <c r="T102" i="1"/>
  <c r="S102" i="1"/>
  <c r="R102" i="1"/>
  <c r="Q102" i="1"/>
  <c r="P102" i="1"/>
  <c r="O102" i="1"/>
  <c r="N102" i="1"/>
  <c r="W101" i="1"/>
  <c r="T101" i="1"/>
  <c r="S101" i="1"/>
  <c r="R101" i="1"/>
  <c r="Q101" i="1"/>
  <c r="P101" i="1"/>
  <c r="O101" i="1"/>
  <c r="N101" i="1"/>
  <c r="W100" i="1"/>
  <c r="T100" i="1"/>
  <c r="S100" i="1"/>
  <c r="R100" i="1"/>
  <c r="Q100" i="1"/>
  <c r="P100" i="1"/>
  <c r="O100" i="1"/>
  <c r="N100" i="1"/>
  <c r="W99" i="1"/>
  <c r="T99" i="1"/>
  <c r="S99" i="1"/>
  <c r="R99" i="1"/>
  <c r="Q99" i="1"/>
  <c r="P99" i="1"/>
  <c r="O99" i="1"/>
  <c r="N99" i="1"/>
  <c r="W98" i="1"/>
  <c r="T98" i="1"/>
  <c r="S98" i="1"/>
  <c r="R98" i="1"/>
  <c r="Q98" i="1"/>
  <c r="P98" i="1"/>
  <c r="O98" i="1"/>
  <c r="N98" i="1"/>
  <c r="W97" i="1"/>
  <c r="T97" i="1"/>
  <c r="S97" i="1"/>
  <c r="R97" i="1"/>
  <c r="Q97" i="1"/>
  <c r="P97" i="1"/>
  <c r="O97" i="1"/>
  <c r="N97" i="1"/>
  <c r="W96" i="1"/>
  <c r="T96" i="1"/>
  <c r="S96" i="1"/>
  <c r="R96" i="1"/>
  <c r="Q96" i="1"/>
  <c r="P96" i="1"/>
  <c r="O96" i="1"/>
  <c r="N96" i="1"/>
  <c r="W95" i="1"/>
  <c r="T95" i="1"/>
  <c r="S95" i="1"/>
  <c r="R95" i="1"/>
  <c r="Q95" i="1"/>
  <c r="P95" i="1"/>
  <c r="O95" i="1"/>
  <c r="N95" i="1"/>
  <c r="W94" i="1"/>
  <c r="T94" i="1"/>
  <c r="S94" i="1"/>
  <c r="R94" i="1"/>
  <c r="Q94" i="1"/>
  <c r="P94" i="1"/>
  <c r="O94" i="1"/>
  <c r="N94" i="1"/>
  <c r="W93" i="1"/>
  <c r="T93" i="1"/>
  <c r="S93" i="1"/>
  <c r="R93" i="1"/>
  <c r="Q93" i="1"/>
  <c r="P93" i="1"/>
  <c r="O93" i="1"/>
  <c r="N93" i="1"/>
  <c r="W92" i="1"/>
  <c r="T92" i="1"/>
  <c r="S92" i="1"/>
  <c r="R92" i="1"/>
  <c r="Q92" i="1"/>
  <c r="P92" i="1"/>
  <c r="O92" i="1"/>
  <c r="N92" i="1"/>
  <c r="W91" i="1"/>
  <c r="T91" i="1"/>
  <c r="S91" i="1"/>
  <c r="R91" i="1"/>
  <c r="Q91" i="1"/>
  <c r="P91" i="1"/>
  <c r="O91" i="1"/>
  <c r="N91" i="1"/>
  <c r="W90" i="1"/>
  <c r="T90" i="1"/>
  <c r="S90" i="1"/>
  <c r="R90" i="1"/>
  <c r="Q90" i="1"/>
  <c r="P90" i="1"/>
  <c r="O90" i="1"/>
  <c r="N90" i="1"/>
  <c r="W89" i="1"/>
  <c r="T89" i="1"/>
  <c r="S89" i="1"/>
  <c r="R89" i="1"/>
  <c r="Q89" i="1"/>
  <c r="P89" i="1"/>
  <c r="O89" i="1"/>
  <c r="N89" i="1"/>
  <c r="W88" i="1"/>
  <c r="T88" i="1"/>
  <c r="S88" i="1"/>
  <c r="R88" i="1"/>
  <c r="Q88" i="1"/>
  <c r="P88" i="1"/>
  <c r="O88" i="1"/>
  <c r="N88" i="1"/>
  <c r="W87" i="1"/>
  <c r="T87" i="1"/>
  <c r="S87" i="1"/>
  <c r="R87" i="1"/>
  <c r="Q87" i="1"/>
  <c r="P87" i="1"/>
  <c r="O87" i="1"/>
  <c r="N87" i="1"/>
  <c r="W86" i="1"/>
  <c r="T86" i="1"/>
  <c r="S86" i="1"/>
  <c r="R86" i="1"/>
  <c r="Q86" i="1"/>
  <c r="P86" i="1"/>
  <c r="O86" i="1"/>
  <c r="N86" i="1"/>
  <c r="W85" i="1"/>
  <c r="T85" i="1"/>
  <c r="S85" i="1"/>
  <c r="R85" i="1"/>
  <c r="Q85" i="1"/>
  <c r="P85" i="1"/>
  <c r="O85" i="1"/>
  <c r="N85" i="1"/>
  <c r="W84" i="1"/>
  <c r="T84" i="1"/>
  <c r="S84" i="1"/>
  <c r="R84" i="1"/>
  <c r="Q84" i="1"/>
  <c r="P84" i="1"/>
  <c r="O84" i="1"/>
  <c r="N84" i="1"/>
  <c r="W83" i="1"/>
  <c r="T83" i="1"/>
  <c r="S83" i="1"/>
  <c r="R83" i="1"/>
  <c r="Q83" i="1"/>
  <c r="P83" i="1"/>
  <c r="O83" i="1"/>
  <c r="N83" i="1"/>
  <c r="W82" i="1"/>
  <c r="T82" i="1"/>
  <c r="S82" i="1"/>
  <c r="R82" i="1"/>
  <c r="Q82" i="1"/>
  <c r="P82" i="1"/>
  <c r="O82" i="1"/>
  <c r="N82" i="1"/>
  <c r="W81" i="1"/>
  <c r="T81" i="1"/>
  <c r="S81" i="1"/>
  <c r="R81" i="1"/>
  <c r="Q81" i="1"/>
  <c r="P81" i="1"/>
  <c r="O81" i="1"/>
  <c r="N81" i="1"/>
  <c r="W80" i="1"/>
  <c r="T80" i="1"/>
  <c r="S80" i="1"/>
  <c r="R80" i="1"/>
  <c r="Q80" i="1"/>
  <c r="P80" i="1"/>
  <c r="O80" i="1"/>
  <c r="N80" i="1"/>
  <c r="W79" i="1"/>
  <c r="T79" i="1"/>
  <c r="S79" i="1"/>
  <c r="R79" i="1"/>
  <c r="Q79" i="1"/>
  <c r="P79" i="1"/>
  <c r="O79" i="1"/>
  <c r="N79" i="1"/>
  <c r="W78" i="1"/>
  <c r="T78" i="1"/>
  <c r="S78" i="1"/>
  <c r="R78" i="1"/>
  <c r="Q78" i="1"/>
  <c r="P78" i="1"/>
  <c r="O78" i="1"/>
  <c r="N78" i="1"/>
  <c r="W77" i="1"/>
  <c r="T77" i="1"/>
  <c r="S77" i="1"/>
  <c r="R77" i="1"/>
  <c r="Q77" i="1"/>
  <c r="P77" i="1"/>
  <c r="O77" i="1"/>
  <c r="N77" i="1"/>
  <c r="W76" i="1"/>
  <c r="T76" i="1"/>
  <c r="S76" i="1"/>
  <c r="R76" i="1"/>
  <c r="Q76" i="1"/>
  <c r="P76" i="1"/>
  <c r="O76" i="1"/>
  <c r="N76" i="1"/>
  <c r="W75" i="1"/>
  <c r="T75" i="1"/>
  <c r="S75" i="1"/>
  <c r="R75" i="1"/>
  <c r="Q75" i="1"/>
  <c r="P75" i="1"/>
  <c r="O75" i="1"/>
  <c r="N75" i="1"/>
  <c r="W74" i="1"/>
  <c r="T74" i="1"/>
  <c r="S74" i="1"/>
  <c r="R74" i="1"/>
  <c r="Q74" i="1"/>
  <c r="P74" i="1"/>
  <c r="O74" i="1"/>
  <c r="N74" i="1"/>
  <c r="W73" i="1"/>
  <c r="T73" i="1"/>
  <c r="S73" i="1"/>
  <c r="R73" i="1"/>
  <c r="Q73" i="1"/>
  <c r="P73" i="1"/>
  <c r="O73" i="1"/>
  <c r="N73" i="1"/>
  <c r="W72" i="1"/>
  <c r="T72" i="1"/>
  <c r="S72" i="1"/>
  <c r="R72" i="1"/>
  <c r="Q72" i="1"/>
  <c r="P72" i="1"/>
  <c r="O72" i="1"/>
  <c r="N72" i="1"/>
  <c r="W71" i="1"/>
  <c r="T71" i="1"/>
  <c r="S71" i="1"/>
  <c r="R71" i="1"/>
  <c r="Q71" i="1"/>
  <c r="P71" i="1"/>
  <c r="O71" i="1"/>
  <c r="N71" i="1"/>
  <c r="W70" i="1"/>
  <c r="T70" i="1"/>
  <c r="S70" i="1"/>
  <c r="R70" i="1"/>
  <c r="Q70" i="1"/>
  <c r="P70" i="1"/>
  <c r="O70" i="1"/>
  <c r="N70" i="1"/>
  <c r="W69" i="1"/>
  <c r="T69" i="1"/>
  <c r="S69" i="1"/>
  <c r="R69" i="1"/>
  <c r="Q69" i="1"/>
  <c r="P69" i="1"/>
  <c r="O69" i="1"/>
  <c r="N69" i="1"/>
  <c r="W68" i="1"/>
  <c r="T68" i="1"/>
  <c r="S68" i="1"/>
  <c r="R68" i="1"/>
  <c r="Q68" i="1"/>
  <c r="P68" i="1"/>
  <c r="O68" i="1"/>
  <c r="N68" i="1"/>
  <c r="W67" i="1"/>
  <c r="T67" i="1"/>
  <c r="S67" i="1"/>
  <c r="R67" i="1"/>
  <c r="Q67" i="1"/>
  <c r="P67" i="1"/>
  <c r="O67" i="1"/>
  <c r="N67" i="1"/>
  <c r="W66" i="1"/>
  <c r="T66" i="1"/>
  <c r="S66" i="1"/>
  <c r="R66" i="1"/>
  <c r="Q66" i="1"/>
  <c r="P66" i="1"/>
  <c r="O66" i="1"/>
  <c r="N66" i="1"/>
  <c r="W65" i="1"/>
  <c r="T65" i="1"/>
  <c r="S65" i="1"/>
  <c r="R65" i="1"/>
  <c r="Q65" i="1"/>
  <c r="P65" i="1"/>
  <c r="O65" i="1"/>
  <c r="N65" i="1"/>
  <c r="W64" i="1"/>
  <c r="T64" i="1"/>
  <c r="S64" i="1"/>
  <c r="R64" i="1"/>
  <c r="Q64" i="1"/>
  <c r="P64" i="1"/>
  <c r="O64" i="1"/>
  <c r="N64" i="1"/>
  <c r="W63" i="1"/>
  <c r="T63" i="1"/>
  <c r="S63" i="1"/>
  <c r="R63" i="1"/>
  <c r="Q63" i="1"/>
  <c r="P63" i="1"/>
  <c r="O63" i="1"/>
  <c r="N63" i="1"/>
  <c r="W62" i="1"/>
  <c r="T62" i="1"/>
  <c r="S62" i="1"/>
  <c r="R62" i="1"/>
  <c r="Q62" i="1"/>
  <c r="P62" i="1"/>
  <c r="O62" i="1"/>
  <c r="N62" i="1"/>
  <c r="W61" i="1"/>
  <c r="T61" i="1"/>
  <c r="S61" i="1"/>
  <c r="R61" i="1"/>
  <c r="Q61" i="1"/>
  <c r="P61" i="1"/>
  <c r="O61" i="1"/>
  <c r="N61" i="1"/>
  <c r="W60" i="1"/>
  <c r="T60" i="1"/>
  <c r="S60" i="1"/>
  <c r="R60" i="1"/>
  <c r="Q60" i="1"/>
  <c r="P60" i="1"/>
  <c r="O60" i="1"/>
  <c r="N60" i="1"/>
  <c r="W59" i="1"/>
  <c r="T59" i="1"/>
  <c r="S59" i="1"/>
  <c r="R59" i="1"/>
  <c r="Q59" i="1"/>
  <c r="P59" i="1"/>
  <c r="O59" i="1"/>
  <c r="N59" i="1"/>
  <c r="W58" i="1"/>
  <c r="T58" i="1"/>
  <c r="S58" i="1"/>
  <c r="R58" i="1"/>
  <c r="Q58" i="1"/>
  <c r="P58" i="1"/>
  <c r="O58" i="1"/>
  <c r="N58" i="1"/>
  <c r="W57" i="1"/>
  <c r="T57" i="1"/>
  <c r="S57" i="1"/>
  <c r="R57" i="1"/>
  <c r="Q57" i="1"/>
  <c r="P57" i="1"/>
  <c r="O57" i="1"/>
  <c r="N57" i="1"/>
  <c r="W56" i="1"/>
  <c r="T56" i="1"/>
  <c r="S56" i="1"/>
  <c r="R56" i="1"/>
  <c r="Q56" i="1"/>
  <c r="P56" i="1"/>
  <c r="O56" i="1"/>
  <c r="N56" i="1"/>
  <c r="W55" i="1"/>
  <c r="T55" i="1"/>
  <c r="S55" i="1"/>
  <c r="R55" i="1"/>
  <c r="Q55" i="1"/>
  <c r="P55" i="1"/>
  <c r="O55" i="1"/>
  <c r="N55" i="1"/>
  <c r="W54" i="1"/>
  <c r="T54" i="1"/>
  <c r="S54" i="1"/>
  <c r="R54" i="1"/>
  <c r="Q54" i="1"/>
  <c r="P54" i="1"/>
  <c r="O54" i="1"/>
  <c r="N54" i="1"/>
  <c r="W53" i="1"/>
  <c r="T53" i="1"/>
  <c r="S53" i="1"/>
  <c r="R53" i="1"/>
  <c r="Q53" i="1"/>
  <c r="P53" i="1"/>
  <c r="O53" i="1"/>
  <c r="N53" i="1"/>
  <c r="W52" i="1"/>
  <c r="T52" i="1"/>
  <c r="S52" i="1"/>
  <c r="R52" i="1"/>
  <c r="Q52" i="1"/>
  <c r="P52" i="1"/>
  <c r="O52" i="1"/>
  <c r="N52" i="1"/>
  <c r="W51" i="1"/>
  <c r="T51" i="1"/>
  <c r="S51" i="1"/>
  <c r="R51" i="1"/>
  <c r="Q51" i="1"/>
  <c r="P51" i="1"/>
  <c r="O51" i="1"/>
  <c r="N51" i="1"/>
  <c r="W50" i="1"/>
  <c r="T50" i="1"/>
  <c r="S50" i="1"/>
  <c r="R50" i="1"/>
  <c r="Q50" i="1"/>
  <c r="P50" i="1"/>
  <c r="O50" i="1"/>
  <c r="N50" i="1"/>
  <c r="W49" i="1"/>
  <c r="T49" i="1"/>
  <c r="S49" i="1"/>
  <c r="R49" i="1"/>
  <c r="Q49" i="1"/>
  <c r="P49" i="1"/>
  <c r="O49" i="1"/>
  <c r="N49" i="1"/>
  <c r="W48" i="1"/>
  <c r="T48" i="1"/>
  <c r="S48" i="1"/>
  <c r="R48" i="1"/>
  <c r="Q48" i="1"/>
  <c r="P48" i="1"/>
  <c r="O48" i="1"/>
  <c r="N48" i="1"/>
  <c r="W47" i="1"/>
  <c r="T47" i="1"/>
  <c r="S47" i="1"/>
  <c r="R47" i="1"/>
  <c r="Q47" i="1"/>
  <c r="P47" i="1"/>
  <c r="O47" i="1"/>
  <c r="N47" i="1"/>
  <c r="W46" i="1"/>
  <c r="T46" i="1"/>
  <c r="S46" i="1"/>
  <c r="R46" i="1"/>
  <c r="Q46" i="1"/>
  <c r="P46" i="1"/>
  <c r="O46" i="1"/>
  <c r="N46" i="1"/>
  <c r="W45" i="1"/>
  <c r="T45" i="1"/>
  <c r="S45" i="1"/>
  <c r="R45" i="1"/>
  <c r="Q45" i="1"/>
  <c r="P45" i="1"/>
  <c r="O45" i="1"/>
  <c r="N45" i="1"/>
  <c r="W44" i="1"/>
  <c r="T44" i="1"/>
  <c r="S44" i="1"/>
  <c r="R44" i="1"/>
  <c r="Q44" i="1"/>
  <c r="P44" i="1"/>
  <c r="O44" i="1"/>
  <c r="N44" i="1"/>
  <c r="W43" i="1"/>
  <c r="T43" i="1"/>
  <c r="S43" i="1"/>
  <c r="R43" i="1"/>
  <c r="Q43" i="1"/>
  <c r="P43" i="1"/>
  <c r="O43" i="1"/>
  <c r="N43" i="1"/>
  <c r="W42" i="1"/>
  <c r="T42" i="1"/>
  <c r="S42" i="1"/>
  <c r="R42" i="1"/>
  <c r="Q42" i="1"/>
  <c r="P42" i="1"/>
  <c r="O42" i="1"/>
  <c r="N42" i="1"/>
  <c r="W41" i="1"/>
  <c r="T41" i="1"/>
  <c r="S41" i="1"/>
  <c r="R41" i="1"/>
  <c r="Q41" i="1"/>
  <c r="P41" i="1"/>
  <c r="O41" i="1"/>
  <c r="N41" i="1"/>
  <c r="W40" i="1"/>
  <c r="T40" i="1"/>
  <c r="S40" i="1"/>
  <c r="R40" i="1"/>
  <c r="Q40" i="1"/>
  <c r="P40" i="1"/>
  <c r="O40" i="1"/>
  <c r="N40" i="1"/>
  <c r="W39" i="1"/>
  <c r="T39" i="1"/>
  <c r="S39" i="1"/>
  <c r="R39" i="1"/>
  <c r="Q39" i="1"/>
  <c r="P39" i="1"/>
  <c r="O39" i="1"/>
  <c r="N39" i="1"/>
  <c r="W38" i="1"/>
  <c r="T38" i="1"/>
  <c r="S38" i="1"/>
  <c r="R38" i="1"/>
  <c r="Q38" i="1"/>
  <c r="P38" i="1"/>
  <c r="O38" i="1"/>
  <c r="N38" i="1"/>
  <c r="W37" i="1"/>
  <c r="T37" i="1"/>
  <c r="S37" i="1"/>
  <c r="R37" i="1"/>
  <c r="Q37" i="1"/>
  <c r="P37" i="1"/>
  <c r="O37" i="1"/>
  <c r="N37" i="1"/>
  <c r="W36" i="1"/>
  <c r="T36" i="1"/>
  <c r="S36" i="1"/>
  <c r="R36" i="1"/>
  <c r="Q36" i="1"/>
  <c r="P36" i="1"/>
  <c r="O36" i="1"/>
  <c r="N36" i="1"/>
  <c r="W35" i="1"/>
  <c r="T35" i="1"/>
  <c r="S35" i="1"/>
  <c r="R35" i="1"/>
  <c r="Q35" i="1"/>
  <c r="P35" i="1"/>
  <c r="O35" i="1"/>
  <c r="N35" i="1"/>
  <c r="W34" i="1"/>
  <c r="T34" i="1"/>
  <c r="S34" i="1"/>
  <c r="R34" i="1"/>
  <c r="Q34" i="1"/>
  <c r="P34" i="1"/>
  <c r="O34" i="1"/>
  <c r="N34" i="1"/>
  <c r="W33" i="1"/>
  <c r="T33" i="1"/>
  <c r="S33" i="1"/>
  <c r="R33" i="1"/>
  <c r="Q33" i="1"/>
  <c r="P33" i="1"/>
  <c r="O33" i="1"/>
  <c r="N33" i="1"/>
  <c r="W32" i="1"/>
  <c r="T32" i="1"/>
  <c r="S32" i="1"/>
  <c r="R32" i="1"/>
  <c r="Q32" i="1"/>
  <c r="P32" i="1"/>
  <c r="O32" i="1"/>
  <c r="N32" i="1"/>
  <c r="W31" i="1"/>
  <c r="T31" i="1"/>
  <c r="S31" i="1"/>
  <c r="R31" i="1"/>
  <c r="Q31" i="1"/>
  <c r="P31" i="1"/>
  <c r="O31" i="1"/>
  <c r="N31" i="1"/>
  <c r="W30" i="1"/>
  <c r="T30" i="1"/>
  <c r="S30" i="1"/>
  <c r="R30" i="1"/>
  <c r="Q30" i="1"/>
  <c r="P30" i="1"/>
  <c r="O30" i="1"/>
  <c r="N30" i="1"/>
  <c r="W29" i="1"/>
  <c r="T29" i="1"/>
  <c r="S29" i="1"/>
  <c r="R29" i="1"/>
  <c r="Q29" i="1"/>
  <c r="P29" i="1"/>
  <c r="O29" i="1"/>
  <c r="N29" i="1"/>
  <c r="W28" i="1"/>
  <c r="T28" i="1"/>
  <c r="S28" i="1"/>
  <c r="R28" i="1"/>
  <c r="Q28" i="1"/>
  <c r="P28" i="1"/>
  <c r="O28" i="1"/>
  <c r="N28" i="1"/>
  <c r="W27" i="1"/>
  <c r="T27" i="1"/>
  <c r="S27" i="1"/>
  <c r="R27" i="1"/>
  <c r="Q27" i="1"/>
  <c r="P27" i="1"/>
  <c r="O27" i="1"/>
  <c r="N27" i="1"/>
  <c r="W26" i="1"/>
  <c r="T26" i="1"/>
  <c r="S26" i="1"/>
  <c r="R26" i="1"/>
  <c r="Q26" i="1"/>
  <c r="P26" i="1"/>
  <c r="O26" i="1"/>
  <c r="N26" i="1"/>
  <c r="W25" i="1"/>
  <c r="T25" i="1"/>
  <c r="S25" i="1"/>
  <c r="R25" i="1"/>
  <c r="Q25" i="1"/>
  <c r="P25" i="1"/>
  <c r="O25" i="1"/>
  <c r="N25" i="1"/>
  <c r="W24" i="1"/>
  <c r="T24" i="1"/>
  <c r="S24" i="1"/>
  <c r="R24" i="1"/>
  <c r="Q24" i="1"/>
  <c r="P24" i="1"/>
  <c r="O24" i="1"/>
  <c r="N24" i="1"/>
  <c r="W23" i="1"/>
  <c r="T23" i="1"/>
  <c r="S23" i="1"/>
  <c r="R23" i="1"/>
  <c r="Q23" i="1"/>
  <c r="P23" i="1"/>
  <c r="O23" i="1"/>
  <c r="N23" i="1"/>
  <c r="W22" i="1"/>
  <c r="T22" i="1"/>
  <c r="S22" i="1"/>
  <c r="R22" i="1"/>
  <c r="Q22" i="1"/>
  <c r="P22" i="1"/>
  <c r="O22" i="1"/>
  <c r="N22" i="1"/>
  <c r="W21" i="1"/>
  <c r="T21" i="1"/>
  <c r="S21" i="1"/>
  <c r="R21" i="1"/>
  <c r="Q21" i="1"/>
  <c r="P21" i="1"/>
  <c r="O21" i="1"/>
  <c r="N21" i="1"/>
  <c r="W20" i="1"/>
  <c r="T20" i="1"/>
  <c r="S20" i="1"/>
  <c r="R20" i="1"/>
  <c r="Q20" i="1"/>
  <c r="P20" i="1"/>
  <c r="O20" i="1"/>
  <c r="N20" i="1"/>
  <c r="W19" i="1"/>
  <c r="T19" i="1"/>
  <c r="S19" i="1"/>
  <c r="R19" i="1"/>
  <c r="Q19" i="1"/>
  <c r="P19" i="1"/>
  <c r="O19" i="1"/>
  <c r="N19" i="1"/>
  <c r="W18" i="1"/>
  <c r="T18" i="1"/>
  <c r="S18" i="1"/>
  <c r="R18" i="1"/>
  <c r="Q18" i="1"/>
  <c r="P18" i="1"/>
  <c r="O18" i="1"/>
  <c r="N18" i="1"/>
  <c r="W17" i="1"/>
  <c r="T17" i="1"/>
  <c r="S17" i="1"/>
  <c r="R17" i="1"/>
  <c r="Q17" i="1"/>
  <c r="P17" i="1"/>
  <c r="O17" i="1"/>
  <c r="N17" i="1"/>
  <c r="W16" i="1"/>
  <c r="T16" i="1"/>
  <c r="S16" i="1"/>
  <c r="R16" i="1"/>
  <c r="Q16" i="1"/>
  <c r="P16" i="1"/>
  <c r="O16" i="1"/>
  <c r="N16" i="1"/>
  <c r="W15" i="1"/>
  <c r="T15" i="1"/>
  <c r="S15" i="1"/>
  <c r="R15" i="1"/>
  <c r="Q15" i="1"/>
  <c r="P15" i="1"/>
  <c r="O15" i="1"/>
  <c r="N15" i="1"/>
  <c r="W14" i="1"/>
  <c r="T14" i="1"/>
  <c r="S14" i="1"/>
  <c r="R14" i="1"/>
  <c r="Q14" i="1"/>
  <c r="P14" i="1"/>
  <c r="O14" i="1"/>
  <c r="N14" i="1"/>
  <c r="W13" i="1"/>
  <c r="T13" i="1"/>
  <c r="S13" i="1"/>
  <c r="R13" i="1"/>
  <c r="Q13" i="1"/>
  <c r="P13" i="1"/>
  <c r="O13" i="1"/>
  <c r="N13" i="1"/>
  <c r="W12" i="1"/>
  <c r="T12" i="1"/>
  <c r="S12" i="1"/>
  <c r="R12" i="1"/>
  <c r="Q12" i="1"/>
  <c r="P12" i="1"/>
  <c r="O12" i="1"/>
  <c r="N12" i="1"/>
  <c r="W11" i="1"/>
  <c r="T11" i="1"/>
  <c r="S11" i="1"/>
  <c r="R11" i="1"/>
  <c r="Q11" i="1"/>
  <c r="P11" i="1"/>
  <c r="O11" i="1"/>
  <c r="N11" i="1"/>
  <c r="W10" i="1"/>
  <c r="T10" i="1"/>
  <c r="S10" i="1"/>
  <c r="R10" i="1"/>
  <c r="Q10" i="1"/>
  <c r="P10" i="1"/>
  <c r="O10" i="1"/>
  <c r="N10" i="1"/>
  <c r="W9" i="1"/>
  <c r="T9" i="1"/>
  <c r="S9" i="1"/>
  <c r="R9" i="1"/>
  <c r="Q9" i="1"/>
  <c r="P9" i="1"/>
  <c r="O9" i="1"/>
  <c r="N9" i="1"/>
  <c r="W8" i="1"/>
  <c r="T8" i="1"/>
  <c r="S8" i="1"/>
  <c r="R8" i="1"/>
  <c r="Q8" i="1"/>
  <c r="P8" i="1"/>
  <c r="O8" i="1"/>
  <c r="N8" i="1"/>
  <c r="W7" i="1"/>
  <c r="T7" i="1"/>
  <c r="S7" i="1"/>
  <c r="R7" i="1"/>
  <c r="Q7" i="1"/>
  <c r="P7" i="1"/>
  <c r="O7" i="1"/>
  <c r="N7" i="1"/>
  <c r="W6" i="1"/>
  <c r="T6" i="1"/>
  <c r="S6" i="1"/>
  <c r="R6" i="1"/>
  <c r="Q6" i="1"/>
  <c r="P6" i="1"/>
  <c r="O6" i="1"/>
  <c r="N6" i="1"/>
  <c r="W5" i="1"/>
  <c r="T5" i="1"/>
  <c r="S5" i="1"/>
  <c r="R5" i="1"/>
  <c r="Q5" i="1"/>
  <c r="P5" i="1"/>
  <c r="O5" i="1"/>
  <c r="N5" i="1"/>
  <c r="W4" i="1"/>
  <c r="T4" i="1"/>
  <c r="S4" i="1"/>
  <c r="R4" i="1"/>
  <c r="Q4" i="1"/>
  <c r="P4" i="1"/>
  <c r="O4" i="1"/>
  <c r="N4" i="1"/>
  <c r="W3" i="1"/>
  <c r="T3" i="1"/>
  <c r="S3" i="1"/>
  <c r="R3" i="1"/>
  <c r="Q3" i="1"/>
  <c r="P3" i="1"/>
  <c r="O3" i="1"/>
  <c r="N3" i="1"/>
  <c r="W2" i="1"/>
  <c r="T2" i="1"/>
  <c r="S2" i="1"/>
  <c r="R2" i="1"/>
  <c r="Q2" i="1"/>
  <c r="P2" i="1"/>
  <c r="O2" i="1"/>
  <c r="N2" i="1"/>
  <c r="A867" i="3"/>
  <c r="A866" i="3"/>
  <c r="A865" i="3"/>
  <c r="A864" i="3"/>
  <c r="A863" i="3"/>
  <c r="A862" i="3"/>
  <c r="A861" i="3"/>
  <c r="A860" i="3"/>
  <c r="A859" i="3"/>
  <c r="A858" i="3"/>
  <c r="A857" i="3"/>
  <c r="A856" i="3"/>
  <c r="A855" i="3"/>
  <c r="A854" i="3"/>
  <c r="A853" i="3"/>
  <c r="A852" i="3"/>
  <c r="A851" i="3"/>
  <c r="A850" i="3"/>
  <c r="A849" i="3"/>
  <c r="A848" i="3"/>
  <c r="A847" i="3"/>
  <c r="A846" i="3"/>
  <c r="A845" i="3"/>
  <c r="A844" i="3"/>
  <c r="A843" i="3"/>
  <c r="A842" i="3"/>
  <c r="A841" i="3"/>
  <c r="A840" i="3"/>
  <c r="A839" i="3"/>
  <c r="A838" i="3"/>
  <c r="A837" i="3"/>
  <c r="A836" i="3"/>
  <c r="A835" i="3"/>
  <c r="A834" i="3"/>
  <c r="A833" i="3"/>
  <c r="A832" i="3"/>
  <c r="A831" i="3"/>
  <c r="A830" i="3"/>
  <c r="A829" i="3"/>
  <c r="A828" i="3"/>
  <c r="A827" i="3"/>
  <c r="A826" i="3"/>
  <c r="A825" i="3"/>
  <c r="A824" i="3"/>
  <c r="A823" i="3"/>
  <c r="A822" i="3"/>
  <c r="A821" i="3"/>
  <c r="A820" i="3"/>
  <c r="A819" i="3"/>
  <c r="A818" i="3"/>
  <c r="A817" i="3"/>
  <c r="A816" i="3"/>
  <c r="A815" i="3"/>
  <c r="A814" i="3"/>
  <c r="A813" i="3"/>
  <c r="A812" i="3"/>
  <c r="A811" i="3"/>
  <c r="A810" i="3"/>
  <c r="A809" i="3"/>
  <c r="A808" i="3"/>
  <c r="A807" i="3"/>
  <c r="A806" i="3"/>
  <c r="A805" i="3"/>
  <c r="A804" i="3"/>
  <c r="A803" i="3"/>
  <c r="A802" i="3"/>
  <c r="A801" i="3"/>
  <c r="A800" i="3"/>
  <c r="A799" i="3"/>
  <c r="A798" i="3"/>
  <c r="A797" i="3"/>
  <c r="A796" i="3"/>
  <c r="A795" i="3"/>
  <c r="A794" i="3"/>
  <c r="A793" i="3"/>
  <c r="A792" i="3"/>
  <c r="A791" i="3"/>
  <c r="A790" i="3"/>
  <c r="A789" i="3"/>
  <c r="A788" i="3"/>
  <c r="A787" i="3"/>
  <c r="A786" i="3"/>
  <c r="A785" i="3"/>
  <c r="A784" i="3"/>
  <c r="A783" i="3"/>
  <c r="A782" i="3"/>
  <c r="A781" i="3"/>
  <c r="A780" i="3"/>
  <c r="A779" i="3"/>
  <c r="A778" i="3"/>
  <c r="A777" i="3"/>
  <c r="A776" i="3"/>
  <c r="A775" i="3"/>
  <c r="A774" i="3"/>
  <c r="A773" i="3"/>
  <c r="A772" i="3"/>
  <c r="A771" i="3"/>
  <c r="A770" i="3"/>
  <c r="A769" i="3"/>
  <c r="A768" i="3"/>
  <c r="A767" i="3"/>
  <c r="A766" i="3"/>
  <c r="A765" i="3"/>
  <c r="A764" i="3"/>
  <c r="A763" i="3"/>
  <c r="A762" i="3"/>
  <c r="A761" i="3"/>
  <c r="A760" i="3"/>
  <c r="A759" i="3"/>
  <c r="A758" i="3"/>
  <c r="A757" i="3"/>
  <c r="A756" i="3"/>
  <c r="A755" i="3"/>
  <c r="A754" i="3"/>
  <c r="A753" i="3"/>
  <c r="A752" i="3"/>
  <c r="A751" i="3"/>
  <c r="A750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4" i="2"/>
  <c r="A3" i="2"/>
  <c r="A3" i="4"/>
  <c r="A2" i="13"/>
  <c r="A2" i="2"/>
  <c r="A2" i="4"/>
  <c r="D7" i="16" a="1"/>
  <c r="D6" i="16" a="1"/>
  <c r="C27" i="16" l="1"/>
  <c r="C39" i="16"/>
  <c r="C51" i="16"/>
  <c r="C63" i="16"/>
  <c r="C75" i="16"/>
  <c r="C87" i="16"/>
  <c r="C99" i="16"/>
  <c r="C111" i="16"/>
  <c r="C123" i="16"/>
  <c r="C135" i="16"/>
  <c r="C147" i="16"/>
  <c r="C159" i="16"/>
  <c r="C171" i="16"/>
  <c r="C183" i="16"/>
  <c r="C117" i="16"/>
  <c r="C34" i="16"/>
  <c r="C47" i="16"/>
  <c r="C48" i="16"/>
  <c r="C108" i="16"/>
  <c r="C156" i="16"/>
  <c r="C37" i="16"/>
  <c r="C133" i="16"/>
  <c r="C38" i="16"/>
  <c r="C134" i="16"/>
  <c r="C16" i="16"/>
  <c r="C28" i="16"/>
  <c r="C40" i="16"/>
  <c r="C52" i="16"/>
  <c r="C64" i="16"/>
  <c r="C76" i="16"/>
  <c r="C88" i="16"/>
  <c r="C100" i="16"/>
  <c r="C112" i="16"/>
  <c r="C124" i="16"/>
  <c r="C136" i="16"/>
  <c r="C148" i="16"/>
  <c r="C160" i="16"/>
  <c r="C172" i="16"/>
  <c r="C184" i="16"/>
  <c r="C70" i="16"/>
  <c r="C35" i="16"/>
  <c r="C71" i="16"/>
  <c r="C95" i="16"/>
  <c r="C119" i="16"/>
  <c r="C143" i="16"/>
  <c r="C167" i="16"/>
  <c r="C179" i="16"/>
  <c r="C24" i="16"/>
  <c r="C120" i="16"/>
  <c r="C180" i="16"/>
  <c r="C25" i="16"/>
  <c r="C121" i="16"/>
  <c r="C181" i="16"/>
  <c r="C74" i="16"/>
  <c r="C122" i="16"/>
  <c r="C17" i="16"/>
  <c r="C29" i="16"/>
  <c r="C41" i="16"/>
  <c r="C53" i="16"/>
  <c r="C65" i="16"/>
  <c r="C77" i="16"/>
  <c r="C89" i="16"/>
  <c r="C101" i="16"/>
  <c r="C113" i="16"/>
  <c r="C125" i="16"/>
  <c r="C137" i="16"/>
  <c r="C149" i="16"/>
  <c r="C161" i="16"/>
  <c r="C173" i="16"/>
  <c r="C185" i="16"/>
  <c r="C129" i="16"/>
  <c r="C46" i="16"/>
  <c r="C59" i="16"/>
  <c r="C60" i="16"/>
  <c r="C132" i="16"/>
  <c r="C168" i="16"/>
  <c r="C49" i="16"/>
  <c r="C97" i="16"/>
  <c r="C26" i="16"/>
  <c r="C98" i="16"/>
  <c r="C170" i="16"/>
  <c r="C18" i="16"/>
  <c r="C30" i="16"/>
  <c r="C42" i="16"/>
  <c r="C54" i="16"/>
  <c r="C66" i="16"/>
  <c r="C78" i="16"/>
  <c r="C90" i="16"/>
  <c r="C102" i="16"/>
  <c r="C114" i="16"/>
  <c r="C126" i="16"/>
  <c r="C138" i="16"/>
  <c r="C150" i="16"/>
  <c r="C162" i="16"/>
  <c r="C174" i="16"/>
  <c r="C13" i="16"/>
  <c r="C141" i="16"/>
  <c r="C82" i="16"/>
  <c r="C72" i="16"/>
  <c r="C61" i="16"/>
  <c r="C145" i="16"/>
  <c r="C86" i="16"/>
  <c r="C110" i="16"/>
  <c r="C182" i="16"/>
  <c r="C19" i="16"/>
  <c r="C31" i="16"/>
  <c r="C43" i="16"/>
  <c r="C55" i="16"/>
  <c r="C67" i="16"/>
  <c r="C79" i="16"/>
  <c r="C91" i="16"/>
  <c r="C103" i="16"/>
  <c r="C115" i="16"/>
  <c r="C127" i="16"/>
  <c r="C139" i="16"/>
  <c r="C151" i="16"/>
  <c r="C163" i="16"/>
  <c r="C175" i="16"/>
  <c r="C14" i="16"/>
  <c r="C58" i="16"/>
  <c r="C23" i="16"/>
  <c r="C83" i="16"/>
  <c r="C107" i="16"/>
  <c r="C131" i="16"/>
  <c r="C155" i="16"/>
  <c r="C36" i="16"/>
  <c r="C96" i="16"/>
  <c r="C144" i="16"/>
  <c r="C73" i="16"/>
  <c r="C157" i="16"/>
  <c r="C62" i="16"/>
  <c r="C146" i="16"/>
  <c r="C20" i="16"/>
  <c r="C32" i="16"/>
  <c r="C44" i="16"/>
  <c r="C56" i="16"/>
  <c r="C68" i="16"/>
  <c r="C80" i="16"/>
  <c r="C92" i="16"/>
  <c r="C104" i="16"/>
  <c r="C116" i="16"/>
  <c r="C128" i="16"/>
  <c r="C140" i="16"/>
  <c r="C152" i="16"/>
  <c r="C164" i="16"/>
  <c r="C176" i="16"/>
  <c r="C21" i="16"/>
  <c r="C33" i="16"/>
  <c r="C45" i="16"/>
  <c r="C57" i="16"/>
  <c r="C69" i="16"/>
  <c r="C81" i="16"/>
  <c r="C93" i="16"/>
  <c r="C105" i="16"/>
  <c r="C153" i="16"/>
  <c r="C165" i="16"/>
  <c r="C177" i="16"/>
  <c r="C22" i="16"/>
  <c r="C94" i="16"/>
  <c r="C106" i="16"/>
  <c r="C118" i="16"/>
  <c r="C130" i="16"/>
  <c r="C142" i="16"/>
  <c r="C154" i="16"/>
  <c r="C166" i="16"/>
  <c r="C178" i="16"/>
  <c r="C84" i="16"/>
  <c r="C85" i="16"/>
  <c r="C109" i="16"/>
  <c r="C169" i="16"/>
  <c r="C50" i="16"/>
  <c r="C158" i="16"/>
  <c r="D7" i="16"/>
  <c r="C7" i="16"/>
  <c r="C8" i="16"/>
  <c r="C9" i="16"/>
  <c r="C10" i="16"/>
  <c r="C11" i="16"/>
  <c r="C12" i="16"/>
  <c r="D6" i="16"/>
  <c r="C15" i="16"/>
  <c r="K2" i="16" a="1"/>
  <c r="K2" i="1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04CBA58-8665-432F-A75D-C6D49FFA5971}" keepAlive="1" name="Abfrage - tblKunden" description="Verbindung mit der Abfrage 'tblKunden' in der Arbeitsmappe." type="5" refreshedVersion="0" background="1">
    <dbPr connection="Provider=Microsoft.Mashup.OleDb.1;Data Source=$Workbook$;Location=tblKunden;Extended Properties=&quot;&quot;" command="SELECT * FROM [tblKunden]"/>
  </connection>
  <connection id="2" xr16:uid="{A04B652B-4021-481A-BBFF-318444206552}" keepAlive="1" name="Abfrage - tblKunden (2)" description="Verbindung mit der Abfrage 'tblKunden (2)' in der Arbeitsmappe." type="5" refreshedVersion="0" background="1">
    <dbPr connection="Provider=Microsoft.Mashup.OleDb.1;Data Source=$Workbook$;Location=&quot;tblKunden (2)&quot;;Extended Properties=&quot;&quot;" command="SELECT * FROM [tblKunden (2)]"/>
  </connection>
  <connection id="3" xr16:uid="{0CC536B8-8C3D-4003-9F32-31E668B052E8}" keepAlive="1" name="Abfrage - TestDatenbank accdb" description="Verbindung mit der Abfrage 'TestDatenbank accdb' in der Arbeitsmappe." type="5" refreshedVersion="0" background="1">
    <dbPr connection="Provider=Microsoft.Mashup.OleDb.1;Data Source=$Workbook$;Location=&quot;TestDatenbank accdb&quot;;Extended Properties=&quot;&quot;" command="SELECT * FROM [TestDatenbank accdb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<sst xmlns="http://schemas.openxmlformats.org/spreadsheetml/2006/main" count="6889" uniqueCount="2001">
  <si>
    <t>EEGID</t>
  </si>
  <si>
    <t>Abrechnungstool</t>
  </si>
  <si>
    <t>Treibstoff [Liter]</t>
  </si>
  <si>
    <t>Strom [kWh]</t>
  </si>
  <si>
    <t>Anzahl VerbrennerFahrzeuge</t>
  </si>
  <si>
    <t>Fahrzeugtypen</t>
  </si>
  <si>
    <t>gefahrene Kilometer pro Fahrzeug</t>
  </si>
  <si>
    <t>MID</t>
  </si>
  <si>
    <t>Name</t>
  </si>
  <si>
    <t>Telefon</t>
  </si>
  <si>
    <t>WebSite</t>
  </si>
  <si>
    <t>E-Mail Adresse</t>
  </si>
  <si>
    <t>UW</t>
  </si>
  <si>
    <t>Trafostation</t>
  </si>
  <si>
    <t>KID</t>
  </si>
  <si>
    <t>Modell (BEG,EEG,..)</t>
  </si>
  <si>
    <t>Einzugsgebiet (Bezirk)</t>
  </si>
  <si>
    <t>Prosumer</t>
  </si>
  <si>
    <t>Anzahl EFahrzeuge</t>
  </si>
  <si>
    <t>Obmann</t>
  </si>
  <si>
    <t>Erzeugertypen</t>
  </si>
  <si>
    <t>ZPNs</t>
  </si>
  <si>
    <t>aktuelles Interesse (Förderbedarf)</t>
  </si>
  <si>
    <t>Notiz</t>
  </si>
  <si>
    <t>Rolle</t>
  </si>
  <si>
    <t>Zählpunkt</t>
  </si>
  <si>
    <t>EEGTID</t>
  </si>
  <si>
    <t>Wien</t>
  </si>
  <si>
    <t>Nein</t>
  </si>
  <si>
    <t>PFAD</t>
  </si>
  <si>
    <t>test</t>
  </si>
  <si>
    <t>FolderNumber</t>
  </si>
  <si>
    <t>FirstName</t>
  </si>
  <si>
    <t>LastName</t>
  </si>
  <si>
    <t>PhoneNumber</t>
  </si>
  <si>
    <t>Email</t>
  </si>
  <si>
    <t>OrganizationName</t>
  </si>
  <si>
    <t>PostalCode</t>
  </si>
  <si>
    <t>City</t>
  </si>
  <si>
    <t>Street</t>
  </si>
  <si>
    <t>HouseNumber</t>
  </si>
  <si>
    <t>AddressAddtion</t>
  </si>
  <si>
    <t>HasLoadProfile</t>
  </si>
  <si>
    <t>BuildingRenovationInterest</t>
  </si>
  <si>
    <t>EnergyCommunityInterest</t>
  </si>
  <si>
    <t>MobilityInterest</t>
  </si>
  <si>
    <t>PlusEnergyInterest</t>
  </si>
  <si>
    <t>Notes</t>
  </si>
  <si>
    <t>ExternalBuildingId</t>
  </si>
  <si>
    <t>BuildingType</t>
  </si>
  <si>
    <t>ConstructionYear</t>
  </si>
  <si>
    <t>FloorArea</t>
  </si>
  <si>
    <t>RenovationYear</t>
  </si>
  <si>
    <t>AddressAddition</t>
  </si>
  <si>
    <t>Country</t>
  </si>
  <si>
    <t>HWB (calculated)</t>
  </si>
  <si>
    <t>HeatingType</t>
  </si>
  <si>
    <t>HasPV</t>
  </si>
  <si>
    <t>HasBattery</t>
  </si>
  <si>
    <t>ElectricityConsumption</t>
  </si>
  <si>
    <t>HeatConsumption</t>
  </si>
  <si>
    <t>HotWaterConsumption</t>
  </si>
  <si>
    <t>EnergyReferenceYear</t>
  </si>
  <si>
    <t>MainUsage</t>
  </si>
  <si>
    <t>MainUsageSharePercent</t>
  </si>
  <si>
    <t>SecondaryUsage</t>
  </si>
  <si>
    <t>SecondaryUsageSharePercent</t>
  </si>
  <si>
    <t>ExternalMeterId</t>
  </si>
  <si>
    <t>MeterName</t>
  </si>
  <si>
    <t>MeterType</t>
  </si>
  <si>
    <t>Medium</t>
  </si>
  <si>
    <t>Unit</t>
  </si>
  <si>
    <t>Direction</t>
  </si>
  <si>
    <t>IntervalMinutes</t>
  </si>
  <si>
    <t>IsVirtual</t>
  </si>
  <si>
    <t>AggregationType</t>
  </si>
  <si>
    <t>Description</t>
  </si>
  <si>
    <t>M-001</t>
  </si>
  <si>
    <t>B-001</t>
  </si>
  <si>
    <t>Main</t>
  </si>
  <si>
    <t>Electricity</t>
  </si>
  <si>
    <t>kWh</t>
  </si>
  <si>
    <t>Consumption</t>
  </si>
  <si>
    <t>EVU</t>
  </si>
  <si>
    <t>M-002</t>
  </si>
  <si>
    <t>Sub</t>
  </si>
  <si>
    <t>Production</t>
  </si>
  <si>
    <t>M-003</t>
  </si>
  <si>
    <t>Büroverbrauch</t>
  </si>
  <si>
    <t>PV-Wechselrichter</t>
  </si>
  <si>
    <t>Smart Meter</t>
  </si>
  <si>
    <t>PV Erzeugung</t>
  </si>
  <si>
    <t>Hauptzähler Strom</t>
  </si>
  <si>
    <t>Büro Gesamtstrom</t>
  </si>
  <si>
    <t>B-003</t>
  </si>
  <si>
    <t>Japonsitiv</t>
  </si>
  <si>
    <t>regionale EEG</t>
  </si>
  <si>
    <t>-</t>
  </si>
  <si>
    <t>Erich Engelbrecht</t>
  </si>
  <si>
    <t>eeg@japons.info</t>
  </si>
  <si>
    <t>PV, Wasserkraft</t>
  </si>
  <si>
    <t>Japons</t>
  </si>
  <si>
    <t>efy</t>
  </si>
  <si>
    <t>Horn</t>
  </si>
  <si>
    <t>ja</t>
  </si>
  <si>
    <t>weinSTROM</t>
  </si>
  <si>
    <t>weinstrom.at</t>
  </si>
  <si>
    <t>Florian Brunner</t>
  </si>
  <si>
    <t>0664 3874084</t>
  </si>
  <si>
    <t>info@weinstrom.at</t>
  </si>
  <si>
    <t>Langenlois</t>
  </si>
  <si>
    <t>connesso</t>
  </si>
  <si>
    <t>Krems-Land</t>
  </si>
  <si>
    <t>Kamp-Taffa</t>
  </si>
  <si>
    <t>www.eeg-kamp-taffa.at</t>
  </si>
  <si>
    <t>info@eeg-kamp-taffa.at</t>
  </si>
  <si>
    <t>ProjectName</t>
  </si>
  <si>
    <t>eKUTCustomer</t>
  </si>
  <si>
    <t>x</t>
  </si>
  <si>
    <t>Mustersanierung, PV-Anlage</t>
  </si>
  <si>
    <t>Auto Berger</t>
  </si>
  <si>
    <t>Ulrike</t>
  </si>
  <si>
    <t>Berger</t>
  </si>
  <si>
    <t>02822 / 52281 -201</t>
  </si>
  <si>
    <t>ulrike.berger-braun@autohaus-berger.at</t>
  </si>
  <si>
    <t>Zwettl</t>
  </si>
  <si>
    <t>Kremser Straße</t>
  </si>
  <si>
    <t>Mustersanierung Workingspace, Carport Parkplatz PV-Anlagen</t>
  </si>
  <si>
    <t>Garser Immobilien GmbH</t>
  </si>
  <si>
    <t>Werner</t>
  </si>
  <si>
    <t>Groiß</t>
  </si>
  <si>
    <t>02985 / 2656</t>
  </si>
  <si>
    <t>werner.groiss@bzg.at</t>
  </si>
  <si>
    <t>Gars am Kamp</t>
  </si>
  <si>
    <t>Schiller Straße</t>
  </si>
  <si>
    <t>Mustersanierung, Beratung</t>
  </si>
  <si>
    <t>Gem Maissau</t>
  </si>
  <si>
    <t>Hubert</t>
  </si>
  <si>
    <t>Wimmer</t>
  </si>
  <si>
    <t>0676 / 3477930</t>
  </si>
  <si>
    <t>hubert.wimmer@stadtmusik-maissau.at</t>
  </si>
  <si>
    <t>Maissau</t>
  </si>
  <si>
    <t>Franz-Gilly-Gasse</t>
  </si>
  <si>
    <t>Kurzberatung, PV, Energie, Mobilität</t>
  </si>
  <si>
    <t>Blumen Szing</t>
  </si>
  <si>
    <t>Andreas</t>
  </si>
  <si>
    <t>Szing</t>
  </si>
  <si>
    <t>02735 / 2541</t>
  </si>
  <si>
    <t>office@szing.at</t>
  </si>
  <si>
    <t>Walkersdorf</t>
  </si>
  <si>
    <t>Hauptstraße</t>
  </si>
  <si>
    <t>Kurzberatung PV Büro + Lagerhalle</t>
  </si>
  <si>
    <t>Agrofresh</t>
  </si>
  <si>
    <t>Christoph</t>
  </si>
  <si>
    <t>Mauthner</t>
  </si>
  <si>
    <t>02829 / 20010 -34</t>
  </si>
  <si>
    <t>christoph.mautner@agrofresh.co.at</t>
  </si>
  <si>
    <t>Jagenbach</t>
  </si>
  <si>
    <t>Thermische Sanierung, Erneuerung Heizanlage</t>
  </si>
  <si>
    <t>Gem Sallingberg</t>
  </si>
  <si>
    <t>Cornelia</t>
  </si>
  <si>
    <t>Juster</t>
  </si>
  <si>
    <t>02877 / 8344</t>
  </si>
  <si>
    <t>gemeinde@sallingberg.at</t>
  </si>
  <si>
    <t>Sallingberg</t>
  </si>
  <si>
    <t>Sanierung Schule (nicht umgesetzt)</t>
  </si>
  <si>
    <t>Gem Petronell</t>
  </si>
  <si>
    <t>Philipp</t>
  </si>
  <si>
    <t>Loitsch</t>
  </si>
  <si>
    <t>0676 / 5739485</t>
  </si>
  <si>
    <t>p.loitsch@energiepark.at</t>
  </si>
  <si>
    <t>Petronell-Carnuntum</t>
  </si>
  <si>
    <t>Kirchenplatz</t>
  </si>
  <si>
    <t>Awareness Beratung</t>
  </si>
  <si>
    <t>Farbe und Wohnen Müllner GmbH</t>
  </si>
  <si>
    <t>Lukas</t>
  </si>
  <si>
    <t>Müllner</t>
  </si>
  <si>
    <t>0664 / 2444688</t>
  </si>
  <si>
    <t>lukas@muellner.at</t>
  </si>
  <si>
    <t>Waidhofen/Thaya</t>
  </si>
  <si>
    <t>Heidenreichsteiner Straße</t>
  </si>
  <si>
    <t>Awareness Kurzberatung Energieeffizienz, EE, Mobilität und Kreislaufwirtschaft, Umsetzungs - Schwerpunktberatung Heizung</t>
  </si>
  <si>
    <t>Waldland Holding GmbH</t>
  </si>
  <si>
    <t>Michael</t>
  </si>
  <si>
    <t>Höllmüller</t>
  </si>
  <si>
    <t>02826 / 7443 - 0</t>
  </si>
  <si>
    <t>michael.hoelmueller@waldland.at</t>
  </si>
  <si>
    <t>Friedersbach</t>
  </si>
  <si>
    <t>Oberwaltnreith</t>
  </si>
  <si>
    <t>Sanierung</t>
  </si>
  <si>
    <t>Waldland</t>
  </si>
  <si>
    <t/>
  </si>
  <si>
    <t>Umsetzungs- Schwerpunktberatung Energie</t>
  </si>
  <si>
    <t>Joko Immobilien &amp; Handel GmbH</t>
  </si>
  <si>
    <t>Johannes</t>
  </si>
  <si>
    <t>Kößner</t>
  </si>
  <si>
    <t>0664 / 413 9855 </t>
  </si>
  <si>
    <t>koessner@meh.co.at</t>
  </si>
  <si>
    <t>Groß Siegharts</t>
  </si>
  <si>
    <t>Schiefergasse</t>
  </si>
  <si>
    <t>LIRO</t>
  </si>
  <si>
    <t>Robert</t>
  </si>
  <si>
    <t>Pichler</t>
  </si>
  <si>
    <t>01382 / 0045</t>
  </si>
  <si>
    <t>beratung@liros.net</t>
  </si>
  <si>
    <t>Waldhausen</t>
  </si>
  <si>
    <t>Königsbach</t>
  </si>
  <si>
    <t>Awareness Kurzberatung, Umsetzungs - Schwerpunktberatung PV, Heizungsumstellung</t>
  </si>
  <si>
    <t>Arnhof</t>
  </si>
  <si>
    <t>0664 / 120 0361 </t>
  </si>
  <si>
    <t>christoph@arnhof.com</t>
  </si>
  <si>
    <t>Eggern</t>
  </si>
  <si>
    <t>Marktplatz</t>
  </si>
  <si>
    <t>Beratung LED-Beleuchtung (aktuell)</t>
  </si>
  <si>
    <t>UNION Eislaufverein Gars</t>
  </si>
  <si>
    <t>Grabl</t>
  </si>
  <si>
    <t>0650 / 870 8235 </t>
  </si>
  <si>
    <t>connys-cafe80@gmx.at ; sportunion@eislaufplatz-gars.at</t>
  </si>
  <si>
    <t>Gars</t>
  </si>
  <si>
    <t>Sanierung Nusßdorfer Straße (aktuell)</t>
  </si>
  <si>
    <t>K5 Beteiligungs GmbH</t>
  </si>
  <si>
    <t>Thomas</t>
  </si>
  <si>
    <t>DI Beutl</t>
  </si>
  <si>
    <t>0676 / 884 834 611</t>
  </si>
  <si>
    <t>beutl@kerblerholding.at</t>
  </si>
  <si>
    <t>Parkring</t>
  </si>
  <si>
    <t>Julius Kiennast Lebensmittelgroßhandels G.m.b.H.</t>
  </si>
  <si>
    <t>Kiennast</t>
  </si>
  <si>
    <t>Mader</t>
  </si>
  <si>
    <t>02985 / 30200600</t>
  </si>
  <si>
    <t>andreas.mader@kiennast.at</t>
  </si>
  <si>
    <t>Gars/Kamp</t>
  </si>
  <si>
    <t>Wienerstraße</t>
  </si>
  <si>
    <t>Junge Hotels Austria</t>
  </si>
  <si>
    <t>Jürgen</t>
  </si>
  <si>
    <t>Mayer</t>
  </si>
  <si>
    <t>0660 / 9463673</t>
  </si>
  <si>
    <t>juergen.maier@noejhw.at</t>
  </si>
  <si>
    <t>Tulln</t>
  </si>
  <si>
    <t>Marc-Aurel-Park</t>
  </si>
  <si>
    <t>Kastner Großhandel</t>
  </si>
  <si>
    <t>Christof</t>
  </si>
  <si>
    <t>Kastner</t>
  </si>
  <si>
    <t>0676 / 5900100</t>
  </si>
  <si>
    <t>christof.kastner@kastner.at</t>
  </si>
  <si>
    <t>Janetschek Druckerei</t>
  </si>
  <si>
    <t>Erich</t>
  </si>
  <si>
    <t>Steindl</t>
  </si>
  <si>
    <t>0664 / 5303702</t>
  </si>
  <si>
    <t>Erich.Steindl@janetschek.at</t>
  </si>
  <si>
    <t>Heidenreichstein</t>
  </si>
  <si>
    <t>Brunfeldstraße</t>
  </si>
  <si>
    <t>Schremser Bier</t>
  </si>
  <si>
    <t>Karl</t>
  </si>
  <si>
    <t>Trojan</t>
  </si>
  <si>
    <t>0664 / 1318320</t>
  </si>
  <si>
    <t>c.kowarsch@schremser.at</t>
  </si>
  <si>
    <t>Schrems</t>
  </si>
  <si>
    <t>Niederschremserstraße</t>
  </si>
  <si>
    <t>Silberbauer Textiltechnik</t>
  </si>
  <si>
    <t>Ulrich</t>
  </si>
  <si>
    <t>Achleitner</t>
  </si>
  <si>
    <t>0676 / 4752381</t>
  </si>
  <si>
    <t>office@silberbauer.info</t>
  </si>
  <si>
    <t>Gr. Siegharts</t>
  </si>
  <si>
    <t>Privatstraße</t>
  </si>
  <si>
    <t>Jil Silk</t>
  </si>
  <si>
    <t>Heinrich</t>
  </si>
  <si>
    <t>Rabl</t>
  </si>
  <si>
    <t>0676 / 3168621</t>
  </si>
  <si>
    <t>rabl@jilsilk.at</t>
  </si>
  <si>
    <t>Dietmanns</t>
  </si>
  <si>
    <t>Kunstmeile Krems Betriebs GmbH</t>
  </si>
  <si>
    <t>0664 / 60499 167</t>
  </si>
  <si>
    <t>reinhard.kern@kunstmeile.at</t>
  </si>
  <si>
    <t>Krems</t>
  </si>
  <si>
    <t>Muesumsplatz</t>
  </si>
  <si>
    <t>Awareness Kurzberatung</t>
  </si>
  <si>
    <t>Dachsberger</t>
  </si>
  <si>
    <t>Alfred</t>
  </si>
  <si>
    <t>02984 / 2632</t>
  </si>
  <si>
    <t>office@dachsberger.at</t>
  </si>
  <si>
    <t>Eggenburg</t>
  </si>
  <si>
    <t>Gauderndorf</t>
  </si>
  <si>
    <t>Installation PV Anlagen, Sanierung Geschoßdecke, Umstieg Elektro PKW</t>
  </si>
  <si>
    <t>Kotzinger</t>
  </si>
  <si>
    <t>Oliver</t>
  </si>
  <si>
    <t>Buchheit</t>
  </si>
  <si>
    <t>0664 / 88645934</t>
  </si>
  <si>
    <t>oliver.buchheit@e-kotzingergmbh.at</t>
  </si>
  <si>
    <t>Lerchenfelder Hauptplatz</t>
  </si>
  <si>
    <t>Awareness Kurzberatung Energieeffizienz, EE, Kreislaufwirtschaft</t>
  </si>
  <si>
    <t>VOEST</t>
  </si>
  <si>
    <t>Gregor</t>
  </si>
  <si>
    <t>Terrer</t>
  </si>
  <si>
    <t>0664 / 6156985</t>
  </si>
  <si>
    <t>Gregor.Terrer@voestalpine.com</t>
  </si>
  <si>
    <t>Schmidhüttenstraße 5</t>
  </si>
  <si>
    <t>Kurzberatung</t>
  </si>
  <si>
    <t>Tiefbau Burger</t>
  </si>
  <si>
    <t>Mario</t>
  </si>
  <si>
    <t>Burger</t>
  </si>
  <si>
    <t>02732 / 70888</t>
  </si>
  <si>
    <t>office@tiefbau-burger-at</t>
  </si>
  <si>
    <t>Lerchenfelderstraße</t>
  </si>
  <si>
    <t>Volksbank Wien</t>
  </si>
  <si>
    <t>Markus</t>
  </si>
  <si>
    <t>Partl</t>
  </si>
  <si>
    <t>0664 / 8163800</t>
  </si>
  <si>
    <t>markus.partl@vbinfrastruktur.at</t>
  </si>
  <si>
    <t>Dietrichgasse</t>
  </si>
  <si>
    <t>REGINA Textilreinigungs Ges.m.b.H</t>
  </si>
  <si>
    <t>DI Oliver</t>
  </si>
  <si>
    <t>Ökologische Betriebsberatung, Energieeffizienz, EE Miblität, Kreislaufwirtschaft</t>
  </si>
  <si>
    <t>Erlebnismuseumsverein Schönbach</t>
  </si>
  <si>
    <t>Franz</t>
  </si>
  <si>
    <t>Höfer</t>
  </si>
  <si>
    <t>0664 / 1546470</t>
  </si>
  <si>
    <t>office@handwerk-erleben.at</t>
  </si>
  <si>
    <t>Schönbach</t>
  </si>
  <si>
    <t>Leutgeb Rupert</t>
  </si>
  <si>
    <t>Ehrenberger GmbH</t>
  </si>
  <si>
    <t>Johann</t>
  </si>
  <si>
    <t>Ehrenberger</t>
  </si>
  <si>
    <t>Ehrenberger@mohnzuzler.at</t>
  </si>
  <si>
    <t>Dreifaltigkeitsplatz</t>
  </si>
  <si>
    <t>Gem Groß Siegharts Profi</t>
  </si>
  <si>
    <t>Gem Eggenburg</t>
  </si>
  <si>
    <t>0681 / 81129053</t>
  </si>
  <si>
    <t>Gem Japons</t>
  </si>
  <si>
    <t>PV-Anlage</t>
  </si>
  <si>
    <t>Gem Krumau</t>
  </si>
  <si>
    <t>Raika</t>
  </si>
  <si>
    <t>Beratung für die Konzepterstellung Heizungsanlage und Förderungen</t>
  </si>
  <si>
    <t>Stark Elektro &amp; Kälte GmbH</t>
  </si>
  <si>
    <t>Wolfgang</t>
  </si>
  <si>
    <t>Stark</t>
  </si>
  <si>
    <t>Waidhofnerstraße</t>
  </si>
  <si>
    <t>Konzepterstellung Energieeinsparmöglichkeiten bei Flaschenwaschmaschine, Flaschenlagerraum</t>
  </si>
  <si>
    <t>Weinhandel Gruber Ewald</t>
  </si>
  <si>
    <t>Röschitz</t>
  </si>
  <si>
    <t>Winzerstraße</t>
  </si>
  <si>
    <t>DIE KÄSEMACHER GmbH</t>
  </si>
  <si>
    <t>Kaindl</t>
  </si>
  <si>
    <t>Vitis</t>
  </si>
  <si>
    <t>Europastraße</t>
  </si>
  <si>
    <t>Konzepterstellung Energieeffizienz und Energieeinsparungsmaßnahmen</t>
  </si>
  <si>
    <t>Tischlerei Rösl</t>
  </si>
  <si>
    <t>Christian</t>
  </si>
  <si>
    <t>Rößl</t>
  </si>
  <si>
    <t>Rastenfeld</t>
  </si>
  <si>
    <t>Schwerpunktberatung Energie</t>
  </si>
  <si>
    <t>Klein Fahrzeug GmbH</t>
  </si>
  <si>
    <t>Herbert</t>
  </si>
  <si>
    <t>Klein</t>
  </si>
  <si>
    <t>02982 / 2293</t>
  </si>
  <si>
    <t>office@kleinfahrzeugbau.at</t>
  </si>
  <si>
    <t>Altenburg</t>
  </si>
  <si>
    <t>Horner Straße</t>
  </si>
  <si>
    <t>Energie, Öko Kurzberatung</t>
  </si>
  <si>
    <t>Stift Geras - Pernegg Touristik GmbH</t>
  </si>
  <si>
    <t>02913 / 614</t>
  </si>
  <si>
    <t>info@klosterpernegg.at</t>
  </si>
  <si>
    <t>Pernegg</t>
  </si>
  <si>
    <t>Schwerpunktberatung PV-Anlage &amp; Stromspeicher</t>
  </si>
  <si>
    <t>Groiß Wirtschaftsprüfungs und Steuerberatungs GmbH</t>
  </si>
  <si>
    <t>Konzepterstellung bei thermischen Gebäudesanierung</t>
  </si>
  <si>
    <t>Tanzcafe-Gasthaus-Buffet Schindler</t>
  </si>
  <si>
    <t>Gerweis</t>
  </si>
  <si>
    <t>Öko Beratung</t>
  </si>
  <si>
    <t>Reissmüller Baugesellschaft mbH</t>
  </si>
  <si>
    <t>Waidhofen an der Thaya</t>
  </si>
  <si>
    <t>Wiener Straße</t>
  </si>
  <si>
    <t>Konzepterstellung thermische Gebäudesanierung und Umstellung der Heizungsanlage inkl. Förderungseinreichungsunterlagen</t>
  </si>
  <si>
    <t>Frisör &amp; Wellness Oase Silvia</t>
  </si>
  <si>
    <t>Silvia</t>
  </si>
  <si>
    <t>Schuh</t>
  </si>
  <si>
    <t>Vitiserstraße</t>
  </si>
  <si>
    <t>Tischlerei Kases GmbH</t>
  </si>
  <si>
    <t>Gastern</t>
  </si>
  <si>
    <t>Ruders</t>
  </si>
  <si>
    <t>Enrgie, Öko Kurzberatung (thermische Sanierung, Lüftungsanlage mit Wärmerückgewinnung, Wärmepumpe, Förderung)</t>
  </si>
  <si>
    <t>Fab4minds Informationstechnik GmbH</t>
  </si>
  <si>
    <t>Titus Appel-Straße</t>
  </si>
  <si>
    <t>Konzepterstellung Auslegung PV-Anlage inkl. Wirtschaftlichkeitsrechnung</t>
  </si>
  <si>
    <t>Ingrid Stark</t>
  </si>
  <si>
    <t>Tobias</t>
  </si>
  <si>
    <t>Infritz</t>
  </si>
  <si>
    <t>Am Mitterfeld</t>
  </si>
  <si>
    <t>Hilfe bei Umsetzung E-Mobilität inkl. Wirtschaftlichkeitsberechnung, Förderungen</t>
  </si>
  <si>
    <t>Meisner GmbH</t>
  </si>
  <si>
    <t>Peter</t>
  </si>
  <si>
    <t>Maisner</t>
  </si>
  <si>
    <t>Ottenschlag</t>
  </si>
  <si>
    <t>Spitzer Straße</t>
  </si>
  <si>
    <t>Konzepterstellung für Energieeffizienz und Energieeinsparunsmaßnahmen</t>
  </si>
  <si>
    <t>Lichtspiel Allentsteig</t>
  </si>
  <si>
    <t>Dorna</t>
  </si>
  <si>
    <t>Ferdinand Berger &amp; Söhne GmbH</t>
  </si>
  <si>
    <t>Öko-Beratung</t>
  </si>
  <si>
    <t>Ferdinand</t>
  </si>
  <si>
    <t>02982 / 4161-256</t>
  </si>
  <si>
    <t>ferdinand@berger.at</t>
  </si>
  <si>
    <t>Umsetzungs-Schwerpunktberatung PV</t>
  </si>
  <si>
    <t>Mayr Verwaltungs GmbH</t>
  </si>
  <si>
    <t>Bernhard</t>
  </si>
  <si>
    <t>Mayr</t>
  </si>
  <si>
    <t>Retz</t>
  </si>
  <si>
    <t>Kremserstraße</t>
  </si>
  <si>
    <t>Schwerpunktberatung</t>
  </si>
  <si>
    <t>Waldviertler Werkstätten</t>
  </si>
  <si>
    <t>Hauptplatz</t>
  </si>
  <si>
    <t>Irish Pub &amp; Restaurant Foggy mix</t>
  </si>
  <si>
    <t>Zimmerl</t>
  </si>
  <si>
    <t>zimmerl@foggy-mix.at</t>
  </si>
  <si>
    <t>Heidenreichsteinerstraße</t>
  </si>
  <si>
    <t>Kurzberatung (Datenerhebung- Auswertung, Umstellung auf LED Beleuchtung, Dämmung Heizungsrohre, Implementierung EMS)</t>
  </si>
  <si>
    <t>Intersport Ruby GmbH</t>
  </si>
  <si>
    <t>Doris</t>
  </si>
  <si>
    <t>Lamatsch</t>
  </si>
  <si>
    <t>02842 / 52136</t>
  </si>
  <si>
    <t>doris@intersport-ruby.at</t>
  </si>
  <si>
    <t>Thayapark-Straße</t>
  </si>
  <si>
    <t>Umsetzungs-Schwerpunktberatung Energie</t>
  </si>
  <si>
    <t>Kirchenwirt</t>
  </si>
  <si>
    <t>Klaus</t>
  </si>
  <si>
    <t>Jöch</t>
  </si>
  <si>
    <t>Schlossergasse</t>
  </si>
  <si>
    <t>Baumhauer &amp; Söhne GmbH</t>
  </si>
  <si>
    <t>Sascha</t>
  </si>
  <si>
    <t>Baumhauer</t>
  </si>
  <si>
    <t>02913 / 272-22</t>
  </si>
  <si>
    <t>sascha@baumhauer.at</t>
  </si>
  <si>
    <t>Geras</t>
  </si>
  <si>
    <t>Dallein</t>
  </si>
  <si>
    <t>Konzepterstellung Aufbau Fernwärmeversorgung</t>
  </si>
  <si>
    <t>Tischlerei Lamprecht OG</t>
  </si>
  <si>
    <t>Dobersberg</t>
  </si>
  <si>
    <t>Merkengersch</t>
  </si>
  <si>
    <t>Umsetzungs-Schwerpunktberatung Energie, PV-Anlgae</t>
  </si>
  <si>
    <t>Reinhard Weingartner</t>
  </si>
  <si>
    <t>Reinhard</t>
  </si>
  <si>
    <t>Weingartner</t>
  </si>
  <si>
    <t>Burgschleinitz-Kühnring</t>
  </si>
  <si>
    <t>Reinprechtspölla</t>
  </si>
  <si>
    <t>Hilfe bei Umstieg auf E-Mobilität &amp; Konzepterstellung Energieeffizienz- und Einsparmaßnahmen</t>
  </si>
  <si>
    <t>EDV Beratung</t>
  </si>
  <si>
    <t>Gantner</t>
  </si>
  <si>
    <t>Röhrenbach</t>
  </si>
  <si>
    <t>Hilfe Konzepterstellung für PV-Anlage inkl. Unterstützung bei Förderungen</t>
  </si>
  <si>
    <t>Silberbauer Bandfabrik</t>
  </si>
  <si>
    <t>Groß-Siegharts</t>
  </si>
  <si>
    <t>Hilfe bei Konzepterstellung PV, Aufstellung Förderungen / Einspeistarife</t>
  </si>
  <si>
    <t>Bäckerei Betz</t>
  </si>
  <si>
    <t>Betz</t>
  </si>
  <si>
    <t>Hilfe bei Auslegung &amp; Wirtschaftlichkeitsrechnung PV-Anlage inkl. Förderungen</t>
  </si>
  <si>
    <t>Floristik Suchan KG</t>
  </si>
  <si>
    <t>Suchan</t>
  </si>
  <si>
    <t>Sieghartsles</t>
  </si>
  <si>
    <t>Hilfe Konzepterstellung PV-Anlage &amp; Unterstützung möglicher Förderungen</t>
  </si>
  <si>
    <t>Raiffeisenbank Schrems</t>
  </si>
  <si>
    <t>Walter</t>
  </si>
  <si>
    <t>Zwettler</t>
  </si>
  <si>
    <t>Hilfe Konzepterstellung für Anschluss an Fernwärme-Biomasseheizwerk, Aufstellung möglicher Förderungen</t>
  </si>
  <si>
    <t>Tischlerei Köck</t>
  </si>
  <si>
    <t>Wilfried</t>
  </si>
  <si>
    <t>Köck</t>
  </si>
  <si>
    <t>Raabs an der Thaya</t>
  </si>
  <si>
    <t>Zabernreith</t>
  </si>
  <si>
    <t>Energie, ÖKO Kurzberatung (Flachdachsanierung)</t>
  </si>
  <si>
    <t>Tyco Electronics</t>
  </si>
  <si>
    <t>Dimling</t>
  </si>
  <si>
    <t>Schrackstraße</t>
  </si>
  <si>
    <t>Vergl. Unterschiedlicher Heizungsvarianten, Förderung</t>
  </si>
  <si>
    <t>Henlg Schotter-Asphalt-Recycling GmbH</t>
  </si>
  <si>
    <t>Limberg</t>
  </si>
  <si>
    <t>Konzepterstellung thermische Gebäudesanierung inkl. Fenster</t>
  </si>
  <si>
    <t>Autohaus Klement GmbH</t>
  </si>
  <si>
    <t>Oberhöflein</t>
  </si>
  <si>
    <t>Konzepterstellung Energieautarkie des Betriebs</t>
  </si>
  <si>
    <t>Hochwallner</t>
  </si>
  <si>
    <t>Konzepterstellung für Energieeffizienz und Nachaltigkeitsauswahl der Heizung und des Stromanbieters</t>
  </si>
  <si>
    <t>Metalltechnik Halbwachs</t>
  </si>
  <si>
    <t>Manfred</t>
  </si>
  <si>
    <t>Halbwachs</t>
  </si>
  <si>
    <t>Mank</t>
  </si>
  <si>
    <t>Schulstraße</t>
  </si>
  <si>
    <t>Konzepterstellung für energieeffiziente Optimierung Kleinwasserkraftwerk</t>
  </si>
  <si>
    <t>Leopold Hofstätter GmbH</t>
  </si>
  <si>
    <t>Konzepterstellung für Umstellung der Heizung, Unterstützung bei Aufstellung möglicher Förderungen</t>
  </si>
  <si>
    <t>Leitner Gertrude</t>
  </si>
  <si>
    <t>Gertrude</t>
  </si>
  <si>
    <t>Leitner</t>
  </si>
  <si>
    <t>Unterlembach</t>
  </si>
  <si>
    <t>Konzepterstellung für thermische Gebäudesanierung inkl. Umstellung Heizoptimierung</t>
  </si>
  <si>
    <t>Atuohaus Wais GmbH</t>
  </si>
  <si>
    <t>Konzepterstellung für Energiespar- und Energieeffiziensmaßnahmen und Optimierung Heizungssystems</t>
  </si>
  <si>
    <t>Hotel Pichler</t>
  </si>
  <si>
    <t>Josef</t>
  </si>
  <si>
    <t>Melk</t>
  </si>
  <si>
    <t>Dorfnerstraße</t>
  </si>
  <si>
    <t>Vergl. Unterschiedlicher Heizungsvarianten, Thermische Solaranlage, Förderung</t>
  </si>
  <si>
    <t>Riedl Siegfried</t>
  </si>
  <si>
    <t>Leopoldsdorf</t>
  </si>
  <si>
    <t>Konzepterstellung für Umstellung der Heizung, Auslegung PV-Anlage</t>
  </si>
  <si>
    <t>Böhm GmbH</t>
  </si>
  <si>
    <t>Förderung, PV-Anlage</t>
  </si>
  <si>
    <t>Holzbau Willibald Longin GmbH</t>
  </si>
  <si>
    <t>Konzepterstellung für Energiesparmaßnahmen am Firmengebäude inkl. Tausch der Heizungsanlage</t>
  </si>
  <si>
    <t>Gross</t>
  </si>
  <si>
    <t>Günther</t>
  </si>
  <si>
    <t>Vestenpoppen</t>
  </si>
  <si>
    <t>Konzepterstellung im Zuge geplanter Heizungsoptimierung</t>
  </si>
  <si>
    <t>Murhamer</t>
  </si>
  <si>
    <t>Ravelsbach</t>
  </si>
  <si>
    <t>Konzepterstellung für öko Heizungsanlage im Geschäft</t>
  </si>
  <si>
    <t>Sparkasse Waldviertel Mitte Bank AG</t>
  </si>
  <si>
    <t>Gföhl</t>
  </si>
  <si>
    <t>Konzepterstellung geplanter Thermischer Sanierung</t>
  </si>
  <si>
    <t>Waldpension Nordwald</t>
  </si>
  <si>
    <t>Moorbad Harbach</t>
  </si>
  <si>
    <t>Maissen</t>
  </si>
  <si>
    <t>Konzepterstellung alternativer Heizungsnalage, thermische Gebäudesanierung</t>
  </si>
  <si>
    <t>UWET- Umwelttechnik GmbH</t>
  </si>
  <si>
    <t>St. Leonhard / Forst</t>
  </si>
  <si>
    <t>Auswirkung themische Sanierung, mögliche Förderungen, Lüftungsanlage, Wärmeverteilung, LED-Außenstrahler</t>
  </si>
  <si>
    <t>Egston System Electronics Eggenburg GmbH</t>
  </si>
  <si>
    <t>Reiss</t>
  </si>
  <si>
    <t>Grafenbergerstraße</t>
  </si>
  <si>
    <t>Optimierung der Biomassefernwärmeversorgung</t>
  </si>
  <si>
    <t>Landgasthof zum Topf</t>
  </si>
  <si>
    <t>Oswald</t>
  </si>
  <si>
    <t>Topf</t>
  </si>
  <si>
    <t>Kaltenbach</t>
  </si>
  <si>
    <t>Solaranlage, Förderungen, Pflanzenöl-BHKW</t>
  </si>
  <si>
    <t>Klang Rainer</t>
  </si>
  <si>
    <t>Rainer</t>
  </si>
  <si>
    <t>Klang</t>
  </si>
  <si>
    <t>Allensteig</t>
  </si>
  <si>
    <t>Hilfe bei Umstellung auf alternative Energieträger</t>
  </si>
  <si>
    <t>Wagner KEG</t>
  </si>
  <si>
    <t>Martin</t>
  </si>
  <si>
    <t>Wagner</t>
  </si>
  <si>
    <t>Amstetten</t>
  </si>
  <si>
    <t>Kaspar Brunnerstraße</t>
  </si>
  <si>
    <t>Kurzberatung betreffend Gebäude und (E-Mobilität)</t>
  </si>
  <si>
    <t>Kristallium Erwin Weber</t>
  </si>
  <si>
    <t>Erwin</t>
  </si>
  <si>
    <t>Weber</t>
  </si>
  <si>
    <t>Hirschenwies</t>
  </si>
  <si>
    <t>Awareness Kurzberatung Energie</t>
  </si>
  <si>
    <t>Wildrast</t>
  </si>
  <si>
    <t>Ivana</t>
  </si>
  <si>
    <t>Sturmova</t>
  </si>
  <si>
    <t>Göpfritz an der Wild</t>
  </si>
  <si>
    <t>Awareness Kurzberarung Energie</t>
  </si>
  <si>
    <t>Stadt Kino Horn</t>
  </si>
  <si>
    <t>Winfrid</t>
  </si>
  <si>
    <t>Meingast</t>
  </si>
  <si>
    <t>Thurnhofgasse</t>
  </si>
  <si>
    <t>Landgasthof Haidl</t>
  </si>
  <si>
    <t>Alexander</t>
  </si>
  <si>
    <t>Haidl</t>
  </si>
  <si>
    <t>Thaya</t>
  </si>
  <si>
    <t>Bahnhofstraße</t>
  </si>
  <si>
    <t>Silberbauer Erwin</t>
  </si>
  <si>
    <t>Silberbauer</t>
  </si>
  <si>
    <t>Schweiggers</t>
  </si>
  <si>
    <t>Sportplatz</t>
  </si>
  <si>
    <t>Rudolf Balley GmbH</t>
  </si>
  <si>
    <t>Rudolf</t>
  </si>
  <si>
    <t>Balley</t>
  </si>
  <si>
    <t>Krems an der Donau</t>
  </si>
  <si>
    <t>Sonnenrain</t>
  </si>
  <si>
    <t>Awareness Kurzberatung Energie, Schwerpunktberatung</t>
  </si>
  <si>
    <t>Metalltechnik Kainz e.U.</t>
  </si>
  <si>
    <t>Kainz</t>
  </si>
  <si>
    <t>Kautzner Straße</t>
  </si>
  <si>
    <t>Awareness Kurzberatung Energie, Schwerpunktberatung Energie</t>
  </si>
  <si>
    <t>Gasthaus Pichler</t>
  </si>
  <si>
    <t>Silvia Maria</t>
  </si>
  <si>
    <t>Schremser Straße</t>
  </si>
  <si>
    <t>Waldbad - Cafe Monika Hirtl</t>
  </si>
  <si>
    <t>Monika</t>
  </si>
  <si>
    <t>Hirtl</t>
  </si>
  <si>
    <t>Groß - Siegharts</t>
  </si>
  <si>
    <t>Rudolf Hohenberg-Gasse</t>
  </si>
  <si>
    <t>Nah &amp; Frisch</t>
  </si>
  <si>
    <t>Barbara</t>
  </si>
  <si>
    <t>Grill</t>
  </si>
  <si>
    <t>Beauty Lounge</t>
  </si>
  <si>
    <t>Daniela</t>
  </si>
  <si>
    <t>Abdrosch</t>
  </si>
  <si>
    <t>Waldreichs</t>
  </si>
  <si>
    <t>Sonnenstraße</t>
  </si>
  <si>
    <t>Awareness Kurzberatung Energie, Kurzberatung, Kurzberatung Mobilität, Schwerpunktberatung</t>
  </si>
  <si>
    <t>Henkel Beiz - und Elektropoliertechnik Beriebs GmbH</t>
  </si>
  <si>
    <t>August Franz</t>
  </si>
  <si>
    <t>Böhm</t>
  </si>
  <si>
    <t>02842 / 54331</t>
  </si>
  <si>
    <t>Stoißmühle</t>
  </si>
  <si>
    <t>Gasthof zur Kirche</t>
  </si>
  <si>
    <t>Schrammel</t>
  </si>
  <si>
    <t>Kottes</t>
  </si>
  <si>
    <t>Kurzberatung Energie</t>
  </si>
  <si>
    <t>PURes Biogemüse GmbH</t>
  </si>
  <si>
    <t>Patrick</t>
  </si>
  <si>
    <t>Dangl</t>
  </si>
  <si>
    <t>Oberweiden</t>
  </si>
  <si>
    <t>Johann Schneider</t>
  </si>
  <si>
    <t>Schneider</t>
  </si>
  <si>
    <t>Langschlag</t>
  </si>
  <si>
    <t>Kainrathschlag</t>
  </si>
  <si>
    <t>Pfabigan</t>
  </si>
  <si>
    <t>Grabenfeldsraße</t>
  </si>
  <si>
    <t>Awareness Kurzberatung Energie, Schwerpunktberatung, Kurzberatung</t>
  </si>
  <si>
    <t>Thomas Blei e.U.</t>
  </si>
  <si>
    <t>Blei</t>
  </si>
  <si>
    <t>Langau</t>
  </si>
  <si>
    <t>Marktgemeinde Rastenfeld</t>
  </si>
  <si>
    <t>Gerhard</t>
  </si>
  <si>
    <t>Wandl</t>
  </si>
  <si>
    <t>Nordgeister e. U. Getränkehandel</t>
  </si>
  <si>
    <t>Kerim</t>
  </si>
  <si>
    <t>El Behi</t>
  </si>
  <si>
    <t>office@nordgeister.at</t>
  </si>
  <si>
    <t>Kautzen</t>
  </si>
  <si>
    <t>Blumenhaus Tutschek</t>
  </si>
  <si>
    <t>Siegfried</t>
  </si>
  <si>
    <t>Tutschek</t>
  </si>
  <si>
    <t>Pulkauerstraße</t>
  </si>
  <si>
    <t>Awareness Kurzberatung Energie, Schwerpunktberatung, Umsetzungs - Schwerpunktberatung PV</t>
  </si>
  <si>
    <t>KFZ - Landtechnik Miksche</t>
  </si>
  <si>
    <t>Edwin</t>
  </si>
  <si>
    <t>Miksche</t>
  </si>
  <si>
    <t>Kirchenstraße</t>
  </si>
  <si>
    <t>TEST - FUCHS GmbH</t>
  </si>
  <si>
    <t>Daniel</t>
  </si>
  <si>
    <t>Neubauer</t>
  </si>
  <si>
    <t>Test Fuchs Straße</t>
  </si>
  <si>
    <t>Transporte allarm</t>
  </si>
  <si>
    <t>Brunn an der Wild</t>
  </si>
  <si>
    <t>Sankt Marein</t>
  </si>
  <si>
    <t>Kurzberatung Hilfe PV Anlage inkl. Wirtschaftlichkitsrg. Mögliche Förderungen</t>
  </si>
  <si>
    <t>ARTE Hotel GmbH</t>
  </si>
  <si>
    <t>Hann</t>
  </si>
  <si>
    <t>Almweg</t>
  </si>
  <si>
    <t>Kurzberatung PV Anlage, mögliche Förderungen, Schwerpunktberatung</t>
  </si>
  <si>
    <t>Handl GmbH</t>
  </si>
  <si>
    <t>Lambert</t>
  </si>
  <si>
    <t>Handl</t>
  </si>
  <si>
    <t>Waldkirchner Straße</t>
  </si>
  <si>
    <t>Kurzberatung Planung PV Anlage, Überschussstrom Heizungsunterstützung</t>
  </si>
  <si>
    <t>Trisko GmbH</t>
  </si>
  <si>
    <t>Stefan</t>
  </si>
  <si>
    <t>Trisko</t>
  </si>
  <si>
    <t>Kleingloms</t>
  </si>
  <si>
    <t>Kurzberatung Grobplanung PV Anlage</t>
  </si>
  <si>
    <t>Wurmhof Thaller</t>
  </si>
  <si>
    <t>Gaby, Wolfgang</t>
  </si>
  <si>
    <t>Thaller</t>
  </si>
  <si>
    <t>Oberhof</t>
  </si>
  <si>
    <t>Gesundheitshotel Klosterberg GmbH</t>
  </si>
  <si>
    <t>Laister</t>
  </si>
  <si>
    <t>Am Berg</t>
  </si>
  <si>
    <t>Kurzberatung, Umsetzungsschwerpunktberatung</t>
  </si>
  <si>
    <t>Stadthotel Waidhofen an der Thaya GmbH &amp; Co KG</t>
  </si>
  <si>
    <t>Eduard</t>
  </si>
  <si>
    <t>Halmschlager</t>
  </si>
  <si>
    <t>Kurzberatung Grobplanung PV Anlage, Kurzberatung E- Mobilität, Schwerpunktberatung PV, Energieeffizienter Neubau, Schwerpunktberatung Neubau SPA, Bereich, Umsetzungs- Schwerpunktberatung Photovoltaik &amp; Speicher, Einsparmaßnahmen Strom</t>
  </si>
  <si>
    <t>C &amp; G Gastgewerbe GmbH</t>
  </si>
  <si>
    <t>Hunor</t>
  </si>
  <si>
    <t>Ince</t>
  </si>
  <si>
    <t>Peygarten-Ottenstein</t>
  </si>
  <si>
    <t>Kurzberatung, Schwerpunktberatung PV Anlage, Heizungsumstellung</t>
  </si>
  <si>
    <t>Schober Martin Mag.</t>
  </si>
  <si>
    <t>Schober</t>
  </si>
  <si>
    <t>02982 / 2007711</t>
  </si>
  <si>
    <t>Josef - Höbarth - Gasse</t>
  </si>
  <si>
    <t>Umsetzungs- Schwerpunktberatung (PV)</t>
  </si>
  <si>
    <t>Raiffeisenbank</t>
  </si>
  <si>
    <t>Landstraße</t>
  </si>
  <si>
    <t>Kurzberatung d Potenzialanalyse für die _x000D_
Solarstromnutzung und Speicherung</t>
  </si>
  <si>
    <t>Lugauer GmbH</t>
  </si>
  <si>
    <t>Lugauer</t>
  </si>
  <si>
    <t>Kurzberatung, E- Mobilität, Umsetzungs- Schwerpunktberatung Energie, Schwerpunktberatung</t>
  </si>
  <si>
    <t>VTW GmbH</t>
  </si>
  <si>
    <t>Schinko</t>
  </si>
  <si>
    <t>Kurzberatung Energieeffizienzsteigerung bei der Energieversorgung, Umsetzungs- Schwerpunktberatung Energie, Umsetzungs- Schwerpunktberatung Energie</t>
  </si>
  <si>
    <t>Malerei Bauer Andreas</t>
  </si>
  <si>
    <t>Bauer</t>
  </si>
  <si>
    <t>Frauenhofner Straße</t>
  </si>
  <si>
    <t>Kurzberatung Energieeffizienzsteigerung, Solarstromnutzung, E - Mobilität, Umsetzungs- Schwerpunktberatung Energie</t>
  </si>
  <si>
    <t>Glas Lunzer</t>
  </si>
  <si>
    <t>Leopold</t>
  </si>
  <si>
    <t>Lunzer</t>
  </si>
  <si>
    <t>Breiteneicher Straße</t>
  </si>
  <si>
    <t>Kurzberatung, E - Mobilität</t>
  </si>
  <si>
    <t>Roßnagl Christian</t>
  </si>
  <si>
    <t>Roßnagl</t>
  </si>
  <si>
    <t>St. Bernhard - Frauenhofen</t>
  </si>
  <si>
    <t>Groß Burgstall</t>
  </si>
  <si>
    <t>Awareness Kurzberatung Energie, Kurzberatung Neubau und Grobauslegung der PV Anlage,  Umsetzungs- Schwerpunktberatung Energie PV _x000D_
PV Anlage</t>
  </si>
  <si>
    <t>Theater - und Feriendorf Königsleitn GmbH</t>
  </si>
  <si>
    <t>Zeno</t>
  </si>
  <si>
    <t>Stanek</t>
  </si>
  <si>
    <t>Litschau</t>
  </si>
  <si>
    <t>Buchenstraße</t>
  </si>
  <si>
    <t>Awareness Kurzberatung Energie, Umsetzungs- Schwerpunktberatung Energie</t>
  </si>
  <si>
    <t>Hager</t>
  </si>
  <si>
    <t>Otmar</t>
  </si>
  <si>
    <t>Koller</t>
  </si>
  <si>
    <t>Pleßberg</t>
  </si>
  <si>
    <t>Gasthof zur goldenen Rose</t>
  </si>
  <si>
    <t>Schindler</t>
  </si>
  <si>
    <t>Kuben Baugesellschaft m. b. H.</t>
  </si>
  <si>
    <t>Kuben</t>
  </si>
  <si>
    <t>Gemeindegasthaus STEFAN Thomas</t>
  </si>
  <si>
    <t>Straning-Grafenberg</t>
  </si>
  <si>
    <t>Straning</t>
  </si>
  <si>
    <t>Windhag Betriebs - und Verwlatungs GmbH</t>
  </si>
  <si>
    <t>Warringer</t>
  </si>
  <si>
    <t>Franzen</t>
  </si>
  <si>
    <t>Schloss Waldreichs</t>
  </si>
  <si>
    <t>Kurzberatung, Shwerpunktberatung</t>
  </si>
  <si>
    <t>CLA Tech Maschinen - und Fertigungstechnik GmbH</t>
  </si>
  <si>
    <t>Margarita</t>
  </si>
  <si>
    <t>Altmann</t>
  </si>
  <si>
    <t>0650 / 7965035</t>
  </si>
  <si>
    <t>m.altmann@cla-tech.at</t>
  </si>
  <si>
    <t>Guntersdorf</t>
  </si>
  <si>
    <t>Kalladorfer Straße</t>
  </si>
  <si>
    <t>Kurzberatung, Schwerpunktberatung, Umsetungsschwerpunktberatung</t>
  </si>
  <si>
    <t>MR - CT Diagnosezentrum Horn Breitenseher GmbH</t>
  </si>
  <si>
    <t>Tanja</t>
  </si>
  <si>
    <t>Waltinger</t>
  </si>
  <si>
    <t>Spitalgasse</t>
  </si>
  <si>
    <t>Awareness Kurzberatung Energie, Umsetzungs- Schwerpunktberatung</t>
  </si>
  <si>
    <t>Schrenk GmbH</t>
  </si>
  <si>
    <t>Raiffeisenstraße</t>
  </si>
  <si>
    <t>Awareness Kurzberatung Energie, Umsetzungs- Schwerpunktberatung (PV)</t>
  </si>
  <si>
    <t>Bäckerei Linsbauer KG</t>
  </si>
  <si>
    <t>Drosendorf</t>
  </si>
  <si>
    <t>Hofer Media GmbH &amp; Co KG</t>
  </si>
  <si>
    <t>Hofer</t>
  </si>
  <si>
    <t>Im Stadtfeld</t>
  </si>
  <si>
    <t>Fahrschule Pfeifer</t>
  </si>
  <si>
    <t>Petra</t>
  </si>
  <si>
    <t>Stohmayer - Pfeifer</t>
  </si>
  <si>
    <t>Stadtgraben</t>
  </si>
  <si>
    <t>Awareness Kurzberatung, Umsetzungs - Schwerpunktberatung PV</t>
  </si>
  <si>
    <t>Hundlinger Bürotechnik u. Handels Ges. mbH &amp; Co. KG.</t>
  </si>
  <si>
    <t>Harald</t>
  </si>
  <si>
    <t>Hundlinger</t>
  </si>
  <si>
    <t>Wilhelm Miklas - Platz</t>
  </si>
  <si>
    <t>Handarbeiten Elisabeth Maurer</t>
  </si>
  <si>
    <t>Elisabeth</t>
  </si>
  <si>
    <t>Maurer</t>
  </si>
  <si>
    <t>Ganser Dach GmbH</t>
  </si>
  <si>
    <t>Etzler</t>
  </si>
  <si>
    <t>Göprfitz an der Wild</t>
  </si>
  <si>
    <t>Merkenbrechts</t>
  </si>
  <si>
    <t>Dachdeckerei Pfieffer</t>
  </si>
  <si>
    <t>Margit</t>
  </si>
  <si>
    <t>Koller - Pfeiffer</t>
  </si>
  <si>
    <t>Am Stadtteich</t>
  </si>
  <si>
    <t>Umsetzungs - Schwerpunktberatung PV</t>
  </si>
  <si>
    <t>Widhalm Landtechnik GmbH</t>
  </si>
  <si>
    <t>Chritoph</t>
  </si>
  <si>
    <t>Widhalm</t>
  </si>
  <si>
    <t>Kurzberatung, Schwerpunktberatung PV Anlage mit Speicher, Schwerpunktberatung  E - Mobilität Ladestellen Car - Sharing</t>
  </si>
  <si>
    <t>Immobilienverwaltung Grafenegg GmbH</t>
  </si>
  <si>
    <t>Gerald</t>
  </si>
  <si>
    <t>Türk</t>
  </si>
  <si>
    <t>Grafenegg</t>
  </si>
  <si>
    <t>Zimmerei &amp; Holzbau GmbH</t>
  </si>
  <si>
    <t>Steiner</t>
  </si>
  <si>
    <t>02987 / 24224</t>
  </si>
  <si>
    <t>office@waldholzbauen.at</t>
  </si>
  <si>
    <t>St. Leonhard</t>
  </si>
  <si>
    <t>Untertautendorferamt</t>
  </si>
  <si>
    <t>Wingelhofer &amp; Söhne GmbH</t>
  </si>
  <si>
    <t>Rene</t>
  </si>
  <si>
    <t>Wingelhofer</t>
  </si>
  <si>
    <t>Weitersfeld</t>
  </si>
  <si>
    <t>Starrein</t>
  </si>
  <si>
    <t>Hausgnost GmbH</t>
  </si>
  <si>
    <t>Hausgnost</t>
  </si>
  <si>
    <t>Kurzberatung, Schwerpunktberatung PV</t>
  </si>
  <si>
    <t>AWS - Förderbegleitung Erich Kolm</t>
  </si>
  <si>
    <t>Erich und Elfried</t>
  </si>
  <si>
    <t>Kolm</t>
  </si>
  <si>
    <t>Reichers</t>
  </si>
  <si>
    <t>Umsetzungs - Schwerpunktberatung</t>
  </si>
  <si>
    <t>Ableidinger</t>
  </si>
  <si>
    <t>Langschwarza</t>
  </si>
  <si>
    <t>Awareness Kurzberatung, Umsetzungs - Schwerpunktberatung PV - Anlage</t>
  </si>
  <si>
    <t>Brodesser Daniela</t>
  </si>
  <si>
    <t>Brodesser</t>
  </si>
  <si>
    <t>St. Leonhard am Hornerwald</t>
  </si>
  <si>
    <t>Wolfshoferamt</t>
  </si>
  <si>
    <t>Umsetzungs - Schwerpunktberatung Heizungsumstellung</t>
  </si>
  <si>
    <t>Pfaller Bettina</t>
  </si>
  <si>
    <t>Bettina</t>
  </si>
  <si>
    <t>Pfaller</t>
  </si>
  <si>
    <t>Prager Straße</t>
  </si>
  <si>
    <t>Awareness Kurzberatung, Umsetzungs - Schwerpunktberatung PV + Stromspeicher</t>
  </si>
  <si>
    <t>Maier Markus</t>
  </si>
  <si>
    <t>Maier</t>
  </si>
  <si>
    <t>Rosenburg - Mold</t>
  </si>
  <si>
    <t>Mörtersdorf</t>
  </si>
  <si>
    <t>Hasutechnik Petz Dominik</t>
  </si>
  <si>
    <t>Dominik</t>
  </si>
  <si>
    <t>Petz</t>
  </si>
  <si>
    <t>Hadres</t>
  </si>
  <si>
    <t>Obritz</t>
  </si>
  <si>
    <t>VSZ GmbH</t>
  </si>
  <si>
    <t>Weiß</t>
  </si>
  <si>
    <t>Magnesitstraße</t>
  </si>
  <si>
    <t>Gasthaus zum Rene</t>
  </si>
  <si>
    <t>Lebersorger</t>
  </si>
  <si>
    <t>Fabrikenstraße</t>
  </si>
  <si>
    <t>NÖ Festival und Kino GmbH</t>
  </si>
  <si>
    <t>Ernst</t>
  </si>
  <si>
    <t>Dr.-Karl-Dorrek-Straße</t>
  </si>
  <si>
    <t>Bruckner Fenster und Türen GmbH</t>
  </si>
  <si>
    <t>Bruckner</t>
  </si>
  <si>
    <t>Groß Gerungs</t>
  </si>
  <si>
    <t>Ober Rosenauerwald</t>
  </si>
  <si>
    <t>Museumsplatz</t>
  </si>
  <si>
    <t>Kurzberatung EE / betriebliche Energieeffizienz, Maßnahmen zur Energieeinsparung, PV, Heizungsumstellung</t>
  </si>
  <si>
    <t>Florian Kainz</t>
  </si>
  <si>
    <t>Florian</t>
  </si>
  <si>
    <t>Friends Tourisitk GmbH</t>
  </si>
  <si>
    <t>Astrid</t>
  </si>
  <si>
    <t>Kurzberatung, Schwerpunktberatung PV - Dachanlage</t>
  </si>
  <si>
    <t>Raiffeisenbank Altmelon</t>
  </si>
  <si>
    <t>Scharitzer</t>
  </si>
  <si>
    <t>Altmelon</t>
  </si>
  <si>
    <t>Kurzberatung, Schwerpunktberatung PV - Anlage und Speicher</t>
  </si>
  <si>
    <t>WMB Weinviertel Museum Betriebs GmbH</t>
  </si>
  <si>
    <t>Mistelbach</t>
  </si>
  <si>
    <t>Waldstraße</t>
  </si>
  <si>
    <t>Martin Brandstetter</t>
  </si>
  <si>
    <t>Brandstetter</t>
  </si>
  <si>
    <t>Schönberg am Kamp</t>
  </si>
  <si>
    <t>Thürneustift</t>
  </si>
  <si>
    <t>Kurzberatung, Schwerpunktberatung PV Carport, PV 3Dächer</t>
  </si>
  <si>
    <t>Benediktinerstift Altenburg</t>
  </si>
  <si>
    <t>Stadler</t>
  </si>
  <si>
    <t>Abt - Placidus - Much - Straße</t>
  </si>
  <si>
    <t>Schulmeister GmbH</t>
  </si>
  <si>
    <t>Schulmeister</t>
  </si>
  <si>
    <t>Bahnstraße</t>
  </si>
  <si>
    <t>Schwerpunktberatung PV</t>
  </si>
  <si>
    <t>Leidenfrost - Pool GmbH</t>
  </si>
  <si>
    <t>Leidenfrost</t>
  </si>
  <si>
    <t>Josef Leidenfrost - Straße</t>
  </si>
  <si>
    <t>Kurzberatung PV, Awareness Kurzberatung</t>
  </si>
  <si>
    <t>Solagranum Gmbh</t>
  </si>
  <si>
    <t>Forster</t>
  </si>
  <si>
    <t>Kurzberatung, Awareness Kurzberatung</t>
  </si>
  <si>
    <t>Ruthner Sandra</t>
  </si>
  <si>
    <t>Sandra</t>
  </si>
  <si>
    <t>Ruthner</t>
  </si>
  <si>
    <t>Karlstein an der Thaya</t>
  </si>
  <si>
    <t>Mühlweg</t>
  </si>
  <si>
    <t>Awareness Kurzberatung Energieeffizienz, EE, Mobilität und Kreislaufwirtschaft</t>
  </si>
  <si>
    <t>Georg Wurz</t>
  </si>
  <si>
    <t>Georg</t>
  </si>
  <si>
    <t>Wurz</t>
  </si>
  <si>
    <t>Hinterzeile</t>
  </si>
  <si>
    <t>Umsetzungs - Schwerpunktberatung Energie</t>
  </si>
  <si>
    <t>PUMPENoase Handels GmbH</t>
  </si>
  <si>
    <t>FOX Werbegrafik Rathmanner KG</t>
  </si>
  <si>
    <t>Rathmanner</t>
  </si>
  <si>
    <t>andreas@fox.co.at</t>
  </si>
  <si>
    <t>Oberplank</t>
  </si>
  <si>
    <t>EXTERSTAHL Handels GmbH</t>
  </si>
  <si>
    <t>Hellerschmid</t>
  </si>
  <si>
    <t>0664 / 1642844</t>
  </si>
  <si>
    <t>b.hellerschmid@exterstahl.at</t>
  </si>
  <si>
    <t>Dr.-Franz-Wilhelm-Straße</t>
  </si>
  <si>
    <t>Awareness Kurzberatung Energieeffizienz, EE, Mobilität und Kreislaufwirtschaft,</t>
  </si>
  <si>
    <t>Kreativer Holzbau GmbH &amp; Co KG</t>
  </si>
  <si>
    <t>office@kreativerholzbau.at</t>
  </si>
  <si>
    <t>Moidrams</t>
  </si>
  <si>
    <t>Umsetzungs- Schwerpunktberatung, Awareness Kurzberatung</t>
  </si>
  <si>
    <t>Holzbau Unfried GmbH</t>
  </si>
  <si>
    <t>baminger@holzbau-unfried.at</t>
  </si>
  <si>
    <t>Gewerbestraße</t>
  </si>
  <si>
    <t>Awareness Kurzberatung, Umsetzungs- Schwerpunktberatung PV</t>
  </si>
  <si>
    <t>Gesundheitshotel Moorbad Bad Großpertholz GmbH</t>
  </si>
  <si>
    <t>Bernadette</t>
  </si>
  <si>
    <t>Kitzler</t>
  </si>
  <si>
    <t>direktion@moorbad-badgrosspertholz.at</t>
  </si>
  <si>
    <t>Bad Großpertholz</t>
  </si>
  <si>
    <t>Erneuerung Heizanlage und Heizungspumpen, Strommonitoring</t>
  </si>
  <si>
    <t>Benediktnerstift Altenburg</t>
  </si>
  <si>
    <t>Erneuerung Heizanlage, Installation PV Anlagen</t>
  </si>
  <si>
    <t>Marktgemeinde Ober - Grafendorf</t>
  </si>
  <si>
    <t>Lurger</t>
  </si>
  <si>
    <t>Ober - Grafendorf</t>
  </si>
  <si>
    <t>LED - Tasuch, Strommonitoring, Installation PV Anlagen, Thermische Sanierung Gebäude</t>
  </si>
  <si>
    <t>Badener Kulturbetriebs - GmbH</t>
  </si>
  <si>
    <t>Baden</t>
  </si>
  <si>
    <t>Josefsplatz</t>
  </si>
  <si>
    <t>Thermische Sanierung Gebäudehülle, Reduktion Energiekosten</t>
  </si>
  <si>
    <t>aL!VE - Allenszeiger lichtspiel Verein</t>
  </si>
  <si>
    <t>Pölzl</t>
  </si>
  <si>
    <t>Dr. Ernst Krennstraße</t>
  </si>
  <si>
    <t>Sanierung Geschoßdecke, Fassadensanierung, Erneuerung Heizanlage, Installation PV Anlagen</t>
  </si>
  <si>
    <t>Hofkollektiv Zwetschke - Verein zur Förderung solidarischen und ökologischen Lebens</t>
  </si>
  <si>
    <t>Laner</t>
  </si>
  <si>
    <t>Neggers</t>
  </si>
  <si>
    <t>Sanierung, Energieeffizienz</t>
  </si>
  <si>
    <t>Marktgemeinde Guntersdorf</t>
  </si>
  <si>
    <t>Raiffeisen Platz</t>
  </si>
  <si>
    <t>Gebäudesanierung, Heizungsumstellung</t>
  </si>
  <si>
    <t>Marktgemeinde Hohenwarth - Mühlbach</t>
  </si>
  <si>
    <t>Gudenus</t>
  </si>
  <si>
    <t>Hohenwarth</t>
  </si>
  <si>
    <t>Arbeitsgemeinschaft Sozialdienst Mostviertel</t>
  </si>
  <si>
    <t>Burghofer</t>
  </si>
  <si>
    <t>0677 / 63771127</t>
  </si>
  <si>
    <t>Preinsbacher Straße 39-41</t>
  </si>
  <si>
    <t>Frank Reisen GmbH</t>
  </si>
  <si>
    <t>02842 / 35000</t>
  </si>
  <si>
    <t>Hans Kudlich Straße</t>
  </si>
  <si>
    <t>Ökomanagement - Projektberatung PV</t>
  </si>
  <si>
    <t>Eggenburg Gemeinde</t>
  </si>
  <si>
    <t>Burkhard</t>
  </si>
  <si>
    <t>Hammer</t>
  </si>
  <si>
    <t>Diözese St. Pölten</t>
  </si>
  <si>
    <t>02742 / 324</t>
  </si>
  <si>
    <t>St. Pölten</t>
  </si>
  <si>
    <t>Domplatz</t>
  </si>
  <si>
    <t>Unterstützung Energiebedarf und PV (Ökomanagement - Beratung)</t>
  </si>
  <si>
    <t>Freiwillige Feuerwehr Groß - Siegharts</t>
  </si>
  <si>
    <t>0676 / 5336887</t>
  </si>
  <si>
    <t>Fraslgasse</t>
  </si>
  <si>
    <t>Ökomanagement - Projektberatung Gebäudesanierung, Ökomanagement - Checkberatung</t>
  </si>
  <si>
    <t>Pfarre Maria Laach</t>
  </si>
  <si>
    <t>0676 / 826633235</t>
  </si>
  <si>
    <t>Maria Laach am Jauerling</t>
  </si>
  <si>
    <t>Maria Laach</t>
  </si>
  <si>
    <t>Ökomanagement NÖ Energieeffizienzmaßnahmen Gebäude und Mobilität</t>
  </si>
  <si>
    <t>02942 / 2306</t>
  </si>
  <si>
    <t>Ökomanagement - Checkberatung Sanierung Gebäude</t>
  </si>
  <si>
    <t>Evangelissche Pfarre Gmünd - Waidhofen</t>
  </si>
  <si>
    <t>0664 / 7364734</t>
  </si>
  <si>
    <t>Gmünd</t>
  </si>
  <si>
    <t>Beratung und Unterstützung Effizienzmaßnahmen bei Wärmeversorgung</t>
  </si>
  <si>
    <t>Neue Mittelschule Dobersberg</t>
  </si>
  <si>
    <t>02843 / 2201</t>
  </si>
  <si>
    <t>Energieberatung Ökomanagement - Beratung thermische Sanierung</t>
  </si>
  <si>
    <t>Großharras</t>
  </si>
  <si>
    <t>Windpassinger</t>
  </si>
  <si>
    <t>02526 / 7315</t>
  </si>
  <si>
    <t>Ökomanagement NÖ "Gebäudesanierung lang ", thermische Sanierung</t>
  </si>
  <si>
    <t>Wildendürnbach Gemeinde</t>
  </si>
  <si>
    <t>02523 / 8252</t>
  </si>
  <si>
    <t>Wildendürnbach</t>
  </si>
  <si>
    <t>Ökomanagement - Beratung Energieeffizienzmaßnahmen Anlagen und Gebäude</t>
  </si>
  <si>
    <t>Krumau am Kamp</t>
  </si>
  <si>
    <t>Krumau</t>
  </si>
  <si>
    <t>Ökomanagment Gemeindegebäude</t>
  </si>
  <si>
    <t>Marktgemeinde Straning - Grafenberg</t>
  </si>
  <si>
    <t>Fleischl</t>
  </si>
  <si>
    <t>02984 / 7273</t>
  </si>
  <si>
    <t>Stadtgemeinde Baden</t>
  </si>
  <si>
    <t>02252 / 86800570</t>
  </si>
  <si>
    <t>Haidhofstraße</t>
  </si>
  <si>
    <t>Ökomanagement - beratung "Energieberatung lang", PV</t>
  </si>
  <si>
    <t>Schweiggers Marktgemeinde</t>
  </si>
  <si>
    <t>02829 / 8234 - 10</t>
  </si>
  <si>
    <t>gemeinde@schweiggers.gv.at</t>
  </si>
  <si>
    <t>Ökomanagement - Beratung Gebäudesanierung</t>
  </si>
  <si>
    <t>Rathausgebäude Weitra</t>
  </si>
  <si>
    <t>Weitra</t>
  </si>
  <si>
    <t>Rathausplatz</t>
  </si>
  <si>
    <t>Beratung PV - Anlage</t>
  </si>
  <si>
    <t>Verein zur Förderung der Mohn - und Getreidezüchtung</t>
  </si>
  <si>
    <t>02822 / 54412</t>
  </si>
  <si>
    <t>Edelhof</t>
  </si>
  <si>
    <t>Beratung Sanierung,</t>
  </si>
  <si>
    <t>Kirchberg am Walde</t>
  </si>
  <si>
    <t>02854 / 7010</t>
  </si>
  <si>
    <t>Marktgemeinde Staatz</t>
  </si>
  <si>
    <t>02524 / 2212</t>
  </si>
  <si>
    <t>Kautendorf</t>
  </si>
  <si>
    <t>Schlossplatz</t>
  </si>
  <si>
    <t>Beratung Mustersanierung</t>
  </si>
  <si>
    <t>MGN Milchgenossenschaft NÖ</t>
  </si>
  <si>
    <t>02252 / 89581 - 1872</t>
  </si>
  <si>
    <t>Vöslauer Straße</t>
  </si>
  <si>
    <t>Beratung thermische Gebäudesanierung</t>
  </si>
  <si>
    <t>Marktgemeinde Amaliendorf - Aalfang</t>
  </si>
  <si>
    <t>02862 / 53495</t>
  </si>
  <si>
    <t>Amaliendorf</t>
  </si>
  <si>
    <t>Retz Stadtgemeinde</t>
  </si>
  <si>
    <t>02942 / 2223</t>
  </si>
  <si>
    <t>UNIQA</t>
  </si>
  <si>
    <t>Cafe Mocca</t>
  </si>
  <si>
    <t>Bundesschülerheim</t>
  </si>
  <si>
    <t>Band Garten GmbH</t>
  </si>
  <si>
    <t>Langthaler Transport</t>
  </si>
  <si>
    <t>Gilli Mühlen Getr.-Handels GmbH</t>
  </si>
  <si>
    <t>Stadtgemeinde Geras</t>
  </si>
  <si>
    <t>Friseursalon</t>
  </si>
  <si>
    <t>Smart Motel GmbH</t>
  </si>
  <si>
    <t>Autohaus Waldviertel</t>
  </si>
  <si>
    <t>Sonnenstudio</t>
  </si>
  <si>
    <t>Sonja</t>
  </si>
  <si>
    <t>Diakonie Technik Zentrale</t>
  </si>
  <si>
    <t>Magistrat Krems - Feuerwehr</t>
  </si>
  <si>
    <t>Kremser Immobilien Ges. m. b. H. und Co. Kg</t>
  </si>
  <si>
    <t>DI Chritoph Stenzel, MA</t>
  </si>
  <si>
    <t>DI Christoph Stenzel, MA</t>
  </si>
  <si>
    <t>DI Christoph Stanzel, MA</t>
  </si>
  <si>
    <t>Magistrat der Stadt Krems</t>
  </si>
  <si>
    <t>Kremser Immobilien Ges. m. b. H. und Ci KG</t>
  </si>
  <si>
    <t>Kremser Immobilien Ges.m. b. H. und Co KG</t>
  </si>
  <si>
    <t>GEDESAG - Krems</t>
  </si>
  <si>
    <t>Kremser Immobilien Ges. m. b. H. und Co KG</t>
  </si>
  <si>
    <t>Wolfgang Teuschl</t>
  </si>
  <si>
    <t>Auswahl:</t>
  </si>
  <si>
    <t>Reiter</t>
  </si>
  <si>
    <t>Buildings</t>
  </si>
  <si>
    <t>Mobility</t>
  </si>
  <si>
    <t>Energiegemeinschaft</t>
  </si>
  <si>
    <t>EEGTeilnehmer</t>
  </si>
  <si>
    <t>Anlage</t>
  </si>
  <si>
    <t>Lastprofildaten</t>
  </si>
  <si>
    <t>Nutzung</t>
  </si>
  <si>
    <t>Prozesse</t>
  </si>
  <si>
    <t>Customers</t>
  </si>
  <si>
    <t>AdditionalNote</t>
  </si>
  <si>
    <t>HeatedFloorArea</t>
  </si>
  <si>
    <t>HeatedFloorAreaMainUsage</t>
  </si>
  <si>
    <t>HeatedFloorAreaSecondUsage</t>
  </si>
  <si>
    <t>Heat consumption (kWh/year)</t>
  </si>
  <si>
    <t>Heating costs (€/year)</t>
  </si>
  <si>
    <t>Electricity consumption (kWh/year)</t>
  </si>
  <si>
    <t>Electricity costs (€/year)</t>
  </si>
  <si>
    <t>Autohaus</t>
  </si>
  <si>
    <t>4</t>
  </si>
  <si>
    <t>Workingspace Büro + Wohnung</t>
  </si>
  <si>
    <t>3571</t>
  </si>
  <si>
    <t>Schiler Straße</t>
  </si>
  <si>
    <t>163</t>
  </si>
  <si>
    <t>Musikvereinshaus</t>
  </si>
  <si>
    <t>Geschäft Langenlois</t>
  </si>
  <si>
    <t>Büro + Lagerhalle</t>
  </si>
  <si>
    <t>Arzthaus</t>
  </si>
  <si>
    <t>Schule</t>
  </si>
  <si>
    <t>Büro + Beherbergung</t>
  </si>
  <si>
    <t>Kräuterhalle</t>
  </si>
  <si>
    <t>Körnerhalle</t>
  </si>
  <si>
    <t>3812</t>
  </si>
  <si>
    <t>2</t>
  </si>
  <si>
    <t>Wien Wallnerstr. 2</t>
  </si>
  <si>
    <t>Produktion Eggern</t>
  </si>
  <si>
    <t>14</t>
  </si>
  <si>
    <t>Eishalle Gars - ThermSan + OptimKälteanlage, PV</t>
  </si>
  <si>
    <t>500</t>
  </si>
  <si>
    <t>12</t>
  </si>
  <si>
    <t>Nu47 - Lautlos.haus</t>
  </si>
  <si>
    <t>1090</t>
  </si>
  <si>
    <t>Nussdorfer Straße</t>
  </si>
  <si>
    <t>47</t>
  </si>
  <si>
    <t>Zentralgebäude alt</t>
  </si>
  <si>
    <t>Junges Hotel Annaberg</t>
  </si>
  <si>
    <t>3222</t>
  </si>
  <si>
    <t>Annaberg</t>
  </si>
  <si>
    <t>Annarotte</t>
  </si>
  <si>
    <t>77</t>
  </si>
  <si>
    <t>Waidhofen/th</t>
  </si>
  <si>
    <t>Brauerei</t>
  </si>
  <si>
    <t>Produktion</t>
  </si>
  <si>
    <t>Kunstmeile</t>
  </si>
  <si>
    <t>3500</t>
  </si>
  <si>
    <t>5</t>
  </si>
  <si>
    <t>Zentrale</t>
  </si>
  <si>
    <t>Reinigung</t>
  </si>
  <si>
    <t>Gebäude</t>
  </si>
  <si>
    <t>Tschlerei</t>
  </si>
  <si>
    <t>Seminarhotel</t>
  </si>
  <si>
    <t>8</t>
  </si>
  <si>
    <t>Büro + Privatwohnhaus</t>
  </si>
  <si>
    <t>Sonstige konditionierte Gebäude</t>
  </si>
  <si>
    <t>Gasthaus</t>
  </si>
  <si>
    <t>Gaststätte, sonstiges konditioniertes Gebäude</t>
  </si>
  <si>
    <t>Betriebsgebäude mit Wohnungen</t>
  </si>
  <si>
    <t>Druckerei</t>
  </si>
  <si>
    <t>Möbelhaus</t>
  </si>
  <si>
    <t>Werkstätte</t>
  </si>
  <si>
    <t>Sportgeschäft</t>
  </si>
  <si>
    <t>Gastronomie + Beherbergung</t>
  </si>
  <si>
    <t>Halle</t>
  </si>
  <si>
    <t>Tischlerei</t>
  </si>
  <si>
    <t>Sägewerk Gebäude</t>
  </si>
  <si>
    <t>Gebäude Büro + Wohnung</t>
  </si>
  <si>
    <t>Fabrik Gebäude</t>
  </si>
  <si>
    <t>Verkaufsstätte</t>
  </si>
  <si>
    <t>Cafehaus</t>
  </si>
  <si>
    <t>Gebäude Gärtnerei</t>
  </si>
  <si>
    <t>Produktionsbetrieb</t>
  </si>
  <si>
    <t>Büro + Privatgebäude</t>
  </si>
  <si>
    <t>Zimmerei</t>
  </si>
  <si>
    <t>Gebädue</t>
  </si>
  <si>
    <t>Mühle</t>
  </si>
  <si>
    <t>Autohaus und KFZ Werkstätte</t>
  </si>
  <si>
    <t>Hotel, Restaurant</t>
  </si>
  <si>
    <t>Gaststätte</t>
  </si>
  <si>
    <t>Bürogebaäude</t>
  </si>
  <si>
    <t>Gasthaus + Waldpension</t>
  </si>
  <si>
    <t>Fitnesstudio + Ingenieurbüro</t>
  </si>
  <si>
    <t>Bürogebäude</t>
  </si>
  <si>
    <t>Bürohalle</t>
  </si>
  <si>
    <t>Gaststätte, Verkaufsstätte, Beherbergungsgebäude</t>
  </si>
  <si>
    <t>Gasthof</t>
  </si>
  <si>
    <t>Gebäude (Kino + Wohnungen)</t>
  </si>
  <si>
    <t>Büro + Wohngebäude</t>
  </si>
  <si>
    <t>Büro + Halle</t>
  </si>
  <si>
    <t>Büro</t>
  </si>
  <si>
    <t>Veranstaltungsstätte</t>
  </si>
  <si>
    <t>Lager</t>
  </si>
  <si>
    <t>2295</t>
  </si>
  <si>
    <t>Büro + e Werkstatt im Privathaus + Halle</t>
  </si>
  <si>
    <t>400</t>
  </si>
  <si>
    <t>Gebäude, SPAR</t>
  </si>
  <si>
    <t>Blumenhaus</t>
  </si>
  <si>
    <t>KFZ - Werkstatt / Halle</t>
  </si>
  <si>
    <t>Hotel</t>
  </si>
  <si>
    <t>Werkstatt</t>
  </si>
  <si>
    <t>Gebäude (Seminarraum)</t>
  </si>
  <si>
    <t>Gesundheitshotel</t>
  </si>
  <si>
    <t>3532</t>
  </si>
  <si>
    <t>Peygarten - Ottenstein</t>
  </si>
  <si>
    <t>69</t>
  </si>
  <si>
    <t>Gebäude (Werkstatt)</t>
  </si>
  <si>
    <t>Hotel + Feriendorf</t>
  </si>
  <si>
    <t>Gesundheitszentrum</t>
  </si>
  <si>
    <t>3580</t>
  </si>
  <si>
    <t>August - Bachinger - Gasse</t>
  </si>
  <si>
    <t>3902</t>
  </si>
  <si>
    <t>30</t>
  </si>
  <si>
    <t>Bäckerei</t>
  </si>
  <si>
    <t>2095</t>
  </si>
  <si>
    <t>23</t>
  </si>
  <si>
    <t>Gebäude (Büro + Schule)</t>
  </si>
  <si>
    <t>32</t>
  </si>
  <si>
    <t>Bildungseinrichtung</t>
  </si>
  <si>
    <t>1</t>
  </si>
  <si>
    <t>3</t>
  </si>
  <si>
    <t>3800</t>
  </si>
  <si>
    <t>49</t>
  </si>
  <si>
    <t>3830</t>
  </si>
  <si>
    <t>KFZ - Werkstätte</t>
  </si>
  <si>
    <t>Kunsthalle</t>
  </si>
  <si>
    <t>Kloster</t>
  </si>
  <si>
    <t>Bank</t>
  </si>
  <si>
    <t>Gebäude (Haus)</t>
  </si>
  <si>
    <t>Gastronomie</t>
  </si>
  <si>
    <t>Feuerwehrhaus</t>
  </si>
  <si>
    <t>Pfarrgebäude</t>
  </si>
  <si>
    <t>Mittelschule</t>
  </si>
  <si>
    <t>Gemeindeamt</t>
  </si>
  <si>
    <t>Gemeinde, Kindergarten</t>
  </si>
  <si>
    <t>Gebäude Gemeinde</t>
  </si>
  <si>
    <t>3931</t>
  </si>
  <si>
    <t>Mödershof</t>
  </si>
  <si>
    <t>Gebäude Museum</t>
  </si>
  <si>
    <t>Rathausgebäude</t>
  </si>
  <si>
    <t>Gebäude Kindergarten</t>
  </si>
  <si>
    <t>Gebäude (Internat)</t>
  </si>
  <si>
    <t>Geschäft / Gärtnerei</t>
  </si>
  <si>
    <t>Büro + Wohnunh + Garage</t>
  </si>
  <si>
    <t>Kläranlage ?</t>
  </si>
  <si>
    <t>Motel</t>
  </si>
  <si>
    <t>Werkstatt + Stauraum + Büro</t>
  </si>
  <si>
    <t>Gebäude (Studio + Wohnung)</t>
  </si>
  <si>
    <t>Feuerwehrzentrale</t>
  </si>
  <si>
    <t>Egelsee bei Krems</t>
  </si>
  <si>
    <t>Hafnerplatz</t>
  </si>
  <si>
    <t>Schülerhort Krems - Stein</t>
  </si>
  <si>
    <t>Maria - Grengg - Gasse</t>
  </si>
  <si>
    <t>Kindergarten Krems-Stein</t>
  </si>
  <si>
    <t>Maria _Grengg - Gasse</t>
  </si>
  <si>
    <t>Kindergarten Krems - Lerchenfeld</t>
  </si>
  <si>
    <t>Auparkweg</t>
  </si>
  <si>
    <t>35</t>
  </si>
  <si>
    <t>Volksschule Krems-Stein</t>
  </si>
  <si>
    <t>Volksschule Lerchenfeld</t>
  </si>
  <si>
    <t>Judenburger - Straße</t>
  </si>
  <si>
    <t>21</t>
  </si>
  <si>
    <t>Schülerhort Lerchenfeld</t>
  </si>
  <si>
    <t>16</t>
  </si>
  <si>
    <t>Kindergarten Krems - Gneixendorf</t>
  </si>
  <si>
    <t>Wolfsgraben</t>
  </si>
  <si>
    <t>Kindergarten Krems - Rehberg</t>
  </si>
  <si>
    <t>Rehberger Hauptstraße</t>
  </si>
  <si>
    <t>71</t>
  </si>
  <si>
    <t>Volksschule Krems - Rehberg</t>
  </si>
  <si>
    <t>Waldhofweg</t>
  </si>
  <si>
    <t>Volksschule Krems - Egelsee</t>
  </si>
  <si>
    <t>Sporthalle</t>
  </si>
  <si>
    <t>Strandbadstraße</t>
  </si>
  <si>
    <t>KG</t>
  </si>
  <si>
    <t>3505</t>
  </si>
  <si>
    <t>Brunnkirchen bei Krems</t>
  </si>
  <si>
    <t>Brunnfeldgasse</t>
  </si>
  <si>
    <t>Göttweigerhofgasse</t>
  </si>
  <si>
    <t>7</t>
  </si>
  <si>
    <t>Krems - Mitterau</t>
  </si>
  <si>
    <t>Mitterausstraße</t>
  </si>
  <si>
    <t>Hohensteinstraße</t>
  </si>
  <si>
    <t>Wohnhaus / KG</t>
  </si>
  <si>
    <t>Krems - Lerchenfeld</t>
  </si>
  <si>
    <t>Hammerlingstraße</t>
  </si>
  <si>
    <t>2091</t>
  </si>
  <si>
    <t>99</t>
  </si>
  <si>
    <t>WSPK</t>
  </si>
  <si>
    <t>3970</t>
  </si>
  <si>
    <t>Sparkasseplatz</t>
  </si>
  <si>
    <t>164</t>
  </si>
  <si>
    <t>InternalCustomerId</t>
  </si>
  <si>
    <t>InternalBuildingId</t>
  </si>
  <si>
    <t>2019 Ökologische Betriebsberatung, 2025 Energieeffizienz EE Mobilität und Kreislaufwirtschaft</t>
  </si>
  <si>
    <t>Bislang kein Auftrag</t>
  </si>
  <si>
    <t>Projekt abgeleht</t>
  </si>
  <si>
    <t>abgelehnt</t>
  </si>
  <si>
    <t>Z562</t>
  </si>
  <si>
    <t>Z481</t>
  </si>
  <si>
    <t>Z618</t>
  </si>
  <si>
    <t>Z673 (Stromverbrauch an 2 Standorten zusammen)</t>
  </si>
  <si>
    <t>Z671</t>
  </si>
  <si>
    <t>Z666</t>
  </si>
  <si>
    <t>Z664</t>
  </si>
  <si>
    <t>Z688</t>
  </si>
  <si>
    <t>Z624</t>
  </si>
  <si>
    <t>Z616</t>
  </si>
  <si>
    <t>Z612</t>
  </si>
  <si>
    <t>Z611</t>
  </si>
  <si>
    <t>Z609</t>
  </si>
  <si>
    <t>Z693</t>
  </si>
  <si>
    <t>Z568</t>
  </si>
  <si>
    <t>Z594 (an mehreren Standorten)</t>
  </si>
  <si>
    <t>Z593</t>
  </si>
  <si>
    <t>Z590</t>
  </si>
  <si>
    <t>Z587</t>
  </si>
  <si>
    <t>Z579</t>
  </si>
  <si>
    <t>576</t>
  </si>
  <si>
    <t>Z575</t>
  </si>
  <si>
    <t>Z555</t>
  </si>
  <si>
    <t>Z549</t>
  </si>
  <si>
    <t>Z511</t>
  </si>
  <si>
    <t>Z487</t>
  </si>
  <si>
    <t>Z397</t>
  </si>
  <si>
    <t>2018, 2019</t>
  </si>
  <si>
    <t>2018 Awareness Kurzberatung Energie, 2020 Kurzberatung, 2020 Kurzberatung, Mobilität, 2020 Schwertpunktberatung</t>
  </si>
  <si>
    <t>2018-2019 Awareness Kurzberatung und Schwerpunktberatung, 2020 Kurzberatung E Mobilität</t>
  </si>
  <si>
    <t>2019 Awareness Kurzberatung Energie, Schwerpunktberatung, 2020 Kurzberatung, 2023 Schwerpunktberatung</t>
  </si>
  <si>
    <t>2019 Awareness Kurzberatung Energie, Schwerpunktberatung, 2021 Umsetzungs - Schwerpunktberatung PV</t>
  </si>
  <si>
    <t>2019 Kurzberatung PV Anlage, mögliche Förderungen, 2020 Schwerpunktberatung PV Anlagen</t>
  </si>
  <si>
    <t>2019 Kurzberatung, , 2020 Umsetzungsschwerpunktberatung</t>
  </si>
  <si>
    <t>2019 Kurzberatung Grobplanung PV Anlage, Kurzberatung E- Mobilität, 2020 Schwerpunktberatung PV, Energieeffizienter Neubau, 2021 Schwerpunktberatung Neubau SPA Bereich, Umsetzungs- Schwerpunktberatung Photovoltaik &amp; Speicher, 2022 Einsparmaßnahmen Strom,</t>
  </si>
  <si>
    <t>2020 Kurzberatung, E- Mobilität, Umsetzungs- Schwerpunktberatung Energie, 2021 Kurzberatung  und Schwerpunktberatung</t>
  </si>
  <si>
    <t>2020 Awareness Kurzberatung Energie, Kurzberatung Neubau und Grobauslegung der PV Anlage,  Umsetzungs- Schwerpunktberatung Energie PV , 2021 Beratung Umstellung Heizung / Strom</t>
  </si>
  <si>
    <t>2021 Kurzberatung, Umsetzungs - Schwerpunktberatung , 2022 Schwerpunktberatung</t>
  </si>
  <si>
    <t>2020 Kurzberatung, 2022 Schwerpunktberatung PV Anlage mit Speicher, Schwerberatung E - Mobilität Ladestellen Car-Sharing</t>
  </si>
  <si>
    <t>2020 Kurzberatung, 2022 Schwerpunktberatung</t>
  </si>
  <si>
    <t>und Minoritenplatz 4</t>
  </si>
  <si>
    <t>2. Ansprechperson Reinhard Kern</t>
  </si>
  <si>
    <t>AUSGEFÜLLT IM FRAGEBOGEN ZUM ENERGIEBEDARF IN GEBÄUDEN</t>
  </si>
  <si>
    <t>2020 Kurzberatung, 2023 PV - Dachanlage</t>
  </si>
  <si>
    <t>Sonstige konidionierte Gebäude</t>
  </si>
  <si>
    <t>Proj.- Aktuell - Sons. Proj. - 1Verkaufsstätte9 ENSET - AP05 U. - AP05 1.000 Gebäude - Bearb. - Gebäude Horn - Horn Datenbank Excel</t>
  </si>
  <si>
    <t>Z6Verkaufsstätte</t>
  </si>
  <si>
    <t>Sportstätte</t>
  </si>
  <si>
    <t>Mehrzweckgebäude</t>
  </si>
  <si>
    <t>Beherbergungsbetrieb</t>
  </si>
  <si>
    <t>Bürostätte, Verkaufsstätte</t>
  </si>
  <si>
    <t>UsageType</t>
  </si>
  <si>
    <t>Österreich</t>
  </si>
  <si>
    <t>Subsidies</t>
  </si>
  <si>
    <t>LastContact</t>
  </si>
  <si>
    <t>Mit Customer übereinzustimmen..</t>
  </si>
  <si>
    <t>Mustersanierung VS-Pillichsdorf</t>
  </si>
  <si>
    <t>Gem Pillichsdorf</t>
  </si>
  <si>
    <t>VS + KiGa Pillichsdorf</t>
  </si>
  <si>
    <t>11</t>
  </si>
  <si>
    <t>Proj.- Aktuell - Sons. Proj. - 1139 ENSET - AP05 U. - AP05 1.000 Gebäude - Bearb. - Gebäude Horn - Horn Datenbank Excel</t>
  </si>
  <si>
    <t>10</t>
  </si>
  <si>
    <t>13</t>
  </si>
  <si>
    <t>PV Brunnengebiet</t>
  </si>
  <si>
    <t>Gem Krems</t>
  </si>
  <si>
    <t>Karl Riederich Gesellschaft m.b.H.</t>
  </si>
  <si>
    <t>ehem DM</t>
  </si>
  <si>
    <t>Wirtschaftskammer NÖ</t>
  </si>
  <si>
    <t>9</t>
  </si>
  <si>
    <t>Thermische Sanierung inkl. Unterstützung bei Fördereinreichunter-lagen</t>
  </si>
  <si>
    <t>Eisen Roth Handels-GmbH</t>
  </si>
  <si>
    <t>Waidhofen / Thaya</t>
  </si>
  <si>
    <t>Manuela Raab</t>
  </si>
  <si>
    <t>Koppensteiner</t>
  </si>
  <si>
    <t>Stefan Schuh RBW</t>
  </si>
  <si>
    <t>Autohaus Dallamaßl RBW</t>
  </si>
  <si>
    <t>BMV Becker RBW</t>
  </si>
  <si>
    <t>Arian RBW</t>
  </si>
  <si>
    <t>HOSOL GmbH</t>
  </si>
  <si>
    <t>Schloss</t>
  </si>
  <si>
    <t>Steinböckstraße</t>
  </si>
  <si>
    <t>WMB Niedersulz</t>
  </si>
  <si>
    <t>Kurzberatung (Gebäudehülle, PV-Anlage und Beleuchtung)</t>
  </si>
  <si>
    <t>Scharf Automation GmbH</t>
  </si>
  <si>
    <t>Awarenessberatung</t>
  </si>
  <si>
    <t>Höritzauer</t>
  </si>
  <si>
    <t>Höritzauer Gebäude</t>
  </si>
  <si>
    <t>(Öko Strom)</t>
  </si>
  <si>
    <t>Urlike Ramharter KG</t>
  </si>
  <si>
    <t>Modegeschäft</t>
  </si>
  <si>
    <t>Waidhoden/Thaya</t>
  </si>
  <si>
    <t>Raiffeisenpromenade</t>
  </si>
  <si>
    <t>(öko Strom)</t>
  </si>
  <si>
    <t>Horst Hainböck GmbH</t>
  </si>
  <si>
    <t>Gebäude (Werkstatt + Büro)</t>
  </si>
  <si>
    <t>15</t>
  </si>
  <si>
    <t>Konzepterstellung Auslegung PV - Anlage inkl. Wirtschaftlichkeitsrg., Förderunterstützung</t>
  </si>
  <si>
    <t>Naturpark Heidenreichsteiner Moor</t>
  </si>
  <si>
    <t>Naturpark</t>
  </si>
  <si>
    <t>3860</t>
  </si>
  <si>
    <t>Waidhofner Straße</t>
  </si>
  <si>
    <t>80</t>
  </si>
  <si>
    <t>Energie, ÖKO Kurzberatung</t>
  </si>
  <si>
    <t>Verein Weltladen Horn</t>
  </si>
  <si>
    <t>6</t>
  </si>
  <si>
    <t>TELL Stephan Kainz KG</t>
  </si>
  <si>
    <t>Böhmgasse</t>
  </si>
  <si>
    <t>34</t>
  </si>
  <si>
    <t>nicht beantragt</t>
  </si>
  <si>
    <t>Knell GmbH</t>
  </si>
  <si>
    <t>Konzepterstellung Umstieg auf E-Mobilität inkl. Ladestationen, Förderungen</t>
  </si>
  <si>
    <t>Müssauer</t>
  </si>
  <si>
    <t>Konzepterstellung PV-Anlage, Förderungen</t>
  </si>
  <si>
    <t>ILD Temper-Samhaber KG</t>
  </si>
  <si>
    <t>Ökö- Kurzberatung</t>
  </si>
  <si>
    <t>Toyota - Scheibelhofer GmbH</t>
  </si>
  <si>
    <t>Hilfe bei der Konzepterstellung (PV-Anlage inkl. Wirtschaftlickeitsrechnung</t>
  </si>
  <si>
    <t>Jürgen Nussbaum</t>
  </si>
  <si>
    <t>Eunika Grahofer Naturladen</t>
  </si>
  <si>
    <t>Naturladen</t>
  </si>
  <si>
    <t>Hilfe bei der Konzepterstellung (Thermische Sanierung, Auswahl öko nachhaltiger Heizungsanlage)</t>
  </si>
  <si>
    <t>Popp Rainer</t>
  </si>
  <si>
    <t>Hilfe bei der Energiebedarfserhebung und Konzepterstellung</t>
  </si>
  <si>
    <t>Landgasthof Surböck</t>
  </si>
  <si>
    <t>Gasthof + Beherbergung</t>
  </si>
  <si>
    <t>Konzepterstellung thermische Sanierung</t>
  </si>
  <si>
    <t>Gasthof Schurnig</t>
  </si>
  <si>
    <t>Hilfe bei Konzepterstellung zur Auslegung PV-Anlage inkl. Fördereinrichtung</t>
  </si>
  <si>
    <t>Erlebnispark Kamptal GmbH &amp; Co KG</t>
  </si>
  <si>
    <t>Baugewerbe</t>
  </si>
  <si>
    <t>Erhebung der Energiesparpotentiale, Überprüfung Einsatz mögl. Alternativanlagen</t>
  </si>
  <si>
    <t>Gasthof-Hotel Waschka</t>
  </si>
  <si>
    <t>Beherbergung</t>
  </si>
  <si>
    <t>Z462</t>
  </si>
  <si>
    <t>Öko Betriebsberatung (Klimaschutz, Energiesparberatung)</t>
  </si>
  <si>
    <t>Hick Gartenbau</t>
  </si>
  <si>
    <t>Gärtnerei</t>
  </si>
  <si>
    <t>Sonstige konditionierte Gebäude, Verkaufsstätte</t>
  </si>
  <si>
    <t>Z468</t>
  </si>
  <si>
    <t>Hilfe bei Investitionsförderung thermische Gebäudesanierung</t>
  </si>
  <si>
    <t>Gerhard Wiesinger GmbH</t>
  </si>
  <si>
    <t>Hilfe bei der Konzepterstellung Abwärmenutzung der Biogasanlage</t>
  </si>
  <si>
    <t>Regionalberatung</t>
  </si>
  <si>
    <t>Büro + Wohnungen</t>
  </si>
  <si>
    <t>Konzepterstellung einer thermischen Sanierung, Förderungen</t>
  </si>
  <si>
    <t>Trafik Pecksteiner</t>
  </si>
  <si>
    <t>Trafik und Friseursalon</t>
  </si>
  <si>
    <t>Fernwärmeanlage</t>
  </si>
  <si>
    <t>Bioenergie GmbH</t>
  </si>
  <si>
    <t>Z556</t>
  </si>
  <si>
    <t>Öko Schwerpunktberatung Standardförderung</t>
  </si>
  <si>
    <t>Haschka</t>
  </si>
  <si>
    <t>Z563</t>
  </si>
  <si>
    <t>Volksbank Horn</t>
  </si>
  <si>
    <t>Gebäude (Bank)</t>
  </si>
  <si>
    <t>Fenstertausch, Energiespartipps, Vergleich Strom- und Gasanbieter</t>
  </si>
  <si>
    <t>ASIA- Restaurant Xiang Li Lu</t>
  </si>
  <si>
    <t>Gasthof+ Wohnung</t>
  </si>
  <si>
    <t>Z405</t>
  </si>
  <si>
    <t>Energie RAIKA, Öko-Kurzberatung</t>
  </si>
  <si>
    <t>Restaurant Zum Max</t>
  </si>
  <si>
    <t>Z493</t>
  </si>
  <si>
    <t>Sondierung bzgl. Partnern und Verwendung v. E-Fahrzeugen im Sommerbetrieb</t>
  </si>
  <si>
    <t>Rudolf Berger Kulturconsulting KG</t>
  </si>
  <si>
    <t>Kurzberatung Erzeugung v. elektrischer Energie mit Hilfe von Abwärme</t>
  </si>
  <si>
    <t>ALPLA GmbH</t>
  </si>
  <si>
    <t>Haus der Zuversicht</t>
  </si>
  <si>
    <t>Gebäude (Verein)</t>
  </si>
  <si>
    <t>Hilfe bei Umsetzung für Umstieg auf E-Mobilität, Konzepterstellung Ladstationen, Aufstellung und Unterstützung Förderungen</t>
  </si>
  <si>
    <t>Union Sportverein Langau</t>
  </si>
  <si>
    <t>E-Fahrzeuge + Ladestationen</t>
  </si>
  <si>
    <t>Hilfe bei Umsetzung für Umstieg auf E- Mobilität, Konzepterstellung Ladestationen, Aufstellung &amp; Unterstützung Förderungen</t>
  </si>
  <si>
    <t>Adolf Krumbholz KG</t>
  </si>
  <si>
    <t>Textilhaus</t>
  </si>
  <si>
    <t>Hilfe Konzeperstellung PV-Anlage, Förderungen und Einspeistarife</t>
  </si>
  <si>
    <t>Immobilien Management GesmbH</t>
  </si>
  <si>
    <t>Z672</t>
  </si>
  <si>
    <t>Anlagendokumentation, Förderungen</t>
  </si>
  <si>
    <t>Zimmerei Herbert Hochwallner</t>
  </si>
  <si>
    <t>Z663</t>
  </si>
  <si>
    <t>Energiebedarf und Einsparungspotenzial, Vorgeschlagene Maßnahmen, Kennzahlen</t>
  </si>
  <si>
    <t>Injectoplast KunststoffverarbeitungsGesmbH</t>
  </si>
  <si>
    <t>Z614</t>
  </si>
  <si>
    <t>Bürostätte, Vrkaufsstätte</t>
  </si>
  <si>
    <t>Z613</t>
  </si>
  <si>
    <t>Vergleich unterschiedlicher Heizvarianten, Förderung, PV-Anlage</t>
  </si>
  <si>
    <t>Maringer</t>
  </si>
  <si>
    <t>Kaufhaus</t>
  </si>
  <si>
    <t>Z567</t>
  </si>
  <si>
    <t>Konzepterstellug für Energieeffiziensmaßnahmen, Unterstützung PV-Anlage</t>
  </si>
  <si>
    <t>Ing. Adolf Weltzl</t>
  </si>
  <si>
    <t>Privatwohnhaus+Büro</t>
  </si>
  <si>
    <t>Z592</t>
  </si>
  <si>
    <t>Konzeptentwicklung Geschäftsmodell, Alternative Energieversorgung</t>
  </si>
  <si>
    <t>LOY Solartechnik</t>
  </si>
  <si>
    <t>Z565</t>
  </si>
  <si>
    <t>Aufbereitung der Projektidee bis zur Einreichfähigkeit IEE</t>
  </si>
  <si>
    <t>ALTECH Power &amp; ILDC GmbH</t>
  </si>
  <si>
    <t>Z552</t>
  </si>
  <si>
    <t>Konzepterstellung Solar-bzw-PV-Anlage, thermische Sanierung Speisesaal</t>
  </si>
  <si>
    <t>Hotel Winterbach</t>
  </si>
  <si>
    <t>Z519</t>
  </si>
  <si>
    <t>Konzepterstellung von Energiesparmaßnahmen</t>
  </si>
  <si>
    <t>Fichtenbauer</t>
  </si>
  <si>
    <t>Z517</t>
  </si>
  <si>
    <t>Mögliche Förderun, Beleuchtungskonzept LED, Druckluftleitungen</t>
  </si>
  <si>
    <t>Kaufmann Gerhard</t>
  </si>
  <si>
    <t>Halle (KFZ- Werkstätte)</t>
  </si>
  <si>
    <t>Z514</t>
  </si>
  <si>
    <t>Hackschnitzel-Fernwärme-Heizungsvariante, Wärmedämmung im Haizraum, Nachtabsenkung, PV-Anlage-Stromerzeugung, LED-Beleuchtung</t>
  </si>
  <si>
    <t>Alubau GesmbH</t>
  </si>
  <si>
    <t>Z498</t>
  </si>
  <si>
    <t>Förderschiene Wärmerückgewinnungsmaßnahmen, Strombedarf Elektrogeräte, Empfehlungen zum Backofen, Geänderter Energieträger für Backofen</t>
  </si>
  <si>
    <t>Z473</t>
  </si>
  <si>
    <t>Konzepterstellung alternativer Heizungsanlage, Energiesparmaßnahmen, Förderungen</t>
  </si>
  <si>
    <t>Gasthof und Pension Seidl</t>
  </si>
  <si>
    <t>Gasthof + Pension</t>
  </si>
  <si>
    <t>Z486</t>
  </si>
  <si>
    <t>Konzeption eines PV-Kraftwerkes</t>
  </si>
  <si>
    <t>Rabl-Druck</t>
  </si>
  <si>
    <t>Gebäude (Druckerei)</t>
  </si>
  <si>
    <t>Z422</t>
  </si>
  <si>
    <t>Gebäude (Kino)</t>
  </si>
  <si>
    <t>Kristallium</t>
  </si>
  <si>
    <t>Husky-KTW GesmbH</t>
  </si>
  <si>
    <t>2018-2019</t>
  </si>
  <si>
    <t>Schwerpunktberatung Auslegung PV Anlage, Schwerpunktberatung Energieeffizienzsteigerung inkl. Förderunterstützung Neubau, Umsetzungs - Schwerpunktberatung Energie</t>
  </si>
  <si>
    <t>2020 Schwerpunktberatung Auslgung PV, 2021 Energieeffizienzsteigerung Neubau, 2021 Umsetzung</t>
  </si>
  <si>
    <t>Schindl GmbH</t>
  </si>
  <si>
    <t>Geschäft Nah &amp; Frisch</t>
  </si>
  <si>
    <t>Karl Riederich Gesellschaft mbH</t>
  </si>
  <si>
    <t>Awareness Kurzberaatung Energie, Schwerpunktberatung Energie</t>
  </si>
  <si>
    <t>Ewald Gruber Immobilien Betriebs GmbH &amp; Co. KG</t>
  </si>
  <si>
    <t>Shwerpunktberatung Energie</t>
  </si>
  <si>
    <t>Cafe Carambol OG</t>
  </si>
  <si>
    <t>Bar</t>
  </si>
  <si>
    <t>Weinbar - Cafe Thurnhof</t>
  </si>
  <si>
    <t>Cafe- Weinbar</t>
  </si>
  <si>
    <t>Bäckerei Konditorei Bucher</t>
  </si>
  <si>
    <t>Desiree Lauter</t>
  </si>
  <si>
    <t>Geschäft</t>
  </si>
  <si>
    <t>Rudolf Weidenauer Malerei und Anstrich GesmbH</t>
  </si>
  <si>
    <t>Kasparu KG - Cafe Per Du</t>
  </si>
  <si>
    <t>Tankstelle</t>
  </si>
  <si>
    <t>Kurzberatung Heizungsumstellung, Förderungen, Wirtschaftlichkeitsrg.</t>
  </si>
  <si>
    <t>Rohrmoser</t>
  </si>
  <si>
    <t>Kurtberatung</t>
  </si>
  <si>
    <t>Herbert Hettegger</t>
  </si>
  <si>
    <t>Restaurant</t>
  </si>
  <si>
    <t>3914</t>
  </si>
  <si>
    <t>Oberndorf</t>
  </si>
  <si>
    <t>44</t>
  </si>
  <si>
    <t>Schwerpunktberatung, Umsetzungs- Schwerpunktberatung Photovoltaik &amp; Speicher</t>
  </si>
  <si>
    <t>Hotel + Gatronomie</t>
  </si>
  <si>
    <t>3594</t>
  </si>
  <si>
    <t>Pölla</t>
  </si>
  <si>
    <t>2020 Schwerpunktberatung, 2021 Umsetzungs- Schwerpunktberatung Photovoltaik &amp; Speicher</t>
  </si>
  <si>
    <t>Schwerpunktberatung _x000D_
Einsparmaßnahmen Strom Campingplatz</t>
  </si>
  <si>
    <t>C &amp; G Gastegewerbe GmbH</t>
  </si>
  <si>
    <t>Hotel inkl. Campingplatz</t>
  </si>
  <si>
    <t>Rstenfeld</t>
  </si>
  <si>
    <t>Ottenstein</t>
  </si>
  <si>
    <t>Spechtbier</t>
  </si>
  <si>
    <t>BlOobst Weichhart KG</t>
  </si>
  <si>
    <t>Hofladen</t>
  </si>
  <si>
    <t>Kurzberatung Grobplanung Pv Anlage</t>
  </si>
  <si>
    <t>Markus Tutschek</t>
  </si>
  <si>
    <t>Kurzberatung E- Mobilität, Kurzberatung, Umsetzungs- Schwerpunktberatung Energie</t>
  </si>
  <si>
    <t>MEH Mechanical Engineering Holding GmbH</t>
  </si>
  <si>
    <t>2020 Kurzberatung E- Mobilität, 2021 Umsetzungs- Schwerpunktberatung Energie</t>
  </si>
  <si>
    <t>Umsetzungs- Schwerpunktberatung Wärmepumpe und PV</t>
  </si>
  <si>
    <t>Theater- und Feriendorf GmbH</t>
  </si>
  <si>
    <t>3874</t>
  </si>
  <si>
    <t>A &amp; F Pusch OG</t>
  </si>
  <si>
    <t>Damberger Richard</t>
  </si>
  <si>
    <t>Kurzberatung, Umsetzungsschwerpunktberatung PV</t>
  </si>
  <si>
    <t>2020 Kurzberatung, 2021 Umsetzungsschwerpunktberatung PV</t>
  </si>
  <si>
    <t>Bio- Energie aus Japons</t>
  </si>
  <si>
    <t>Kurzberatung, Schwerpunktberatung PV Anlage</t>
  </si>
  <si>
    <t>ML Energietechnik GmbH</t>
  </si>
  <si>
    <t>2020 Kurzberatung, 2021 Schwerpunktberatung PV Anlage</t>
  </si>
  <si>
    <t>Kurzberatung, Umsetzungs- Schwerpunktberatung Energie</t>
  </si>
  <si>
    <t>Waldviertler Frauenwirtschaft</t>
  </si>
  <si>
    <t>Kurzberatung, Umsetzungs - Schwerpunktberatung</t>
  </si>
  <si>
    <t>Modehaus Boden</t>
  </si>
  <si>
    <t>Modehaus</t>
  </si>
  <si>
    <t>2020 Kurzberatung, 2021 Umsetzungs- Schwerpunktberatung</t>
  </si>
  <si>
    <t>Kurzberatung, Schwerpunktberatung</t>
  </si>
  <si>
    <t>Hanlder Holding GmbH</t>
  </si>
  <si>
    <t>Grundstück</t>
  </si>
  <si>
    <t>2462</t>
  </si>
  <si>
    <t>Wilfleinsdorf</t>
  </si>
  <si>
    <t>Ackergasse</t>
  </si>
  <si>
    <t>2020 Kurzberatung, 2021 Schwerpunktberatung</t>
  </si>
  <si>
    <t>AGRO Boskovstejn s. r. o.</t>
  </si>
  <si>
    <t>Biogasanlage</t>
  </si>
  <si>
    <t>TASCA GmbH</t>
  </si>
  <si>
    <t>Mold</t>
  </si>
  <si>
    <t>72</t>
  </si>
  <si>
    <t>Kolibri</t>
  </si>
  <si>
    <t>Wohnhaus + Gatsronomie</t>
  </si>
  <si>
    <t>Awareness Kurzberatung, Umsetzungs - Schwerpunktberatung Wärmepumpe &amp; PV</t>
  </si>
  <si>
    <t>Sajn Alexander</t>
  </si>
  <si>
    <t>29</t>
  </si>
  <si>
    <t>Awareness Kurzberatung, Umsetzungs - Schwerpunktberatung PV und Speicher</t>
  </si>
  <si>
    <t>Tischlerei Johann Weidenauer</t>
  </si>
  <si>
    <t>3524</t>
  </si>
  <si>
    <t>Grainbrunn</t>
  </si>
  <si>
    <t>Moniholz</t>
  </si>
  <si>
    <t>53</t>
  </si>
  <si>
    <t>Kurzberatung, Umsetzungs - Schwerpunktberatung PV, Heizungsumstellung</t>
  </si>
  <si>
    <t>Reinhold Schulz</t>
  </si>
  <si>
    <t>Kurzberatung, Schwerpunktberatung PV - Anlage</t>
  </si>
  <si>
    <t>Frank Gesellschaft m.b.H.</t>
  </si>
  <si>
    <t>Werkhalle</t>
  </si>
  <si>
    <t>Kurzberatung, Awareness Kurzberatung, Umsetzungs - Schwerpunktberatung PV</t>
  </si>
  <si>
    <t>HairWell Alexandra Redl</t>
  </si>
  <si>
    <t>2020 Kurzberatung, 2022 Awareness Kurzberatung</t>
  </si>
  <si>
    <t>Bäckerei Konditorei Angenbauer e. U.</t>
  </si>
  <si>
    <t>Bäckerei / Konditorei</t>
  </si>
  <si>
    <t>Kurzberatung, Awareness Kurzberatung, Umsetzungs- Schwerpunktberatung PV</t>
  </si>
  <si>
    <t>Pani Georg GmbH</t>
  </si>
  <si>
    <t>Betriebsgebäude</t>
  </si>
  <si>
    <t>2020 Kurzberatung, 2022 Awareness Kurzberatung, Umsetzungs - Schwerpunktberatung PV</t>
  </si>
  <si>
    <t>Lamprecht Benjamin</t>
  </si>
  <si>
    <t>Welcome Trading GmbH</t>
  </si>
  <si>
    <t>Gebäude + Halle</t>
  </si>
  <si>
    <t>2440</t>
  </si>
  <si>
    <t>Reisenberg</t>
  </si>
  <si>
    <t>Industriestraße</t>
  </si>
  <si>
    <t>Pani Albert – Sportbootservice Pani</t>
  </si>
  <si>
    <t>174</t>
  </si>
  <si>
    <t>Firmengebäude (Tischlerei, Büro, Wohnbereich)</t>
  </si>
  <si>
    <t>Wesenauer Johann</t>
  </si>
  <si>
    <t>Pfeifer Verena Margareth Bio - Henlderei</t>
  </si>
  <si>
    <t>Strümpf Bettina</t>
  </si>
  <si>
    <t>Kurzberatung PV, Awareness Kurzberatung, Umsetzungs - Schwerpunktberatung PV</t>
  </si>
  <si>
    <t>Kail &amp; Krisch Keramik &amp; Kachelöfen</t>
  </si>
  <si>
    <t>2020 Kurzberatung PV, 2022 Awareness Kurzberatung, Umsetungs - Schwerpunktberatung PV</t>
  </si>
  <si>
    <t>Spitzer Erik</t>
  </si>
  <si>
    <t>Awareness Kurzberatung, Umsetzungs - Schwerpunktberatung PV Anlage Erweiterung</t>
  </si>
  <si>
    <t>Kurt Altmann</t>
  </si>
  <si>
    <t>Sonja Zauner - Trafik</t>
  </si>
  <si>
    <t>Beratung Thermische Sanierung, Heizungstausch</t>
  </si>
  <si>
    <t>Niederösterreichisches Jugendherbergswerk</t>
  </si>
  <si>
    <t>Installation PV Anlagen, LED-Tauch. Strommonitoring</t>
  </si>
  <si>
    <t>Theater Relchenau GmbH</t>
  </si>
  <si>
    <t>Installation PV Anlagen</t>
  </si>
  <si>
    <t>Gemeinde Heldenberg</t>
  </si>
  <si>
    <t>Gemeinde</t>
  </si>
  <si>
    <t>Installation PV Anlagen, Erneuerung Heizanlage</t>
  </si>
  <si>
    <t>Waldviertler Bildungs  - und Wirtschaftsinitiative</t>
  </si>
  <si>
    <t>Installation PV Anlagen, Erneuerung Heizanlage, Strommonitoring</t>
  </si>
  <si>
    <t>MERKIMA DIE GALERIE</t>
  </si>
  <si>
    <t>Installation PV Anlagen, Strommonitoring, Regelung / Wartung Heizanlege, Sanierung Geschoßdecke</t>
  </si>
  <si>
    <t>Österreich - Technisches Kulturinstitut</t>
  </si>
  <si>
    <t>LAND NÖ</t>
  </si>
  <si>
    <t>Heizwerk, PV Dach, E- Ladestellen,</t>
  </si>
  <si>
    <t>Waldviertler Werkstätten GmbH</t>
  </si>
  <si>
    <t>Ökomanagement - Projektberatun, Sanierung Schule</t>
  </si>
  <si>
    <t>Waidhofen an der Thaya Schulgemeinde der Polytechnischen Schule</t>
  </si>
  <si>
    <t>Schulgebäude</t>
  </si>
  <si>
    <t>Unterstptzung Energiebedarf und PV</t>
  </si>
  <si>
    <t>Freiwillige Feuerwehr Unterthumeritz</t>
  </si>
  <si>
    <t>Ökomaagement - Checkberatung Klima und Energie</t>
  </si>
  <si>
    <t>Verein Gemeinsam Aktiv Poigen - Grünberg</t>
  </si>
  <si>
    <t>Kulturhaus</t>
  </si>
  <si>
    <t>Lebensraum Waldviertel</t>
  </si>
  <si>
    <t>Unterstützung Energiebedarf, PV (Ökomanagement - Beratung)</t>
  </si>
  <si>
    <t>Freiwillige Feuerwehr Waldkirchen an der Thaya</t>
  </si>
  <si>
    <t>Unterstützung Energiebedarf unf PV (Ökomanagement - Beratung)</t>
  </si>
  <si>
    <t>Freiwillige Feuerwehr Kautzen</t>
  </si>
  <si>
    <t>Unterstützung Energiebedarf und PV (Ökomanagemeint - Beratung)</t>
  </si>
  <si>
    <t>Feuerwehr Kleinzwettl</t>
  </si>
  <si>
    <t>Verein Frauenberatung Waldviertel</t>
  </si>
  <si>
    <t>Unterstützung Energiebedarf und PV (Ökomaagement - Beratung)</t>
  </si>
  <si>
    <t>Feuerwehr Waidhofen / Thaya</t>
  </si>
  <si>
    <t>Unterstützung Energiebedarf und Dämmmaßnahmen (Ökomanagement - Beratung)</t>
  </si>
  <si>
    <t>Bischöfliches Pristerseminar bzw. Hochschule St. Pölten</t>
  </si>
  <si>
    <t>Geäude</t>
  </si>
  <si>
    <t>Unterstützung Energiebedarf und PV (Ökomanagement - Beratung )</t>
  </si>
  <si>
    <t>Freiwillige Feuerwehr Raabs / Thaya</t>
  </si>
  <si>
    <t>GVU Waidhofen / Thaya</t>
  </si>
  <si>
    <t>Waldviertel Akademie</t>
  </si>
  <si>
    <t>Beratung Gebäudesanierung (Ökomanagement NÖ)</t>
  </si>
  <si>
    <t>Pfarre Zwettl</t>
  </si>
  <si>
    <t>Sanierung thermische Gebäudehülle</t>
  </si>
  <si>
    <t>Bildungshaus St. Hippolyt</t>
  </si>
  <si>
    <t>Unterstützung und Projektentwicklung E- Mobilität und E - Carsharing</t>
  </si>
  <si>
    <t>Zukunftsklub Thayaland</t>
  </si>
  <si>
    <t>TRE Thayaland GmbH</t>
  </si>
  <si>
    <t>Beratung und Unterstützung Energie, Mobilität und Carsharing</t>
  </si>
  <si>
    <t>Mobilitäts Verein Meiseldorf</t>
  </si>
  <si>
    <t>Ökomanagement - Beratung, Konzeption der thermischen Sanierung inkl. Förderberatung</t>
  </si>
  <si>
    <t>Zukunftsraum Thayaland</t>
  </si>
  <si>
    <t>Gebäude Bahnhof</t>
  </si>
  <si>
    <t>Prüfung Nahwärmenetz, Anschluss öffentlicher Gebäude</t>
  </si>
  <si>
    <t>Horner Kommunalgesellschaft mbH</t>
  </si>
  <si>
    <t>Bauhof</t>
  </si>
  <si>
    <t>Ökomanagemnt - Projektberatung Mobilität</t>
  </si>
  <si>
    <t>Gemeinde Waidhofen an der Thaya</t>
  </si>
  <si>
    <t>Ökomanagement - Beratung Energiebedarf und PV, Sanierung</t>
  </si>
  <si>
    <t>Marktgemeinde Thaya</t>
  </si>
  <si>
    <t>Beratung, Austausch der Heizung,</t>
  </si>
  <si>
    <t>Mittelschulgemeinde Vitis</t>
  </si>
  <si>
    <t>Ökomaagement - Beratung Sanierung</t>
  </si>
  <si>
    <t>Marktgemeinde Karlstein an der Thaya</t>
  </si>
  <si>
    <t>Beratung, PV - Anlage Dach,</t>
  </si>
  <si>
    <t>Marktgemeinde Windigsteig</t>
  </si>
  <si>
    <t>Volkscchulgebäude</t>
  </si>
  <si>
    <t>Ökomanagement - Beratung</t>
  </si>
  <si>
    <t>Pfarre Thaya</t>
  </si>
  <si>
    <t>Ökomanagement - Beratung "Energieberatung intensiv"</t>
  </si>
  <si>
    <t>Stadtgemeinde Horn</t>
  </si>
  <si>
    <t>Ökomanagement - Beratung E - Ladestation, Mustersanierung</t>
  </si>
  <si>
    <t>Groß - Siegharts Stadtgemeinde</t>
  </si>
  <si>
    <t>Ökomanagement - Beratung E - Mobilität, Sanierungskonzept Ärztehaus</t>
  </si>
  <si>
    <t>Stadtgemeinde Raabs an der Thaya</t>
  </si>
  <si>
    <t>Ökomanagement - Beratung Sanierung und Erweiterung Amtsgebäude, E- mobilit</t>
  </si>
  <si>
    <t>Marktgemeinde Gastern</t>
  </si>
  <si>
    <t>Tattoo For You</t>
  </si>
  <si>
    <t>A&amp;R Schachinger</t>
  </si>
  <si>
    <t>KFZ Werkstatt</t>
  </si>
  <si>
    <t>Einfamilienhaus</t>
  </si>
  <si>
    <t>Euro - Finanz - Service AG</t>
  </si>
  <si>
    <t>Mehrfamilienhaus</t>
  </si>
  <si>
    <t>Frisör + Fachhandel</t>
  </si>
  <si>
    <t>Jagd - und Gebrauchshundeverband</t>
  </si>
  <si>
    <t>Büro + Einfamilienhaus</t>
  </si>
  <si>
    <t>Freiwillige Feuerwehr</t>
  </si>
  <si>
    <t>FF - Haus, Museum, Fahrz. Halle</t>
  </si>
  <si>
    <t>Stadtkapelle</t>
  </si>
  <si>
    <t>Kapelle</t>
  </si>
  <si>
    <t>Arena Horn</t>
  </si>
  <si>
    <t>Nah und Frisch</t>
  </si>
  <si>
    <t>Einfamilinhaus</t>
  </si>
  <si>
    <t>Mahrfamiienhaus</t>
  </si>
  <si>
    <t>BS</t>
  </si>
  <si>
    <t>Hauptschule + Sonderschule</t>
  </si>
  <si>
    <t>Gebäude Schule</t>
  </si>
  <si>
    <t>Prim. Dr. Florian Friedrich</t>
  </si>
  <si>
    <t>Einfamilienhaus + Ordination</t>
  </si>
  <si>
    <t>Einfamiliehaus</t>
  </si>
  <si>
    <t>Elektro Salzer</t>
  </si>
  <si>
    <t>Rotes Kreuz</t>
  </si>
  <si>
    <t>Eduard Wielach</t>
  </si>
  <si>
    <t>Kindergarten Horn</t>
  </si>
  <si>
    <t>Einfamiienhaus</t>
  </si>
  <si>
    <t>Hubertus Bräu</t>
  </si>
  <si>
    <t>Geschäftlager + Büro + FH</t>
  </si>
  <si>
    <t>Geschäftslager</t>
  </si>
  <si>
    <t>Einfamiliienhaus</t>
  </si>
  <si>
    <t>Wahlarzt</t>
  </si>
  <si>
    <t>Ordination (Röntgen)</t>
  </si>
  <si>
    <t>Wohnung</t>
  </si>
  <si>
    <t>NÖGKK</t>
  </si>
  <si>
    <t>Eifamilienhaus</t>
  </si>
  <si>
    <t>Gemeinde Geras</t>
  </si>
  <si>
    <t>Kaindl Installateur</t>
  </si>
  <si>
    <t>Werkstatt + Büro</t>
  </si>
  <si>
    <t>Ölknechthof</t>
  </si>
  <si>
    <t>Gebäude (Gastro + Beherbergung)</t>
  </si>
  <si>
    <t>Gebäude Gastro</t>
  </si>
  <si>
    <t>(Öko Strom)  Proj.- Aktuell - Sons. Proj. - 1139 ENSET - AP05 U. - AP05 1.000 Gebäude - Bearb. - Gebäude Horn - Horn Datenbank Excel</t>
  </si>
  <si>
    <t>Kiennast Lbm. - Handel</t>
  </si>
  <si>
    <t>Kamptal WHA</t>
  </si>
  <si>
    <t>Mehrfamilienhaus = WHA</t>
  </si>
  <si>
    <t>privat</t>
  </si>
  <si>
    <t>Wohnunh in WHA</t>
  </si>
  <si>
    <t>Wohnung in WHA</t>
  </si>
  <si>
    <t>Privat</t>
  </si>
  <si>
    <t>Wahnung in WHA</t>
  </si>
  <si>
    <t>Mehrfamlienhaus = WHA</t>
  </si>
  <si>
    <t>Vermieter</t>
  </si>
  <si>
    <t>Wohnhaus in WHA</t>
  </si>
  <si>
    <t>Wohung in WHA</t>
  </si>
  <si>
    <t>WAV</t>
  </si>
  <si>
    <t>Wohnhaus</t>
  </si>
  <si>
    <t>Viktor Hotel Ottenstein Besitz GmbH</t>
  </si>
  <si>
    <t>Hotel Reihe D- Bewegung</t>
  </si>
  <si>
    <t>Peygarten</t>
  </si>
  <si>
    <t>60</t>
  </si>
  <si>
    <t>Hotel Reihe D - Tagung</t>
  </si>
  <si>
    <t>Hotel Reihe D - Zimmer</t>
  </si>
  <si>
    <t>Vikotr Hotel Ottenstein Beistz GmbH</t>
  </si>
  <si>
    <t>Hotel Reihe E - Block A</t>
  </si>
  <si>
    <t>Hotel Reihe E - Block B</t>
  </si>
  <si>
    <t>Hotel Reihe E - Block C</t>
  </si>
  <si>
    <t>3533</t>
  </si>
  <si>
    <t>61</t>
  </si>
  <si>
    <t>Hotelreihe E - Block D</t>
  </si>
  <si>
    <t>3534</t>
  </si>
  <si>
    <t>62</t>
  </si>
  <si>
    <t>Hotel Spa</t>
  </si>
  <si>
    <t>3535</t>
  </si>
  <si>
    <t>63</t>
  </si>
  <si>
    <t>Hotel Reihe A - Nord</t>
  </si>
  <si>
    <t>3536</t>
  </si>
  <si>
    <t>64</t>
  </si>
  <si>
    <t>Hotel Reihe A - Süd</t>
  </si>
  <si>
    <t>3537</t>
  </si>
  <si>
    <t>65</t>
  </si>
  <si>
    <t>Hotel Reihe B - Nord</t>
  </si>
  <si>
    <t>3538</t>
  </si>
  <si>
    <t>66</t>
  </si>
  <si>
    <t>Hotel Reihe B - Süd</t>
  </si>
  <si>
    <t>3539</t>
  </si>
  <si>
    <t>67</t>
  </si>
  <si>
    <t>Hotel Reihe C</t>
  </si>
  <si>
    <t>3540</t>
  </si>
  <si>
    <t>68</t>
  </si>
  <si>
    <t>Sabine</t>
  </si>
  <si>
    <t>Birk</t>
  </si>
  <si>
    <t>02245 / 2421</t>
  </si>
  <si>
    <t>s.birk@pillchsdorf.at</t>
  </si>
  <si>
    <t>Pillchsdorf</t>
  </si>
  <si>
    <t>Amtsleiterin</t>
  </si>
  <si>
    <t>Geschäftsführer, Steuerberater</t>
  </si>
  <si>
    <t>Geschäftsführer</t>
  </si>
  <si>
    <t>Schier</t>
  </si>
  <si>
    <t>0664 / 5599217</t>
  </si>
  <si>
    <t>fem@krems.gv.at</t>
  </si>
  <si>
    <t>Rechte Kremszeile</t>
  </si>
  <si>
    <t>Facility- und Energieengagement Mitarbeiter</t>
  </si>
  <si>
    <t>Christine</t>
  </si>
  <si>
    <t>Riederich</t>
  </si>
  <si>
    <t>0664 / 2380740</t>
  </si>
  <si>
    <t>christine@riederich.at</t>
  </si>
  <si>
    <t>Roswitha</t>
  </si>
  <si>
    <t>Barta</t>
  </si>
  <si>
    <t>0681 / 10887481</t>
  </si>
  <si>
    <t>dobersberg@waldviertel-hotels.at</t>
  </si>
  <si>
    <t>Karlsteiner Straße</t>
  </si>
  <si>
    <t>Mag. Gerhard</t>
  </si>
  <si>
    <t>Adamowitsch</t>
  </si>
  <si>
    <t>02842 / 52616.0</t>
  </si>
  <si>
    <t>ado@roth-wt.com</t>
  </si>
  <si>
    <t>Geschäftsführung</t>
  </si>
  <si>
    <t>Hoyos</t>
  </si>
  <si>
    <t>02982 / 2303</t>
  </si>
  <si>
    <t>Niedersulz</t>
  </si>
  <si>
    <t>Maria</t>
  </si>
  <si>
    <t>Scharf</t>
  </si>
  <si>
    <t>0664 / 3829555</t>
  </si>
  <si>
    <t>maria.scharf@scharf-automation.at</t>
  </si>
  <si>
    <t>0650 / 3341144</t>
  </si>
  <si>
    <t>order@wegwartehof.at</t>
  </si>
  <si>
    <t>Urlike</t>
  </si>
  <si>
    <t>Ramharter</t>
  </si>
  <si>
    <t>0676 / 9554147</t>
  </si>
  <si>
    <t>Horst</t>
  </si>
  <si>
    <t>Hainböck</t>
  </si>
  <si>
    <t>0664 / 2016615</t>
  </si>
  <si>
    <t>Stephan</t>
  </si>
  <si>
    <t>0664 / 4227776</t>
  </si>
  <si>
    <t>konditorei@muessauer.at</t>
  </si>
  <si>
    <t>Brigitte</t>
  </si>
  <si>
    <t>Temper-Samhaber</t>
  </si>
  <si>
    <t>St. Martin</t>
  </si>
  <si>
    <t>Harmannschlag</t>
  </si>
  <si>
    <t>Nußbaum</t>
  </si>
  <si>
    <t>Grahofer</t>
  </si>
  <si>
    <t>Eunika</t>
  </si>
  <si>
    <t>Popp</t>
  </si>
  <si>
    <t>Niederleuthnerstraße</t>
  </si>
  <si>
    <t>Hermine</t>
  </si>
  <si>
    <t>Surböck</t>
  </si>
  <si>
    <t>Rodingersdorf</t>
  </si>
  <si>
    <t>Schurnig</t>
  </si>
  <si>
    <t>Schremserstraße</t>
  </si>
  <si>
    <t>Schillerstraße</t>
  </si>
  <si>
    <t>Waschka</t>
  </si>
  <si>
    <t>02856 / 2296</t>
  </si>
  <si>
    <t>markus.muellner@wvnet.at</t>
  </si>
  <si>
    <t>Linhard</t>
  </si>
  <si>
    <t>Florianigasse</t>
  </si>
  <si>
    <t>Pecksteiner</t>
  </si>
  <si>
    <t>Gutenbrunn</t>
  </si>
  <si>
    <t>Ingrid</t>
  </si>
  <si>
    <t>Allentsteig</t>
  </si>
  <si>
    <t>Maximilian Johann</t>
  </si>
  <si>
    <t>Breuer</t>
  </si>
  <si>
    <t>Czirbusz</t>
  </si>
  <si>
    <t>02842 / 52572 - 305</t>
  </si>
  <si>
    <t>Werner.Czirbusz@alpla.com</t>
  </si>
  <si>
    <t>Brunnerstraße</t>
  </si>
  <si>
    <t>Andrea</t>
  </si>
  <si>
    <t>Rapf</t>
  </si>
  <si>
    <t>02842 / 53706</t>
  </si>
  <si>
    <t>andrea.rapf@zuversicht.at</t>
  </si>
  <si>
    <t>Badgasse</t>
  </si>
  <si>
    <t>Geschäftsführerin</t>
  </si>
  <si>
    <t>Lamprecht</t>
  </si>
  <si>
    <t>Adolf</t>
  </si>
  <si>
    <t>Krumbholz</t>
  </si>
  <si>
    <t>Untere Landstraße</t>
  </si>
  <si>
    <t>0664 / 73901632</t>
  </si>
  <si>
    <t>i.m.steiner@aon.at</t>
  </si>
  <si>
    <t>Mittelgasse</t>
  </si>
  <si>
    <t>St.Peter / Au</t>
  </si>
  <si>
    <t>Dobratal</t>
  </si>
  <si>
    <t>Hausleiten</t>
  </si>
  <si>
    <t>Weltzl</t>
  </si>
  <si>
    <t>Stefan Flieger Straße</t>
  </si>
  <si>
    <t>Kaufmann</t>
  </si>
  <si>
    <t>Sieghartsreith</t>
  </si>
  <si>
    <t>Martha</t>
  </si>
  <si>
    <t>Kail</t>
  </si>
  <si>
    <t>Seidl</t>
  </si>
  <si>
    <t>Petrobruck</t>
  </si>
  <si>
    <t>Karl Müller Straße</t>
  </si>
  <si>
    <t>Moorbad</t>
  </si>
  <si>
    <t>Schindl</t>
  </si>
  <si>
    <t>02982 / 2344</t>
  </si>
  <si>
    <t>Ewald</t>
  </si>
  <si>
    <t>Gruber</t>
  </si>
  <si>
    <t>Heinz Dieter</t>
  </si>
  <si>
    <t>Schewig</t>
  </si>
  <si>
    <t>Michaela</t>
  </si>
  <si>
    <t>Eisner</t>
  </si>
  <si>
    <t>Hans Karl</t>
  </si>
  <si>
    <t>Bucher</t>
  </si>
  <si>
    <t>Desiree</t>
  </si>
  <si>
    <t>Lauter</t>
  </si>
  <si>
    <t>Pfarrgasse</t>
  </si>
  <si>
    <t>Dick</t>
  </si>
  <si>
    <t>Anton</t>
  </si>
  <si>
    <t>Könermarkt</t>
  </si>
  <si>
    <t>Hettegger</t>
  </si>
  <si>
    <t>Niedergrünbach</t>
  </si>
  <si>
    <t>Chloupek</t>
  </si>
  <si>
    <t>Kogl</t>
  </si>
  <si>
    <t>Kogler Hauptstraße</t>
  </si>
  <si>
    <t>Matthias</t>
  </si>
  <si>
    <t>Weichhart</t>
  </si>
  <si>
    <t>Oberzwischenbrunn</t>
  </si>
  <si>
    <t>Mozartstraße</t>
  </si>
  <si>
    <t>Franz Josef</t>
  </si>
  <si>
    <t>Pusch</t>
  </si>
  <si>
    <t>Roman Ernst</t>
  </si>
  <si>
    <t>Liebhart</t>
  </si>
  <si>
    <t>Gerasdorf</t>
  </si>
  <si>
    <t>Eignergasse</t>
  </si>
  <si>
    <t>Einzelunternehmer</t>
  </si>
  <si>
    <t>Richard</t>
  </si>
  <si>
    <t>Damberger</t>
  </si>
  <si>
    <t>Franz Leisser - Straße</t>
  </si>
  <si>
    <t>Barbara Pia</t>
  </si>
  <si>
    <t>Hartl</t>
  </si>
  <si>
    <t>Dürnstein</t>
  </si>
  <si>
    <t>Engelbrecht</t>
  </si>
  <si>
    <t>Lemp</t>
  </si>
  <si>
    <t>Hafnerstraße</t>
  </si>
  <si>
    <t>Anne Elisabeth</t>
  </si>
  <si>
    <t>Blauensteiner</t>
  </si>
  <si>
    <t>Boden</t>
  </si>
  <si>
    <t>Dieter Alexander</t>
  </si>
  <si>
    <t>Bad Schönau</t>
  </si>
  <si>
    <t>Walter - Handler - Straße</t>
  </si>
  <si>
    <t>Marek</t>
  </si>
  <si>
    <t>Cermak</t>
  </si>
  <si>
    <t>marekcermark@centrum.cz</t>
  </si>
  <si>
    <t>Großauer Straße</t>
  </si>
  <si>
    <t>Uttisenbach</t>
  </si>
  <si>
    <t>Strohmayer - Pfeifer</t>
  </si>
  <si>
    <t>Bernhad</t>
  </si>
  <si>
    <t>Raabser Straße</t>
  </si>
  <si>
    <t>Sajn</t>
  </si>
  <si>
    <t>Reinhold und Ulla</t>
  </si>
  <si>
    <t>Schulz</t>
  </si>
  <si>
    <t>0664 / 3836092</t>
  </si>
  <si>
    <t>Inge</t>
  </si>
  <si>
    <t>Brandstätter</t>
  </si>
  <si>
    <t>02982 / 2427</t>
  </si>
  <si>
    <t>Magazinstraße</t>
  </si>
  <si>
    <t>Alexandra</t>
  </si>
  <si>
    <t>Redl</t>
  </si>
  <si>
    <t>Raabserstraße</t>
  </si>
  <si>
    <t>Angenbauer</t>
  </si>
  <si>
    <t>Kirchengasse</t>
  </si>
  <si>
    <t>Pani</t>
  </si>
  <si>
    <t>Benjamin</t>
  </si>
  <si>
    <t>Niederedlitz</t>
  </si>
  <si>
    <t>Stieglitz</t>
  </si>
  <si>
    <t>02235 / 4210017</t>
  </si>
  <si>
    <t>Maria - Lanzendorf</t>
  </si>
  <si>
    <t>Albert</t>
  </si>
  <si>
    <t>Sauer</t>
  </si>
  <si>
    <t>Wesenauer</t>
  </si>
  <si>
    <t>0664 / 5116006</t>
  </si>
  <si>
    <t>johann.wesenauer@aon.at</t>
  </si>
  <si>
    <t>Rudolfstraße</t>
  </si>
  <si>
    <t>Pfeifer</t>
  </si>
  <si>
    <t>Strümpf</t>
  </si>
  <si>
    <t>0650 / 8848141</t>
  </si>
  <si>
    <t>Gerline und Christian</t>
  </si>
  <si>
    <t>Kail und Krisch</t>
  </si>
  <si>
    <t>Hadersdorf am Kamp</t>
  </si>
  <si>
    <t>Erik</t>
  </si>
  <si>
    <t>Spitzer</t>
  </si>
  <si>
    <t>3591</t>
  </si>
  <si>
    <t>Rosenburger Straße</t>
  </si>
  <si>
    <t>Kurt</t>
  </si>
  <si>
    <t>Zauner</t>
  </si>
  <si>
    <t>Reichenau an der Rax</t>
  </si>
  <si>
    <t>Kleinwetzdorf</t>
  </si>
  <si>
    <t>Wimpffen - Gasse</t>
  </si>
  <si>
    <t>Hauser</t>
  </si>
  <si>
    <t>Pulkau</t>
  </si>
  <si>
    <t>Rathausgasse</t>
  </si>
  <si>
    <t>Landhausplatz 1 , Haus</t>
  </si>
  <si>
    <t>02853 / 76503</t>
  </si>
  <si>
    <t>Niederschremsner Straße</t>
  </si>
  <si>
    <t>Gymnasiumstraße</t>
  </si>
  <si>
    <t>0664 / 6622530</t>
  </si>
  <si>
    <t>Unterthumeritz</t>
  </si>
  <si>
    <t>02989 / 2702</t>
  </si>
  <si>
    <t>Poigen</t>
  </si>
  <si>
    <t>0664 / 2331045</t>
  </si>
  <si>
    <t>Dr. Rudolf Kraus Platz</t>
  </si>
  <si>
    <t>0676 / 6721504</t>
  </si>
  <si>
    <t>Waldkirchen an der Thaya</t>
  </si>
  <si>
    <t>Waldkirchen</t>
  </si>
  <si>
    <t>0664 / 1632174</t>
  </si>
  <si>
    <t>Otto Prosenbauer Platz</t>
  </si>
  <si>
    <t>0664 / 2417645</t>
  </si>
  <si>
    <t>Kleinzwettl</t>
  </si>
  <si>
    <t>0664 / 88928505</t>
  </si>
  <si>
    <t>0664 / 4947766</t>
  </si>
  <si>
    <t>Südtiroler Straße</t>
  </si>
  <si>
    <t>0676 / 826611500</t>
  </si>
  <si>
    <t>0664 / 5050570</t>
  </si>
  <si>
    <t>Franz Partstraße</t>
  </si>
  <si>
    <t>0664 / 4129463</t>
  </si>
  <si>
    <t>02842 / 53737</t>
  </si>
  <si>
    <t>Wiadhofen an der Thaya</t>
  </si>
  <si>
    <t>02742 / 324 - 402</t>
  </si>
  <si>
    <t>02742 / 352104 - 900</t>
  </si>
  <si>
    <t>Eybnersraße</t>
  </si>
  <si>
    <t>0664 / 2665901</t>
  </si>
  <si>
    <t>Hans Kudlich - Straße</t>
  </si>
  <si>
    <t>0664 / 2401184</t>
  </si>
  <si>
    <t>Nikolaus</t>
  </si>
  <si>
    <t>Reisel</t>
  </si>
  <si>
    <t>0676 / 6090183</t>
  </si>
  <si>
    <t>Klein - Meiseldorf</t>
  </si>
  <si>
    <t>Klein Meiseldorf</t>
  </si>
  <si>
    <t>02843 / 26135</t>
  </si>
  <si>
    <t>Zach</t>
  </si>
  <si>
    <t>02842 / 52337</t>
  </si>
  <si>
    <t>Kindergartenstraße</t>
  </si>
  <si>
    <t>02842 / 52663</t>
  </si>
  <si>
    <t>02841 / 8214</t>
  </si>
  <si>
    <t>02844 / 279</t>
  </si>
  <si>
    <t>02849 / 2303</t>
  </si>
  <si>
    <t>Windigsteig</t>
  </si>
  <si>
    <t>02842 / 52665</t>
  </si>
  <si>
    <t>Pithan</t>
  </si>
  <si>
    <t>0699 / 15770142</t>
  </si>
  <si>
    <t>Ellends</t>
  </si>
  <si>
    <t>Filterformel</t>
  </si>
  <si>
    <t>=FILTER(INDIREKT($D$5);ISTZAHL(SUCHEN($D$2;INDEX(INDIREKT($D$5);0;VERGLEICH($G$2;#BEZUG!;0))));"Kein Ergebnis gefunden.")</t>
  </si>
  <si>
    <t>KundenFilterKriterien</t>
  </si>
  <si>
    <t>ObjektFilterKriterien</t>
  </si>
  <si>
    <t>DropDownFilterKriterien</t>
  </si>
  <si>
    <t>XXX</t>
  </si>
  <si>
    <t>TEST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</si>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</sst>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€&quot;\ * #,##0.00_-;\-&quot;€&quot;\ * #,##0.00_-;_-&quot;€&quot;\ * &quot;-&quot;??_-;_-@_-"/>
  </numFmts>
  <fonts count="1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b/>
      <sz val="11"/>
      <color theme="3" tint="9.9978637043366805E-2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29">
    <xf numFmtId="0" fontId="0" fillId="0" borderId="0" xfId="0"/>
    <xf numFmtId="0" fontId="0" fillId="0" borderId="0" xfId="0" applyAlignment="1">
      <alignment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" fillId="0" borderId="0" xfId="2" applyAlignment="1">
      <alignment vertical="center" wrapText="1"/>
    </xf>
    <xf numFmtId="0" fontId="0" fillId="0" borderId="0" xfId="0" applyAlignment="1">
      <alignment horizontal="center" vertical="center"/>
    </xf>
    <xf numFmtId="0" fontId="0" fillId="2" borderId="2" xfId="0" applyFill="1" applyBorder="1" applyAlignment="1">
      <alignment horizontal="center"/>
    </xf>
    <xf numFmtId="0" fontId="0" fillId="0" borderId="0" xfId="0" applyAlignment="1">
      <alignment vertical="center"/>
    </xf>
    <xf numFmtId="0" fontId="0" fillId="0" borderId="3" xfId="0" applyBorder="1" applyAlignment="1">
      <alignment horizontal="center" vertical="center"/>
    </xf>
    <xf numFmtId="49" fontId="0" fillId="2" borderId="2" xfId="0" applyNumberFormat="1" applyFill="1" applyBorder="1" applyAlignment="1">
      <alignment horizontal="center"/>
    </xf>
    <xf numFmtId="49" fontId="0" fillId="0" borderId="0" xfId="0" applyNumberFormat="1" applyAlignment="1">
      <alignment wrapText="1"/>
    </xf>
    <xf numFmtId="0" fontId="3" fillId="4" borderId="0" xfId="2" applyFill="1" applyAlignment="1">
      <alignment horizontal="left"/>
    </xf>
    <xf numFmtId="0" fontId="0" fillId="4" borderId="0" xfId="0" applyFill="1"/>
    <xf numFmtId="49" fontId="0" fillId="0" borderId="0" xfId="0" applyNumberFormat="1"/>
    <xf numFmtId="0" fontId="3" fillId="0" borderId="0" xfId="2"/>
    <xf numFmtId="49" fontId="3" fillId="0" borderId="0" xfId="2" applyNumberFormat="1" applyAlignment="1">
      <alignment wrapText="1"/>
    </xf>
    <xf numFmtId="0" fontId="0" fillId="0" borderId="0" xfId="0" applyAlignment="1">
      <alignment horizontal="right"/>
    </xf>
    <xf numFmtId="0" fontId="2" fillId="0" borderId="0" xfId="0" applyFont="1"/>
    <xf numFmtId="0" fontId="4" fillId="3" borderId="4" xfId="0" applyFont="1" applyFill="1" applyBorder="1" applyAlignment="1">
      <alignment vertical="center"/>
    </xf>
    <xf numFmtId="0" fontId="2" fillId="2" borderId="1" xfId="0" applyFont="1" applyFill="1" applyBorder="1" applyAlignment="1">
      <alignment horizontal="center"/>
    </xf>
    <xf numFmtId="0" fontId="0" fillId="2" borderId="2" xfId="0" applyFill="1" applyBorder="1" applyAlignment="1">
      <alignment horizontal="center" wrapText="1"/>
    </xf>
    <xf numFmtId="4" fontId="0" fillId="0" borderId="0" xfId="0" applyNumberFormat="1" applyAlignment="1">
      <alignment vertical="center"/>
    </xf>
    <xf numFmtId="14" fontId="0" fillId="0" borderId="0" xfId="0" applyNumberFormat="1" applyAlignment="1">
      <alignment vertical="center"/>
    </xf>
    <xf numFmtId="0" fontId="3" fillId="0" borderId="0" xfId="2" applyAlignment="1">
      <alignment wrapText="1"/>
    </xf>
    <xf numFmtId="0" fontId="9" fillId="3" borderId="4" xfId="0" applyFont="1" applyFill="1" applyBorder="1" applyAlignment="1">
      <alignment vertical="center"/>
    </xf>
    <xf numFmtId="0" fontId="2" fillId="5" borderId="0" xfId="0" applyFont="1" applyFill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8" fillId="3" borderId="4" xfId="0" applyFont="1" applyFill="1" applyBorder="1" applyAlignment="1">
      <alignment horizontal="left" vertical="center"/>
    </xf>
    <xf numFmtId="0" fontId="0" fillId="0" borderId="0" xfId="0" applyAlignment="1"/>
  </cellXfs>
  <cellStyles count="3">
    <cellStyle name="Link" xfId="2" builtinId="8"/>
    <cellStyle name="Standard" xfId="0" builtinId="0"/>
    <cellStyle name="Währung 2" xfId="1" xr:uid="{FDF394D7-F86D-4DDD-A154-7E153E537641}"/>
  </cellStyles>
  <dxfs count="37">
    <dxf>
      <numFmt numFmtId="30" formatCode="@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numFmt numFmtId="4" formatCode="#,##0.00"/>
      <alignment horizontal="general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9" tint="0.5999938962981048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53340</xdr:colOff>
      <xdr:row>27</xdr:row>
      <xdr:rowOff>3810</xdr:rowOff>
    </xdr:from>
    <xdr:to>
      <xdr:col>4</xdr:col>
      <xdr:colOff>1257300</xdr:colOff>
      <xdr:row>28</xdr:row>
      <xdr:rowOff>10520</xdr:rowOff>
    </xdr:to>
    <xdr:grpSp>
      <xdr:nvGrpSpPr>
        <xdr:cNvPr id="17" name="Gruppieren 16">
          <a:extLst>
            <a:ext uri="{FF2B5EF4-FFF2-40B4-BE49-F238E27FC236}">
              <a16:creationId xmlns:a16="http://schemas.microsoft.com/office/drawing/2014/main" id="{AC933353-FCEE-8A18-7EFC-319857EBEFF4}"/>
            </a:ext>
          </a:extLst>
        </xdr:cNvPr>
        <xdr:cNvGrpSpPr/>
      </xdr:nvGrpSpPr>
      <xdr:grpSpPr>
        <a:xfrm>
          <a:off x="4130040" y="5204460"/>
          <a:ext cx="851535" cy="206735"/>
          <a:chOff x="3169920" y="4926330"/>
          <a:chExt cx="1203960" cy="189590"/>
        </a:xfrm>
      </xdr:grpSpPr>
      <xdr:sp macro="" textlink="">
        <xdr:nvSpPr>
          <xdr:cNvPr id="1028" name="radio_Lastprofil_Ja" hidden="1">
            <a:extLst>
              <a:ext uri="{63B3BB69-23CF-44E3-9099-C40C66FF867C}">
                <a14:compatExt xmlns:a14="http://schemas.microsoft.com/office/drawing/2010/main" spid="_x0000_s1028"/>
              </a:ext>
              <a:ext uri="{FF2B5EF4-FFF2-40B4-BE49-F238E27FC236}">
                <a16:creationId xmlns:a16="http://schemas.microsoft.com/office/drawing/2014/main" id="{91425FC8-1D13-7816-2404-14FB48C67AAA}"/>
              </a:ext>
            </a:extLst>
          </xdr:cNvPr>
          <xdr:cNvSpPr/>
        </xdr:nvSpPr>
        <xdr:spPr bwMode="auto">
          <a:xfrm>
            <a:off x="3169920" y="4926330"/>
            <a:ext cx="662940" cy="1895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0" bIns="27432" anchor="ctr" upright="1"/>
          <a:lstStyle/>
          <a:p>
            <a:pPr algn="l" rtl="0">
              <a:defRPr sz="1000"/>
            </a:pPr>
            <a:r>
              <a:rPr lang="de-AT" sz="800" b="0" i="0" u="none" strike="noStrike" baseline="0">
                <a:solidFill>
                  <a:srgbClr val="000000"/>
                </a:solidFill>
                <a:latin typeface="Segoe UI"/>
                <a:cs typeface="Segoe UI"/>
              </a:rPr>
              <a:t>JA</a:t>
            </a:r>
          </a:p>
        </xdr:txBody>
      </xdr:sp>
      <xdr:sp macro="" textlink="">
        <xdr:nvSpPr>
          <xdr:cNvPr id="1029" name="radio_Lastprofil_Nein" hidden="1">
            <a:extLst>
              <a:ext uri="{63B3BB69-23CF-44E3-9099-C40C66FF867C}">
                <a14:compatExt xmlns:a14="http://schemas.microsoft.com/office/drawing/2010/main" spid="_x0000_s1029"/>
              </a:ext>
              <a:ext uri="{FF2B5EF4-FFF2-40B4-BE49-F238E27FC236}">
                <a16:creationId xmlns:a16="http://schemas.microsoft.com/office/drawing/2014/main" id="{D9DF8C71-8833-7E1D-BF12-631953878D00}"/>
              </a:ext>
            </a:extLst>
          </xdr:cNvPr>
          <xdr:cNvSpPr/>
        </xdr:nvSpPr>
        <xdr:spPr bwMode="auto">
          <a:xfrm>
            <a:off x="3710940" y="4926330"/>
            <a:ext cx="662940" cy="1895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7432" rIns="0" bIns="27432" anchor="ctr" upright="1"/>
          <a:lstStyle/>
          <a:p>
            <a:pPr algn="l" rtl="0">
              <a:defRPr sz="1000"/>
            </a:pPr>
            <a:r>
              <a:rPr lang="de-AT" sz="800" b="0" i="0" u="none" strike="noStrike" baseline="0">
                <a:solidFill>
                  <a:srgbClr val="000000"/>
                </a:solidFill>
                <a:latin typeface="Segoe UI"/>
                <a:cs typeface="Segoe UI"/>
              </a:rPr>
              <a:t>NEIN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</xdr:row>
          <xdr:rowOff>19050</xdr:rowOff>
        </xdr:from>
        <xdr:to>
          <xdr:col>1</xdr:col>
          <xdr:colOff>1828800</xdr:colOff>
          <xdr:row>3</xdr:row>
          <xdr:rowOff>152400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KundenDB bearbeiten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4</xdr:row>
          <xdr:rowOff>104775</xdr:rowOff>
        </xdr:from>
        <xdr:to>
          <xdr:col>1</xdr:col>
          <xdr:colOff>1828800</xdr:colOff>
          <xdr:row>6</xdr:row>
          <xdr:rowOff>161925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Gebäudedaten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7</xdr:row>
          <xdr:rowOff>114300</xdr:rowOff>
        </xdr:from>
        <xdr:to>
          <xdr:col>1</xdr:col>
          <xdr:colOff>1828800</xdr:colOff>
          <xdr:row>9</xdr:row>
          <xdr:rowOff>161925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Mobilitätsdaten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15240</xdr:colOff>
      <xdr:row>1</xdr:row>
      <xdr:rowOff>16808</xdr:rowOff>
    </xdr:from>
    <xdr:to>
      <xdr:col>6</xdr:col>
      <xdr:colOff>7123</xdr:colOff>
      <xdr:row>3</xdr:row>
      <xdr:rowOff>19834</xdr:rowOff>
    </xdr:to>
    <xdr:sp macro="" textlink="" fLocksText="0">
      <xdr:nvSpPr>
        <xdr:cNvPr id="5" name="Rechteck: abgerundete Ecken 4">
          <a:extLst>
            <a:ext uri="{FF2B5EF4-FFF2-40B4-BE49-F238E27FC236}">
              <a16:creationId xmlns:a16="http://schemas.microsoft.com/office/drawing/2014/main" id="{A44FB3F5-5D2A-A522-8B3A-058AC11AD994}"/>
            </a:ext>
          </a:extLst>
        </xdr:cNvPr>
        <xdr:cNvSpPr/>
      </xdr:nvSpPr>
      <xdr:spPr>
        <a:xfrm>
          <a:off x="2895600" y="178733"/>
          <a:ext cx="3104653" cy="364976"/>
        </a:xfrm>
        <a:prstGeom prst="roundRect">
          <a:avLst>
            <a:gd name="adj" fmla="val 40351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3</xdr:col>
      <xdr:colOff>57150</xdr:colOff>
      <xdr:row>1</xdr:row>
      <xdr:rowOff>58654</xdr:rowOff>
    </xdr:from>
    <xdr:to>
      <xdr:col>3</xdr:col>
      <xdr:colOff>362735</xdr:colOff>
      <xdr:row>3</xdr:row>
      <xdr:rowOff>20170</xdr:rowOff>
    </xdr:to>
    <xdr:pic>
      <xdr:nvPicPr>
        <xdr:cNvPr id="7" name="Grafik 6" descr="Lupe mit einfarbiger Füllung">
          <a:extLst>
            <a:ext uri="{FF2B5EF4-FFF2-40B4-BE49-F238E27FC236}">
              <a16:creationId xmlns:a16="http://schemas.microsoft.com/office/drawing/2014/main" id="{7768748D-937B-C17A-9154-34DB450D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943225" y="220579"/>
          <a:ext cx="305585" cy="31203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10</xdr:row>
          <xdr:rowOff>114300</xdr:rowOff>
        </xdr:from>
        <xdr:to>
          <xdr:col>1</xdr:col>
          <xdr:colOff>1828800</xdr:colOff>
          <xdr:row>12</xdr:row>
          <xdr:rowOff>171450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Energiegemeinschaften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13</xdr:row>
          <xdr:rowOff>123825</xdr:rowOff>
        </xdr:from>
        <xdr:to>
          <xdr:col>1</xdr:col>
          <xdr:colOff>1828800</xdr:colOff>
          <xdr:row>15</xdr:row>
          <xdr:rowOff>171450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Aptos Narrow"/>
                </a:rPr>
                <a:t>EEG-Teilnehmer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36298</xdr:colOff>
      <xdr:row>1</xdr:row>
      <xdr:rowOff>38821</xdr:rowOff>
    </xdr:from>
    <xdr:to>
      <xdr:col>6</xdr:col>
      <xdr:colOff>378786</xdr:colOff>
      <xdr:row>3</xdr:row>
      <xdr:rowOff>17300</xdr:rowOff>
    </xdr:to>
    <xdr:pic>
      <xdr:nvPicPr>
        <xdr:cNvPr id="3" name="Grafik 2" descr="Zielgruppe mit einfarbiger Füllung">
          <a:extLst>
            <a:ext uri="{FF2B5EF4-FFF2-40B4-BE49-F238E27FC236}">
              <a16:creationId xmlns:a16="http://schemas.microsoft.com/office/drawing/2014/main" id="{49398E3E-1DDB-0842-7426-F572E702BA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84673" y="200746"/>
          <a:ext cx="342488" cy="340429"/>
        </a:xfrm>
        <a:prstGeom prst="rect">
          <a:avLst/>
        </a:prstGeom>
      </xdr:spPr>
    </xdr:pic>
    <xdr:clientData/>
  </xdr:twoCellAnchor>
  <xdr:twoCellAnchor editAs="oneCell">
    <xdr:from>
      <xdr:col>2</xdr:col>
      <xdr:colOff>388620</xdr:colOff>
      <xdr:row>4</xdr:row>
      <xdr:rowOff>266700</xdr:rowOff>
    </xdr:from>
    <xdr:to>
      <xdr:col>2</xdr:col>
      <xdr:colOff>662940</xdr:colOff>
      <xdr:row>7</xdr:row>
      <xdr:rowOff>53340</xdr:rowOff>
    </xdr:to>
    <xdr:pic>
      <xdr:nvPicPr>
        <xdr:cNvPr id="4" name="Grafik 3" descr="Monitor mit einfarbiger Füllung">
          <a:extLst>
            <a:ext uri="{FF2B5EF4-FFF2-40B4-BE49-F238E27FC236}">
              <a16:creationId xmlns:a16="http://schemas.microsoft.com/office/drawing/2014/main" id="{21F8F59A-9454-9779-9F08-23D75D21D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575560" y="975360"/>
          <a:ext cx="281940" cy="28194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</xdr:row>
      <xdr:rowOff>15463</xdr:rowOff>
    </xdr:from>
    <xdr:to>
      <xdr:col>9</xdr:col>
      <xdr:colOff>93345</xdr:colOff>
      <xdr:row>3</xdr:row>
      <xdr:rowOff>22299</xdr:rowOff>
    </xdr:to>
    <xdr:sp macro="" textlink="" fLocksText="0">
      <xdr:nvSpPr>
        <xdr:cNvPr id="2" name="Rechteck: abgerundete Ecken 1">
          <a:extLst>
            <a:ext uri="{FF2B5EF4-FFF2-40B4-BE49-F238E27FC236}">
              <a16:creationId xmlns:a16="http://schemas.microsoft.com/office/drawing/2014/main" id="{61AD445A-1B85-7B54-1558-73648945E200}"/>
            </a:ext>
          </a:extLst>
        </xdr:cNvPr>
        <xdr:cNvSpPr/>
      </xdr:nvSpPr>
      <xdr:spPr>
        <a:xfrm>
          <a:off x="6015990" y="171673"/>
          <a:ext cx="2785110" cy="374501"/>
        </a:xfrm>
        <a:prstGeom prst="roundRect">
          <a:avLst>
            <a:gd name="adj" fmla="val 40351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  <xdr:twoCellAnchor>
    <xdr:from>
      <xdr:col>3</xdr:col>
      <xdr:colOff>22859</xdr:colOff>
      <xdr:row>4</xdr:row>
      <xdr:rowOff>17145</xdr:rowOff>
    </xdr:from>
    <xdr:to>
      <xdr:col>5</xdr:col>
      <xdr:colOff>15240</xdr:colOff>
      <xdr:row>4</xdr:row>
      <xdr:rowOff>283846</xdr:rowOff>
    </xdr:to>
    <xdr:sp macro="" textlink="" fLocksText="0">
      <xdr:nvSpPr>
        <xdr:cNvPr id="6" name="Rechteck: abgerundete Ecken 5">
          <a:extLst>
            <a:ext uri="{FF2B5EF4-FFF2-40B4-BE49-F238E27FC236}">
              <a16:creationId xmlns:a16="http://schemas.microsoft.com/office/drawing/2014/main" id="{418D2A79-251D-9D96-9EF0-75B86E74DEAC}"/>
            </a:ext>
          </a:extLst>
        </xdr:cNvPr>
        <xdr:cNvSpPr>
          <a:spLocks noChangeAspect="1"/>
        </xdr:cNvSpPr>
      </xdr:nvSpPr>
      <xdr:spPr>
        <a:xfrm>
          <a:off x="2908934" y="721995"/>
          <a:ext cx="2177416" cy="266701"/>
        </a:xfrm>
        <a:prstGeom prst="round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AT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06A27CF-AFC9-4297-AB63-3C74371A350F}" name="Customer" displayName="Customer" ref="A1:W362" totalsRowShown="0" headerRowDxfId="34" headerRowBorderDxfId="33" tableBorderDxfId="32">
  <autoFilter ref="A1:W362" xr:uid="{906A27CF-AFC9-4297-AB63-3C74371A350F}"/>
  <tableColumns count="23">
    <tableColumn id="1" xr3:uid="{9A890817-3763-4DB1-8794-6B0A98619331}" name="InternalCustomerId" dataDxfId="31">
      <calculatedColumnFormula>ROW(A2)-1</calculatedColumnFormula>
    </tableColumn>
    <tableColumn id="19" xr3:uid="{61DBDDE8-B23E-4D50-8C9E-824D776CB21D}" name="FolderNumber" dataDxfId="30"/>
    <tableColumn id="21" xr3:uid="{4AC37C71-75A1-489B-B59E-5AF827811733}" name="eKUTCustomer" dataDxfId="29"/>
    <tableColumn id="14" xr3:uid="{01CB989D-6F84-46D0-B8EB-68A9E86C6543}" name="ProjectName" dataDxfId="28"/>
    <tableColumn id="22" xr3:uid="{F79AC62E-3119-42B5-8870-F8597477C795}" name="OrganizationName" dataDxfId="27"/>
    <tableColumn id="2" xr3:uid="{4ABAD4A3-805B-4945-805C-2CE5D842A809}" name="FirstName" dataDxfId="26"/>
    <tableColumn id="3" xr3:uid="{BE3E01C2-3B19-4834-8828-3BC96FA8F20D}" name="LastName" dataDxfId="25"/>
    <tableColumn id="4" xr3:uid="{DBB9B099-B389-4CB0-B0BE-7052D52C1BCC}" name="PhoneNumber" dataDxfId="24"/>
    <tableColumn id="5" xr3:uid="{96D4CA74-5E81-4211-B1BF-DBCBB8E2E3C7}" name="Email" dataDxfId="23" dataCellStyle="Link"/>
    <tableColumn id="8" xr3:uid="{E662BF7B-B675-4F2D-97FD-29023C8D5FA0}" name="PostalCode" dataDxfId="22"/>
    <tableColumn id="9" xr3:uid="{A460909A-6CE4-4E0B-ADC0-032A90DD8CF1}" name="City" dataDxfId="21"/>
    <tableColumn id="10" xr3:uid="{8E62CA8D-1D12-485B-9BD6-AC21303648DC}" name="Street"/>
    <tableColumn id="11" xr3:uid="{7310C513-5ACA-4914-B39E-35E751F9D0A4}" name="HouseNumber"/>
    <tableColumn id="12" xr3:uid="{BD5E921A-4A98-49BB-A4DE-65A87CC7971E}" name="AddressAddtion">
      <calculatedColumnFormula>""</calculatedColumnFormula>
    </tableColumn>
    <tableColumn id="13" xr3:uid="{9359441F-FA13-4E67-877B-568A0AFBDA10}" name="Prosumer">
      <calculatedColumnFormula>""</calculatedColumnFormula>
    </tableColumn>
    <tableColumn id="15" xr3:uid="{57FDEF40-DDEC-4DE6-9F39-EA970A297BE8}" name="HasLoadProfile">
      <calculatedColumnFormula>""</calculatedColumnFormula>
    </tableColumn>
    <tableColumn id="20" xr3:uid="{726490C1-F781-4EEB-9009-468316931F3B}" name="BuildingRenovationInterest">
      <calculatedColumnFormula>""</calculatedColumnFormula>
    </tableColumn>
    <tableColumn id="16" xr3:uid="{A28D1AFA-40C9-4D32-AC89-D4DBC842CDDD}" name="EnergyCommunityInterest">
      <calculatedColumnFormula>""</calculatedColumnFormula>
    </tableColumn>
    <tableColumn id="17" xr3:uid="{C24141DB-2397-427D-9902-9CDD50E370C6}" name="MobilityInterest">
      <calculatedColumnFormula>""</calculatedColumnFormula>
    </tableColumn>
    <tableColumn id="18" xr3:uid="{65DDFDAF-9536-4169-AA8F-C7FF5CA0835D}" name="PlusEnergyInterest">
      <calculatedColumnFormula>""</calculatedColumnFormula>
    </tableColumn>
    <tableColumn id="6" xr3:uid="{CCC162B1-318D-48BE-B26D-249B6DD4A88E}" name="Subsidies"/>
    <tableColumn id="23" xr3:uid="{847C34E0-F49B-4FD5-AB5F-909D2040DAE4}" name="LastContact"/>
    <tableColumn id="7" xr3:uid="{BED10978-7E98-427C-B0AB-251A3A551067}" name="Notes">
      <calculatedColumnFormula>""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C428A9F-E330-4C1B-AA9D-C87F5D6A3428}" name="Tabelle2" displayName="Tabelle2" ref="A1:AK868" totalsRowShown="0" headerRowDxfId="20" headerRowBorderDxfId="19" tableBorderDxfId="18">
  <autoFilter ref="A1:AK868" xr:uid="{BC428A9F-E330-4C1B-AA9D-C87F5D6A3428}"/>
  <tableColumns count="37">
    <tableColumn id="1" xr3:uid="{6508671D-C2B1-4FED-96D3-37A85619A3A8}" name="InternalBuildingId">
      <calculatedColumnFormula>ROW(A2)-1</calculatedColumnFormula>
    </tableColumn>
    <tableColumn id="2" xr3:uid="{14E47B26-ED01-465C-A0A6-83A6CB2DB2BE}" name="InternalCustomerId"/>
    <tableColumn id="8" xr3:uid="{26422C73-9AD9-4EBC-8C35-9DB34631A289}" name="FolderNumber"/>
    <tableColumn id="16" xr3:uid="{B83C6E1D-D946-4363-B894-9073C06EC196}" name="ProjectName"/>
    <tableColumn id="7" xr3:uid="{4AAC4A1F-1C68-461B-83F2-AF90933FCD83}" name="OrganizationName"/>
    <tableColumn id="9" xr3:uid="{E066E90F-B23C-4614-AE09-03A712207CE4}" name="BuildingType"/>
    <tableColumn id="23" xr3:uid="{076AB0C1-3721-40E5-9E09-6B10A047E92B}" name="Country"/>
    <tableColumn id="19" xr3:uid="{9B9DA8F5-F251-495E-A8E4-0A909A666F37}" name="PostalCode"/>
    <tableColumn id="20" xr3:uid="{9AD380C4-D43E-4AC9-9065-147E0B73ACA9}" name="City"/>
    <tableColumn id="3" xr3:uid="{D965581C-7212-4B3C-BF60-41BC07610E98}" name="Street"/>
    <tableColumn id="21" xr3:uid="{78BBCC12-C2EA-4C4B-B9CE-C2D46792ABF6}" name="HouseNumber"/>
    <tableColumn id="22" xr3:uid="{7EA24391-3414-464E-88C4-C63651E3EB59}" name="AddressAddition"/>
    <tableColumn id="5" xr3:uid="{BA9FB033-F5B2-4E8D-A181-D735B750D790}" name="ConstructionYear"/>
    <tableColumn id="15" xr3:uid="{78C3C849-E24D-4F6B-BDFF-835DE04B192F}" name="RenovationYear"/>
    <tableColumn id="4" xr3:uid="{827ACF43-590A-44C5-8E13-B2C0358D3EDA}" name="UsageType"/>
    <tableColumn id="10" xr3:uid="{FEEDD6F6-72A9-4868-BA84-C190CF656A5F}" name="MainUsage"/>
    <tableColumn id="11" xr3:uid="{D47E94DC-0F0D-497A-990F-976ABE0D2193}" name="AdditionalNote"/>
    <tableColumn id="6" xr3:uid="{763C06DD-71BE-43D9-BF82-2814A5F0D123}" name="FloorArea"/>
    <tableColumn id="17" xr3:uid="{D61B97C1-20F5-4614-B236-3D277D3B1268}" name="HeatedFloorArea"/>
    <tableColumn id="18" xr3:uid="{B24E4B6A-46BB-497E-84EB-22C2D989C7B5}" name="HeatedFloorAreaMainUsage"/>
    <tableColumn id="25" xr3:uid="{5BD4F148-C9FE-49E1-B02A-1E5760D8FF85}" name="HeatedFloorAreaSecondUsage"/>
    <tableColumn id="28" xr3:uid="{B127FB17-F319-4FEC-8701-D2272F3FB916}" name="Heat consumption (kWh/year)"/>
    <tableColumn id="40" xr3:uid="{D14D2F4D-9903-429A-9B94-1882C905C3F5}" name="Heating costs (€/year)" dataDxfId="17"/>
    <tableColumn id="39" xr3:uid="{53CDDC73-6889-4898-9D4A-386EB9CD6BBB}" name="Electricity consumption (kWh/year)"/>
    <tableColumn id="41" xr3:uid="{CD3D4AF8-49C8-48C3-B4DF-9A87461F0ADE}" name="Electricity costs (€/year)" dataDxfId="16"/>
    <tableColumn id="24" xr3:uid="{C061B0F9-F741-4FB1-BC8B-A88F985FAEB4}" name="HeatingType"/>
    <tableColumn id="26" xr3:uid="{044706F3-87FD-4FE5-B9A3-BA2AD4E58099}" name="HasPV"/>
    <tableColumn id="27" xr3:uid="{BDC4C519-24CF-466B-9170-C83462F21666}" name="HasBattery"/>
    <tableColumn id="29" xr3:uid="{B582C913-CD11-48D0-ABA5-B4CB5651C8A1}" name="HWB (calculated)"/>
    <tableColumn id="30" xr3:uid="{9E2D574D-DCBC-4E02-B394-9AA9D32CAA6E}" name="ElectricityConsumption"/>
    <tableColumn id="31" xr3:uid="{F39AAB29-3399-4946-81EA-1113699C6B29}" name="HeatConsumption"/>
    <tableColumn id="32" xr3:uid="{8F08041C-4A4E-4E8D-8868-F076633E0A90}" name="HotWaterConsumption"/>
    <tableColumn id="38" xr3:uid="{78DDC5F5-BF88-4C49-B1FE-70F182392548}" name="EnergyReferenceYear"/>
    <tableColumn id="34" xr3:uid="{1153EA07-8BD0-4AA7-A17E-E2B5DA272C18}" name="MainUsageSharePercent"/>
    <tableColumn id="35" xr3:uid="{EAF0647F-BFDE-49B8-BBD8-E006B6F6A460}" name="SecondaryUsage"/>
    <tableColumn id="36" xr3:uid="{587F8CFB-D4C9-46EA-A511-5266E6951EF4}" name="SecondaryUsageSharePercent"/>
    <tableColumn id="37" xr3:uid="{34A3F9C5-3185-47C8-89E0-80B60B1C05E4}" name="Notes" dataDxfId="15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1A1CDEC-C008-468E-9812-F091A1EA7C73}" name="Tabelle3" displayName="Tabelle3" ref="A1:H3" totalsRowShown="0" headerRowDxfId="14" headerRowBorderDxfId="13" tableBorderDxfId="12">
  <autoFilter ref="A1:H3" xr:uid="{41A1CDEC-C008-468E-9812-F091A1EA7C73}"/>
  <tableColumns count="8">
    <tableColumn id="1" xr3:uid="{5EED49B5-1D01-4513-B912-61B3D64190AF}" name="MID">
      <calculatedColumnFormula>ROW(A2)-1</calculatedColumnFormula>
    </tableColumn>
    <tableColumn id="2" xr3:uid="{13023E73-4A88-4A73-8BF8-6B538A6382AD}" name="KID"/>
    <tableColumn id="3" xr3:uid="{3C4A6BF5-F86E-450E-A6F1-39E4FC8294C6}" name="Fahrzeugtypen"/>
    <tableColumn id="4" xr3:uid="{903D6521-19ED-4D68-A944-9E9A2CC8FE2D}" name="Anzahl VerbrennerFahrzeuge"/>
    <tableColumn id="5" xr3:uid="{040A7453-320E-4CDA-A37D-D32B9075A762}" name="Anzahl EFahrzeuge"/>
    <tableColumn id="6" xr3:uid="{12CCBE7B-7BA6-4685-8B2E-6FB39BAE626A}" name="gefahrene Kilometer pro Fahrzeug"/>
    <tableColumn id="7" xr3:uid="{F4363D61-04FA-44A1-8BD9-93F39E923464}" name="Treibstoff [Liter]"/>
    <tableColumn id="8" xr3:uid="{DEDC31C7-2A66-4F9E-9A73-718088ED822B}" name="Strom [kWh]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A3D221C-CAB0-4D39-BC36-89D1D65C47BA}" name="Tabelle4" displayName="Tabelle4" ref="A1:O4" totalsRowShown="0" headerRowDxfId="11" headerRowBorderDxfId="10" tableBorderDxfId="9">
  <autoFilter ref="A1:O4" xr:uid="{FA3D221C-CAB0-4D39-BC36-89D1D65C47BA}"/>
  <tableColumns count="15">
    <tableColumn id="1" xr3:uid="{48C8F658-A9BE-4675-A608-209813E558A9}" name="EEGID">
      <calculatedColumnFormula>ROW(A2)-1</calculatedColumnFormula>
    </tableColumn>
    <tableColumn id="2" xr3:uid="{35609E8A-EF07-4D9D-B160-79929E2A64DD}" name="Name"/>
    <tableColumn id="3" xr3:uid="{4D1E0D12-F645-4061-A6B3-EFD1AA410FE1}" name="Modell (BEG,EEG,..)"/>
    <tableColumn id="4" xr3:uid="{2328A598-5191-4147-8B07-C9F594F2E8A9}" name="WebSite"/>
    <tableColumn id="5" xr3:uid="{CCF4E12B-841E-4DE8-AAC3-A74866BCAACE}" name="Obmann"/>
    <tableColumn id="6" xr3:uid="{D3B6A326-C63E-4EAE-BFE8-93F9A834252D}" name="Telefon"/>
    <tableColumn id="7" xr3:uid="{10E42138-E4D0-4768-8BCD-C7F4BBA3B9FD}" name="E-Mail Adresse" dataCellStyle="Link"/>
    <tableColumn id="8" xr3:uid="{F339FD88-6BC3-4634-B0D1-BA5CD346A865}" name="Erzeugertypen"/>
    <tableColumn id="9" xr3:uid="{55791B05-B3EC-4674-8C4E-33F024128420}" name="UW" dataDxfId="8"/>
    <tableColumn id="10" xr3:uid="{5EC7DC5F-DC6B-445F-B915-5CC375B1DF67}" name="Trafostation"/>
    <tableColumn id="11" xr3:uid="{AE7FD8C3-03DB-40A3-9655-7CBC4E8CF332}" name="ZPNs"/>
    <tableColumn id="12" xr3:uid="{26BA2BCB-50FE-43F1-9A99-514FB384DB88}" name="Abrechnungstool"/>
    <tableColumn id="13" xr3:uid="{0E80DA76-D3DB-43E8-8841-D3D17E956D80}" name="Einzugsgebiet (Bezirk)"/>
    <tableColumn id="14" xr3:uid="{AA5A027B-1D8E-4B1F-9C54-86C09B601A01}" name="aktuelles Interesse (Förderbedarf)"/>
    <tableColumn id="15" xr3:uid="{B6164919-A7C4-4D29-AEFF-2BD49107063F}" name="Notiz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E5E589D-E164-4B49-AE02-302A78B11EFC}" name="Tabelle5" displayName="Tabelle5" ref="A1:E2" totalsRowShown="0" headerRowDxfId="7" headerRowBorderDxfId="6" tableBorderDxfId="5">
  <autoFilter ref="A1:E2" xr:uid="{2E5E589D-E164-4B49-AE02-302A78B11EFC}"/>
  <tableColumns count="5">
    <tableColumn id="1" xr3:uid="{728C1EE7-20CE-4014-A9B9-6D8CE4170181}" name="EEGTID">
      <calculatedColumnFormula>ROW(A2)-1</calculatedColumnFormula>
    </tableColumn>
    <tableColumn id="2" xr3:uid="{1F06B1C0-4625-4625-9416-68ABF2C50309}" name="KID"/>
    <tableColumn id="3" xr3:uid="{44B47E33-7406-41A6-AD7E-7396312F336D}" name="EEGID"/>
    <tableColumn id="4" xr3:uid="{B28F6787-84AD-48CC-95F0-0C462FB2A6D6}" name="Rolle"/>
    <tableColumn id="5" xr3:uid="{2A1FEFAB-86ED-4763-BBBE-76E7F19A97A6}" name="Zählpunk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7AFB236-AC44-4F54-A40C-1CBE1D1E3627}" name="Tabelle6" displayName="Tabelle6" ref="A1:K4" totalsRowShown="0" headerRowDxfId="4" headerRowBorderDxfId="3" tableBorderDxfId="2">
  <autoFilter ref="A1:K4" xr:uid="{17AFB236-AC44-4F54-A40C-1CBE1D1E3627}"/>
  <tableColumns count="11">
    <tableColumn id="1" xr3:uid="{326138A6-2734-453B-87AF-208B43F9BB8E}" name="ExternalMeterId" dataDxfId="1"/>
    <tableColumn id="2" xr3:uid="{1ED7E083-F521-43BC-8019-D703AD9BB364}" name="ExternalBuildingId" dataDxfId="0"/>
    <tableColumn id="3" xr3:uid="{8AB279E3-B7FB-4CB3-A956-EA1F07BD2A27}" name="MeterName"/>
    <tableColumn id="4" xr3:uid="{6D2AE19E-48FC-4CF3-8341-759C7D0A1A3E}" name="MeterType"/>
    <tableColumn id="5" xr3:uid="{12C6ADAA-C738-4A79-9885-DF699A4A4649}" name="Medium"/>
    <tableColumn id="6" xr3:uid="{0E61128F-D28A-4CC7-93C7-960B2A98C5B9}" name="Unit"/>
    <tableColumn id="7" xr3:uid="{CF952E82-9BA3-403A-992A-7DDA9F350D8A}" name="Direction"/>
    <tableColumn id="8" xr3:uid="{B9603B55-9A3A-4FD3-BC26-006621DF8491}" name="IntervalMinutes"/>
    <tableColumn id="9" xr3:uid="{CA59F816-B3AF-4C0F-AA4A-417027037635}" name="IsVirtual"/>
    <tableColumn id="10" xr3:uid="{0504426A-4967-4236-AF86-A4FB0B6CF385}" name="AggregationType"/>
    <tableColumn id="11" xr3:uid="{190310DF-DFFC-411C-8B1E-821C1E576481}" name="Description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A7C7350-B0FC-4C61-ADEF-C55D4FBDF6B1}">
  <we:reference id="wa200004483" version="1.0.0.0" store="de-DE" storeType="OMEX"/>
  <we:alternateReferences>
    <we:reference id="WA200004483" version="1.0.0.0" store="WA20000448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://www.eeg-kamp-taffa.at/" TargetMode="External"/><Relationship Id="rId2" Type="http://schemas.openxmlformats.org/officeDocument/2006/relationships/hyperlink" Target="mailto:info@weinstrom.at" TargetMode="External"/><Relationship Id="rId1" Type="http://schemas.openxmlformats.org/officeDocument/2006/relationships/hyperlink" Target="mailto:eeg@japons.info" TargetMode="External"/><Relationship Id="rId6" Type="http://schemas.openxmlformats.org/officeDocument/2006/relationships/table" Target="../tables/table4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mailto:info@eeg-kamp-taffa.at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B7960-7A40-40DF-9611-2DCED84A3BC4}">
  <sheetPr codeName="Tabelle1"/>
  <dimension ref="A1:AN209"/>
  <sheetViews>
    <sheetView showGridLines="0" topLeftCell="B1" zoomScaleNormal="85" workbookViewId="0">
      <selection activeCell="N16" sqref="N16"/>
    </sheetView>
  </sheetViews>
  <sheetFormatPr baseColWidth="10" defaultRowHeight="15" x14ac:dyDescent="0.25"/>
  <cols>
    <col min="1" max="1" width="11.5703125" hidden="1" customWidth="1"/>
    <col min="2" max="2" width="31.85546875" customWidth="1"/>
    <col min="3" max="3" width="10.140625" customWidth="1"/>
    <col min="4" max="4" width="19.140625" style="5" customWidth="1"/>
    <col min="5" max="5" width="13.5703125" style="5" customWidth="1"/>
    <col min="6" max="6" width="6.5703125" style="5" customWidth="1"/>
    <col min="7" max="7" width="32.85546875" style="5" customWidth="1"/>
    <col min="8" max="8" width="17.28515625" style="5" customWidth="1"/>
    <col min="9" max="9" width="10" style="5" bestFit="1" customWidth="1"/>
    <col min="10" max="10" width="9.7109375" style="5" bestFit="1" customWidth="1"/>
    <col min="11" max="11" width="13.5703125" style="5" bestFit="1" customWidth="1"/>
    <col min="12" max="12" width="5.7109375" style="5" bestFit="1" customWidth="1"/>
    <col min="13" max="13" width="11.140625" style="5" bestFit="1" customWidth="1"/>
    <col min="14" max="14" width="4.5703125" style="5" bestFit="1" customWidth="1"/>
    <col min="15" max="15" width="6.28515625" style="5" bestFit="1" customWidth="1"/>
    <col min="16" max="16" width="13.7109375" style="5" bestFit="1" customWidth="1"/>
    <col min="17" max="17" width="14.85546875" style="5" bestFit="1" customWidth="1"/>
    <col min="18" max="18" width="9.42578125" style="5" bestFit="1" customWidth="1"/>
    <col min="19" max="19" width="14.28515625" style="5" bestFit="1" customWidth="1"/>
    <col min="20" max="20" width="25.28515625" style="5" bestFit="1" customWidth="1"/>
    <col min="21" max="21" width="24.42578125" style="5" bestFit="1" customWidth="1"/>
    <col min="22" max="22" width="15" style="5" bestFit="1" customWidth="1"/>
    <col min="23" max="23" width="17.7109375" bestFit="1" customWidth="1"/>
    <col min="24" max="24" width="9.5703125" bestFit="1" customWidth="1"/>
  </cols>
  <sheetData>
    <row r="1" spans="1:40" s="5" customFormat="1" ht="12.6" customHeight="1" x14ac:dyDescent="0.25"/>
    <row r="2" spans="1:40" ht="14.45" customHeight="1" x14ac:dyDescent="0.25">
      <c r="D2" s="26"/>
      <c r="E2" s="26"/>
      <c r="F2" s="26"/>
      <c r="G2" s="26" t="s">
        <v>36</v>
      </c>
      <c r="H2" s="26"/>
      <c r="I2" s="26"/>
      <c r="J2" s="16" t="s">
        <v>1026</v>
      </c>
      <c r="K2" s="25" t="e" cm="1">
        <f t="array" aca="1" ref="K2" ca="1">AktiverWert()</f>
        <v>#NAME?</v>
      </c>
      <c r="L2" s="25"/>
      <c r="M2" s="25"/>
      <c r="N2" s="25"/>
      <c r="O2" s="25"/>
      <c r="P2" s="25"/>
      <c r="Q2" s="25"/>
      <c r="S2"/>
      <c r="T2"/>
      <c r="U2"/>
      <c r="V2"/>
    </row>
    <row r="3" spans="1:40" ht="14.45" customHeight="1" x14ac:dyDescent="0.25">
      <c r="D3" s="26"/>
      <c r="E3" s="26"/>
      <c r="F3" s="26"/>
      <c r="G3" s="26"/>
      <c r="H3" s="26"/>
      <c r="I3" s="26"/>
      <c r="J3"/>
      <c r="R3"/>
      <c r="S3"/>
      <c r="T3"/>
      <c r="U3"/>
      <c r="V3"/>
    </row>
    <row r="4" spans="1:40" x14ac:dyDescent="0.25">
      <c r="D4" s="7"/>
      <c r="E4" s="7"/>
      <c r="F4" s="7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</row>
    <row r="5" spans="1:40" ht="24" customHeight="1" x14ac:dyDescent="0.25">
      <c r="D5" s="27" t="s">
        <v>1036</v>
      </c>
      <c r="E5" s="27"/>
      <c r="F5" s="24" t="str">
        <f>IF(D5="Buildings",A34,A27)</f>
        <v>KundenFilterKriterien</v>
      </c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</row>
    <row r="6" spans="1:40" x14ac:dyDescent="0.25">
      <c r="C6" s="12" t="s">
        <v>29</v>
      </c>
      <c r="D6" s="19" t="str" cm="1">
        <f t="array" aca="1" ref="D6:Z6" ca="1">INDEX(INDIRECT($D$5),1,0)</f>
        <v>InternalCustomerId</v>
      </c>
      <c r="E6" s="19" t="str">
        <f ca="1"/>
        <v>FolderNumber</v>
      </c>
      <c r="F6" s="19" t="str">
        <f ca="1"/>
        <v>eKUTCustomer</v>
      </c>
      <c r="G6" s="19" t="str">
        <f ca="1"/>
        <v>ProjectName</v>
      </c>
      <c r="H6" s="19" t="str">
        <f ca="1"/>
        <v>OrganizationName</v>
      </c>
      <c r="I6" s="19" t="str">
        <f ca="1"/>
        <v>FirstName</v>
      </c>
      <c r="J6" s="19" t="str">
        <f ca="1"/>
        <v>LastName</v>
      </c>
      <c r="K6" s="19" t="str">
        <f ca="1"/>
        <v>PhoneNumber</v>
      </c>
      <c r="L6" s="19" t="str">
        <f ca="1"/>
        <v>Email</v>
      </c>
      <c r="M6" s="19" t="str">
        <f ca="1"/>
        <v>PostalCode</v>
      </c>
      <c r="N6" s="19" t="str">
        <f ca="1"/>
        <v>City</v>
      </c>
      <c r="O6" s="19" t="str">
        <f ca="1"/>
        <v>Street</v>
      </c>
      <c r="P6" s="19" t="str">
        <f ca="1"/>
        <v>HouseNumber</v>
      </c>
      <c r="Q6" s="19" t="str">
        <f ca="1"/>
        <v>AddressAddtion</v>
      </c>
      <c r="R6" s="19" t="str">
        <f ca="1"/>
        <v>Prosumer</v>
      </c>
      <c r="S6" s="19" t="str">
        <f ca="1"/>
        <v>HasLoadProfile</v>
      </c>
      <c r="T6" s="19" t="str">
        <f ca="1"/>
        <v>BuildingRenovationInterest</v>
      </c>
      <c r="U6" s="19" t="str">
        <f ca="1"/>
        <v>EnergyCommunityInterest</v>
      </c>
      <c r="V6" s="19" t="str">
        <f ca="1"/>
        <v>MobilityInterest</v>
      </c>
      <c r="W6" s="19" t="str">
        <f ca="1"/>
        <v>PlusEnergyInterest</v>
      </c>
      <c r="X6" s="19" t="str">
        <f ca="1"/>
        <v>Subsidies</v>
      </c>
      <c r="Y6" s="19" t="str">
        <f ca="1"/>
        <v>LastContact</v>
      </c>
      <c r="Z6" s="19" t="str">
        <f ca="1"/>
        <v>Notes</v>
      </c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</row>
    <row r="7" spans="1:40" ht="16.149999999999999" hidden="1" customHeight="1" x14ac:dyDescent="0.25">
      <c r="C7" s="11" t="str">
        <f t="shared" ref="C7:C70" ca="1" si="0">IF(E7=0,"",HYPERLINK("H:\Projekte\Projekte aktuell\Sonstige Projekte\1139 - ENSET\AP09_Innolab\Akquise\Datenbank &amp; Liste\"&amp;E7&amp;"_"&amp;G7,E7&amp;"_"&amp;G7))</f>
        <v>FolderNumber_ProjectName</v>
      </c>
      <c r="D7" s="5" t="str" cm="1">
        <f t="array" aca="1" ref="D7:Z209" ca="1">_xlfn._xlws.FILTER(INDIRECT($D$5),ISNUMBER(SEARCH($D$2,INDEX(INDIRECT($D$5),0,MATCH($G$2,INDEX(INDIRECT($D$5),1,0),0)))),"Kein Ergebnis gefunden.")</f>
        <v>InternalCustomerId</v>
      </c>
      <c r="E7" s="8" t="str">
        <f ca="1"/>
        <v>FolderNumber</v>
      </c>
      <c r="F7" s="8" t="str">
        <f ca="1"/>
        <v>eKUTCustomer</v>
      </c>
      <c r="G7" s="8" t="str">
        <f ca="1"/>
        <v>ProjectName</v>
      </c>
      <c r="H7" s="8" t="str">
        <f ca="1"/>
        <v>OrganizationName</v>
      </c>
      <c r="I7" s="8" t="str">
        <f ca="1"/>
        <v>FirstName</v>
      </c>
      <c r="J7" s="8" t="str">
        <f ca="1"/>
        <v>LastName</v>
      </c>
      <c r="K7" s="8" t="str">
        <f ca="1"/>
        <v>PhoneNumber</v>
      </c>
      <c r="L7" s="8" t="str">
        <f ca="1"/>
        <v>Email</v>
      </c>
      <c r="M7" s="8" t="str">
        <f ca="1"/>
        <v>PostalCode</v>
      </c>
      <c r="N7" s="8" t="str">
        <f ca="1"/>
        <v>City</v>
      </c>
      <c r="O7" s="8" t="str">
        <f ca="1"/>
        <v>Street</v>
      </c>
      <c r="P7" s="8" t="str">
        <f ca="1"/>
        <v>HouseNumber</v>
      </c>
      <c r="Q7" s="8" t="str">
        <f ca="1"/>
        <v>AddressAddtion</v>
      </c>
      <c r="R7" s="8" t="str">
        <f ca="1"/>
        <v>Prosumer</v>
      </c>
      <c r="S7" s="8" t="str">
        <f ca="1"/>
        <v>HasLoadProfile</v>
      </c>
      <c r="T7" s="8" t="str">
        <f ca="1"/>
        <v>BuildingRenovationInterest</v>
      </c>
      <c r="U7" s="8" t="str">
        <f ca="1"/>
        <v>EnergyCommunityInterest</v>
      </c>
      <c r="V7" s="8" t="str">
        <f ca="1"/>
        <v>MobilityInterest</v>
      </c>
      <c r="W7" t="str">
        <f ca="1"/>
        <v>PlusEnergyInterest</v>
      </c>
      <c r="X7" t="str">
        <f ca="1"/>
        <v>Subsidies</v>
      </c>
      <c r="Y7" t="str">
        <f ca="1"/>
        <v>LastContact</v>
      </c>
      <c r="Z7" t="str">
        <f ca="1"/>
        <v>Notes</v>
      </c>
    </row>
    <row r="8" spans="1:40" ht="16.149999999999999" customHeight="1" x14ac:dyDescent="0.25">
      <c r="C8" s="11" t="str">
        <f t="shared" ca="1" si="0"/>
        <v>836_Mustersanierung, PV-Anlage</v>
      </c>
      <c r="D8" s="5">
        <f ca="1"/>
        <v>1</v>
      </c>
      <c r="E8" s="5">
        <f ca="1"/>
        <v>836</v>
      </c>
      <c r="F8" s="5" t="str">
        <f ca="1"/>
        <v>x</v>
      </c>
      <c r="G8" s="5" t="str">
        <f ca="1"/>
        <v>Mustersanierung, PV-Anlage</v>
      </c>
      <c r="H8" s="5" t="str">
        <f ca="1"/>
        <v>Auto Berger</v>
      </c>
      <c r="I8" s="5" t="str">
        <f ca="1"/>
        <v>Ulrike</v>
      </c>
      <c r="J8" s="5" t="str">
        <f ca="1"/>
        <v>Berger</v>
      </c>
      <c r="K8" s="5" t="str">
        <f ca="1"/>
        <v>02822 / 52281 -201</v>
      </c>
      <c r="L8" s="5" t="str">
        <f ca="1"/>
        <v>ulrike.berger-braun@autohaus-berger.at</v>
      </c>
      <c r="M8" s="5">
        <f ca="1"/>
        <v>3910</v>
      </c>
      <c r="N8" s="5" t="str">
        <f ca="1"/>
        <v>Zwettl</v>
      </c>
      <c r="O8" s="5" t="str">
        <f ca="1"/>
        <v>Kremser Straße</v>
      </c>
      <c r="P8" s="5">
        <f ca="1"/>
        <v>34</v>
      </c>
      <c r="Q8" s="5" t="str">
        <f ca="1"/>
        <v/>
      </c>
      <c r="R8" s="5" t="str">
        <f ca="1"/>
        <v/>
      </c>
      <c r="S8" s="5" t="str">
        <f ca="1"/>
        <v/>
      </c>
      <c r="T8" s="5" t="str">
        <f ca="1"/>
        <v/>
      </c>
      <c r="U8" s="5" t="str">
        <f ca="1"/>
        <v/>
      </c>
      <c r="V8" s="5" t="str">
        <f ca="1"/>
        <v/>
      </c>
      <c r="W8" t="str">
        <f ca="1"/>
        <v/>
      </c>
      <c r="X8">
        <f ca="1"/>
        <v>0</v>
      </c>
      <c r="Y8">
        <f ca="1"/>
        <v>0</v>
      </c>
      <c r="Z8" t="str">
        <f ca="1"/>
        <v/>
      </c>
    </row>
    <row r="9" spans="1:40" ht="16.149999999999999" customHeight="1" x14ac:dyDescent="0.25">
      <c r="A9" s="17" t="s">
        <v>1027</v>
      </c>
      <c r="C9" s="11" t="str">
        <f t="shared" ca="1" si="0"/>
        <v>609_Mustersanierung Workingspace, Carport Parkplatz PV-Anlagen</v>
      </c>
      <c r="D9" s="5">
        <f ca="1"/>
        <v>2</v>
      </c>
      <c r="E9" s="5">
        <f ca="1"/>
        <v>609</v>
      </c>
      <c r="F9" s="5" t="str">
        <f ca="1"/>
        <v>x</v>
      </c>
      <c r="G9" s="5" t="str">
        <f ca="1"/>
        <v>Mustersanierung Workingspace, Carport Parkplatz PV-Anlagen</v>
      </c>
      <c r="H9" s="5" t="str">
        <f ca="1"/>
        <v>Garser Immobilien GmbH</v>
      </c>
      <c r="I9" s="5" t="str">
        <f ca="1"/>
        <v>Werner</v>
      </c>
      <c r="J9" s="5" t="str">
        <f ca="1"/>
        <v>Groiß</v>
      </c>
      <c r="K9" s="5" t="str">
        <f ca="1"/>
        <v>02985 / 2656</v>
      </c>
      <c r="L9" s="5" t="str">
        <f ca="1"/>
        <v>werner.groiss@bzg.at</v>
      </c>
      <c r="M9" s="5">
        <f ca="1"/>
        <v>3571</v>
      </c>
      <c r="N9" s="5" t="str">
        <f ca="1"/>
        <v>Gars am Kamp</v>
      </c>
      <c r="O9" s="5" t="str">
        <f ca="1"/>
        <v>Schiller Straße</v>
      </c>
      <c r="P9" s="5">
        <f ca="1"/>
        <v>163</v>
      </c>
      <c r="Q9" s="5" t="str">
        <f ca="1"/>
        <v/>
      </c>
      <c r="R9" s="5" t="str">
        <f ca="1"/>
        <v/>
      </c>
      <c r="S9" s="5" t="str">
        <f ca="1"/>
        <v/>
      </c>
      <c r="T9" s="5" t="str">
        <f ca="1"/>
        <v/>
      </c>
      <c r="U9" s="5" t="str">
        <f ca="1"/>
        <v/>
      </c>
      <c r="V9" s="5" t="str">
        <f ca="1"/>
        <v/>
      </c>
      <c r="W9" t="str">
        <f ca="1"/>
        <v/>
      </c>
      <c r="X9">
        <f ca="1"/>
        <v>0</v>
      </c>
      <c r="Y9">
        <f ca="1"/>
        <v>0</v>
      </c>
      <c r="Z9" t="str">
        <f ca="1"/>
        <v/>
      </c>
    </row>
    <row r="10" spans="1:40" ht="16.149999999999999" customHeight="1" x14ac:dyDescent="0.25">
      <c r="A10" t="s">
        <v>1036</v>
      </c>
      <c r="C10" s="11" t="str">
        <f t="shared" ca="1" si="0"/>
        <v>1106_Mustersanierung, Beratung</v>
      </c>
      <c r="D10" s="5">
        <f ca="1"/>
        <v>3</v>
      </c>
      <c r="E10" s="5">
        <f ca="1"/>
        <v>1106</v>
      </c>
      <c r="F10" s="5" t="str">
        <f ca="1"/>
        <v>x</v>
      </c>
      <c r="G10" s="5" t="str">
        <f ca="1"/>
        <v>Mustersanierung, Beratung</v>
      </c>
      <c r="H10" s="5" t="str">
        <f ca="1"/>
        <v>Gem Maissau</v>
      </c>
      <c r="I10" s="5" t="str">
        <f ca="1"/>
        <v>Hubert</v>
      </c>
      <c r="J10" s="5" t="str">
        <f ca="1"/>
        <v>Wimmer</v>
      </c>
      <c r="K10" s="5" t="str">
        <f ca="1"/>
        <v>0676 / 3477930</v>
      </c>
      <c r="L10" s="5" t="str">
        <f ca="1"/>
        <v>hubert.wimmer@stadtmusik-maissau.at</v>
      </c>
      <c r="M10" s="5">
        <f ca="1"/>
        <v>3712</v>
      </c>
      <c r="N10" s="5" t="str">
        <f ca="1"/>
        <v>Maissau</v>
      </c>
      <c r="O10" s="5" t="str">
        <f ca="1"/>
        <v>Franz-Gilly-Gasse</v>
      </c>
      <c r="P10" s="5">
        <f ca="1"/>
        <v>12</v>
      </c>
      <c r="Q10" s="5" t="str">
        <f ca="1"/>
        <v/>
      </c>
      <c r="R10" s="5" t="str">
        <f ca="1"/>
        <v/>
      </c>
      <c r="S10" s="5" t="str">
        <f ca="1"/>
        <v/>
      </c>
      <c r="T10" s="5" t="str">
        <f ca="1"/>
        <v/>
      </c>
      <c r="U10" s="5" t="str">
        <f ca="1"/>
        <v/>
      </c>
      <c r="V10" s="5" t="str">
        <f ca="1"/>
        <v/>
      </c>
      <c r="W10" t="str">
        <f ca="1"/>
        <v/>
      </c>
      <c r="X10">
        <f ca="1"/>
        <v>0</v>
      </c>
      <c r="Y10">
        <f ca="1"/>
        <v>0</v>
      </c>
      <c r="Z10" t="str">
        <f ca="1"/>
        <v/>
      </c>
    </row>
    <row r="11" spans="1:40" ht="16.149999999999999" customHeight="1" x14ac:dyDescent="0.25">
      <c r="A11" t="s">
        <v>1028</v>
      </c>
      <c r="C11" s="11" t="str">
        <f t="shared" ca="1" si="0"/>
        <v>3148_Kurzberatung, PV, Energie, Mobilität</v>
      </c>
      <c r="D11" s="5">
        <f ca="1"/>
        <v>4</v>
      </c>
      <c r="E11" s="5">
        <f ca="1"/>
        <v>3148</v>
      </c>
      <c r="F11" s="5" t="str">
        <f ca="1"/>
        <v>x</v>
      </c>
      <c r="G11" s="5" t="str">
        <f ca="1"/>
        <v>Kurzberatung, PV, Energie, Mobilität</v>
      </c>
      <c r="H11" s="5" t="str">
        <f ca="1"/>
        <v>Blumen Szing</v>
      </c>
      <c r="I11" s="5" t="str">
        <f ca="1"/>
        <v>Andreas</v>
      </c>
      <c r="J11" s="5" t="str">
        <f ca="1"/>
        <v>Szing</v>
      </c>
      <c r="K11" s="5" t="str">
        <f ca="1"/>
        <v>02735 / 2541</v>
      </c>
      <c r="L11" s="5" t="str">
        <f ca="1"/>
        <v>office@szing.at</v>
      </c>
      <c r="M11" s="5">
        <f ca="1"/>
        <v>3492</v>
      </c>
      <c r="N11" s="5" t="str">
        <f ca="1"/>
        <v>Walkersdorf</v>
      </c>
      <c r="O11" s="5" t="str">
        <f ca="1"/>
        <v>Hauptstraße</v>
      </c>
      <c r="P11" s="5">
        <f ca="1"/>
        <v>10</v>
      </c>
      <c r="Q11" s="5" t="str">
        <f ca="1"/>
        <v/>
      </c>
      <c r="R11" s="5" t="str">
        <f ca="1"/>
        <v/>
      </c>
      <c r="S11" s="5" t="str">
        <f ca="1"/>
        <v/>
      </c>
      <c r="T11" s="5" t="str">
        <f ca="1"/>
        <v/>
      </c>
      <c r="U11" s="5" t="str">
        <f ca="1"/>
        <v/>
      </c>
      <c r="V11" s="5" t="str">
        <f ca="1"/>
        <v/>
      </c>
      <c r="W11" t="str">
        <f ca="1"/>
        <v/>
      </c>
      <c r="X11">
        <f ca="1"/>
        <v>0</v>
      </c>
      <c r="Y11">
        <f ca="1"/>
        <v>0</v>
      </c>
      <c r="Z11" t="str">
        <f ca="1"/>
        <v/>
      </c>
    </row>
    <row r="12" spans="1:40" ht="16.149999999999999" customHeight="1" x14ac:dyDescent="0.25">
      <c r="A12" t="s">
        <v>1029</v>
      </c>
      <c r="C12" s="11" t="str">
        <f t="shared" ca="1" si="0"/>
        <v>3151_Kurzberatung PV Büro + Lagerhalle</v>
      </c>
      <c r="D12" s="5">
        <f ca="1"/>
        <v>5</v>
      </c>
      <c r="E12" s="5">
        <f ca="1"/>
        <v>3151</v>
      </c>
      <c r="F12" s="5" t="str">
        <f ca="1"/>
        <v>x</v>
      </c>
      <c r="G12" s="5" t="str">
        <f ca="1"/>
        <v>Kurzberatung PV Büro + Lagerhalle</v>
      </c>
      <c r="H12" s="5" t="str">
        <f ca="1"/>
        <v>Agrofresh</v>
      </c>
      <c r="I12" s="5" t="str">
        <f ca="1"/>
        <v>Christoph</v>
      </c>
      <c r="J12" s="5" t="str">
        <f ca="1"/>
        <v>Mauthner</v>
      </c>
      <c r="K12" s="5" t="str">
        <f ca="1"/>
        <v>02829 / 20010 -34</v>
      </c>
      <c r="L12" s="5" t="str">
        <f ca="1"/>
        <v>christoph.mautner@agrofresh.co.at</v>
      </c>
      <c r="M12" s="5">
        <f ca="1"/>
        <v>3923</v>
      </c>
      <c r="N12" s="5" t="str">
        <f ca="1"/>
        <v>Jagenbach</v>
      </c>
      <c r="O12" s="5" t="str">
        <f ca="1"/>
        <v>Jagenbach</v>
      </c>
      <c r="P12" s="5">
        <f ca="1"/>
        <v>135</v>
      </c>
      <c r="Q12" s="5" t="str">
        <f ca="1"/>
        <v/>
      </c>
      <c r="R12" s="5" t="str">
        <f ca="1"/>
        <v/>
      </c>
      <c r="S12" s="5" t="str">
        <f ca="1"/>
        <v/>
      </c>
      <c r="T12" s="5" t="str">
        <f ca="1"/>
        <v/>
      </c>
      <c r="U12" s="5" t="str">
        <f ca="1"/>
        <v/>
      </c>
      <c r="V12" s="5" t="str">
        <f ca="1"/>
        <v/>
      </c>
      <c r="W12" t="str">
        <f ca="1"/>
        <v/>
      </c>
      <c r="X12">
        <f ca="1"/>
        <v>0</v>
      </c>
      <c r="Y12">
        <f ca="1"/>
        <v>0</v>
      </c>
      <c r="Z12" t="str">
        <f ca="1"/>
        <v/>
      </c>
    </row>
    <row r="13" spans="1:40" ht="16.149999999999999" customHeight="1" x14ac:dyDescent="0.25">
      <c r="A13" t="s">
        <v>1030</v>
      </c>
      <c r="C13" s="11" t="str">
        <f t="shared" ca="1" si="0"/>
        <v>1115_Thermische Sanierung, Erneuerung Heizanlage</v>
      </c>
      <c r="D13" s="5">
        <f ca="1"/>
        <v>6</v>
      </c>
      <c r="E13" s="5">
        <f ca="1"/>
        <v>1115</v>
      </c>
      <c r="F13" s="5" t="str">
        <f ca="1"/>
        <v>x</v>
      </c>
      <c r="G13" s="5" t="str">
        <f ca="1"/>
        <v>Thermische Sanierung, Erneuerung Heizanlage</v>
      </c>
      <c r="H13" s="5" t="str">
        <f ca="1"/>
        <v>Gem Sallingberg</v>
      </c>
      <c r="I13" s="5" t="str">
        <f ca="1"/>
        <v>Cornelia</v>
      </c>
      <c r="J13" s="5" t="str">
        <f ca="1"/>
        <v>Juster</v>
      </c>
      <c r="K13" s="5" t="str">
        <f ca="1"/>
        <v>02877 / 8344</v>
      </c>
      <c r="L13" s="5" t="str">
        <f ca="1"/>
        <v>gemeinde@sallingberg.at</v>
      </c>
      <c r="M13" s="5">
        <f ca="1"/>
        <v>3525</v>
      </c>
      <c r="N13" s="5" t="str">
        <f ca="1"/>
        <v>Sallingberg</v>
      </c>
      <c r="O13" s="5" t="str">
        <f ca="1"/>
        <v>Hauptstraße</v>
      </c>
      <c r="P13" s="5">
        <f ca="1"/>
        <v>24</v>
      </c>
      <c r="Q13" s="5" t="str">
        <f ca="1"/>
        <v/>
      </c>
      <c r="R13" s="5" t="str">
        <f ca="1"/>
        <v/>
      </c>
      <c r="S13" s="5" t="str">
        <f ca="1"/>
        <v/>
      </c>
      <c r="T13" s="5" t="str">
        <f ca="1"/>
        <v/>
      </c>
      <c r="U13" s="5" t="str">
        <f ca="1"/>
        <v/>
      </c>
      <c r="V13" s="5" t="str">
        <f ca="1"/>
        <v/>
      </c>
      <c r="W13" t="str">
        <f ca="1"/>
        <v/>
      </c>
      <c r="X13">
        <f ca="1"/>
        <v>0</v>
      </c>
      <c r="Y13">
        <f ca="1"/>
        <v>0</v>
      </c>
      <c r="Z13" t="str">
        <f ca="1"/>
        <v/>
      </c>
    </row>
    <row r="14" spans="1:40" ht="16.149999999999999" customHeight="1" x14ac:dyDescent="0.25">
      <c r="A14" t="s">
        <v>1031</v>
      </c>
      <c r="C14" s="11" t="str">
        <f t="shared" ca="1" si="0"/>
        <v>1118_Sanierung Schule (nicht umgesetzt)</v>
      </c>
      <c r="D14" s="5">
        <f ca="1"/>
        <v>7</v>
      </c>
      <c r="E14" s="5">
        <f ca="1"/>
        <v>1118</v>
      </c>
      <c r="F14" s="5" t="str">
        <f ca="1"/>
        <v>x</v>
      </c>
      <c r="G14" s="5" t="str">
        <f ca="1"/>
        <v>Sanierung Schule (nicht umgesetzt)</v>
      </c>
      <c r="H14" s="5" t="str">
        <f ca="1"/>
        <v>Gem Petronell</v>
      </c>
      <c r="I14" s="5" t="str">
        <f ca="1"/>
        <v>Philipp</v>
      </c>
      <c r="J14" s="5" t="str">
        <f ca="1"/>
        <v>Loitsch</v>
      </c>
      <c r="K14" s="5" t="str">
        <f ca="1"/>
        <v>0676 / 5739485</v>
      </c>
      <c r="L14" s="5" t="str">
        <f ca="1"/>
        <v>p.loitsch@energiepark.at</v>
      </c>
      <c r="M14" s="5">
        <f ca="1"/>
        <v>2404</v>
      </c>
      <c r="N14" s="5" t="str">
        <f ca="1"/>
        <v>Petronell-Carnuntum</v>
      </c>
      <c r="O14" s="5" t="str">
        <f ca="1"/>
        <v>Kirchenplatz</v>
      </c>
      <c r="P14" s="5">
        <f ca="1"/>
        <v>1</v>
      </c>
      <c r="Q14" s="5" t="str">
        <f ca="1"/>
        <v/>
      </c>
      <c r="R14" s="5" t="str">
        <f ca="1"/>
        <v/>
      </c>
      <c r="S14" s="5" t="str">
        <f ca="1"/>
        <v/>
      </c>
      <c r="T14" s="5" t="str">
        <f ca="1"/>
        <v/>
      </c>
      <c r="U14" s="5" t="str">
        <f ca="1"/>
        <v/>
      </c>
      <c r="V14" s="5" t="str">
        <f ca="1"/>
        <v/>
      </c>
      <c r="W14" t="str">
        <f ca="1"/>
        <v/>
      </c>
      <c r="X14">
        <f ca="1"/>
        <v>0</v>
      </c>
      <c r="Y14">
        <f ca="1"/>
        <v>0</v>
      </c>
      <c r="Z14" t="str">
        <f ca="1"/>
        <v/>
      </c>
    </row>
    <row r="15" spans="1:40" ht="16.149999999999999" customHeight="1" x14ac:dyDescent="0.25">
      <c r="A15" t="s">
        <v>1032</v>
      </c>
      <c r="C15" s="11" t="str">
        <f t="shared" ref="C15:C69" ca="1" si="1">IF(E15=0,"",HYPERLINK("H:\Projekte\Projekte aktuell\Sonstige Projekte\1139 - ENSET\AP09_Innolab\Akquise\Datenbank &amp; Liste\"&amp;E15&amp;"_"&amp;G15,E15&amp;"_"&amp;G15))</f>
        <v>350_Awareness Beratung</v>
      </c>
      <c r="D15" s="5">
        <f ca="1"/>
        <v>8</v>
      </c>
      <c r="E15" s="5">
        <f ca="1"/>
        <v>350</v>
      </c>
      <c r="F15" s="5" t="str">
        <f ca="1"/>
        <v>x</v>
      </c>
      <c r="G15" s="5" t="str">
        <f ca="1"/>
        <v>Awareness Beratung</v>
      </c>
      <c r="H15" s="5" t="str">
        <f ca="1"/>
        <v>Farbe und Wohnen Müllner GmbH</v>
      </c>
      <c r="I15" s="5" t="str">
        <f ca="1"/>
        <v>Lukas</v>
      </c>
      <c r="J15" s="5" t="str">
        <f ca="1"/>
        <v>Müllner</v>
      </c>
      <c r="K15" s="5" t="str">
        <f ca="1"/>
        <v>0664 / 2444688</v>
      </c>
      <c r="L15" s="5" t="str">
        <f ca="1"/>
        <v>lukas@muellner.at</v>
      </c>
      <c r="M15" s="5">
        <f ca="1"/>
        <v>3830</v>
      </c>
      <c r="N15" s="5" t="str">
        <f ca="1"/>
        <v>Waidhofen/Thaya</v>
      </c>
      <c r="O15" s="5" t="str">
        <f ca="1"/>
        <v>Heidenreichsteiner Straße</v>
      </c>
      <c r="P15" s="5">
        <f ca="1"/>
        <v>22</v>
      </c>
      <c r="Q15" s="5" t="str">
        <f ca="1"/>
        <v/>
      </c>
      <c r="R15" s="5" t="str">
        <f ca="1"/>
        <v/>
      </c>
      <c r="S15" s="5" t="str">
        <f ca="1"/>
        <v/>
      </c>
      <c r="T15" s="5" t="str">
        <f ca="1"/>
        <v/>
      </c>
      <c r="U15" s="5" t="str">
        <f ca="1"/>
        <v/>
      </c>
      <c r="V15" s="5" t="str">
        <f ca="1"/>
        <v/>
      </c>
      <c r="W15" t="str">
        <f ca="1"/>
        <v/>
      </c>
      <c r="X15">
        <f ca="1"/>
        <v>0</v>
      </c>
      <c r="Y15">
        <f ca="1"/>
        <v>0</v>
      </c>
      <c r="Z15" t="str">
        <f ca="1"/>
        <v/>
      </c>
    </row>
    <row r="16" spans="1:40" ht="16.149999999999999" customHeight="1" x14ac:dyDescent="0.25">
      <c r="A16" t="s">
        <v>1033</v>
      </c>
      <c r="C16" s="11" t="str">
        <f t="shared" ca="1" si="0"/>
        <v>3156_Awareness Kurzberatung Energieeffizienz, EE, Mobilität und Kreislaufwirtschaft, Umsetzungs - Schwerpunktberatung Heizung</v>
      </c>
      <c r="D16" s="5">
        <f ca="1"/>
        <v>9</v>
      </c>
      <c r="E16" s="5">
        <f ca="1"/>
        <v>3156</v>
      </c>
      <c r="F16" s="5" t="str">
        <f ca="1"/>
        <v>x</v>
      </c>
      <c r="G16" s="5" t="str">
        <f ca="1"/>
        <v>Awareness Kurzberatung Energieeffizienz, EE, Mobilität und Kreislaufwirtschaft, Umsetzungs - Schwerpunktberatung Heizung</v>
      </c>
      <c r="H16" s="5" t="str">
        <f ca="1"/>
        <v>Waldland Holding GmbH</v>
      </c>
      <c r="I16" s="5" t="str">
        <f ca="1"/>
        <v>Michael</v>
      </c>
      <c r="J16" s="5" t="str">
        <f ca="1"/>
        <v>Höllmüller</v>
      </c>
      <c r="K16" s="5" t="str">
        <f ca="1"/>
        <v>02826 / 7443 - 0</v>
      </c>
      <c r="L16" s="5" t="str">
        <f ca="1"/>
        <v>michael.hoelmueller@waldland.at</v>
      </c>
      <c r="M16" s="5">
        <f ca="1"/>
        <v>3533</v>
      </c>
      <c r="N16" s="5" t="str">
        <f ca="1"/>
        <v>Friedersbach</v>
      </c>
      <c r="O16" s="5" t="str">
        <f ca="1"/>
        <v>Oberwaltnreith</v>
      </c>
      <c r="P16" s="5">
        <f ca="1"/>
        <v>10</v>
      </c>
      <c r="Q16" s="5" t="str">
        <f ca="1"/>
        <v/>
      </c>
      <c r="R16" s="5" t="str">
        <f ca="1"/>
        <v/>
      </c>
      <c r="S16" s="5" t="str">
        <f ca="1"/>
        <v/>
      </c>
      <c r="T16" s="5" t="str">
        <f ca="1"/>
        <v/>
      </c>
      <c r="U16" s="5" t="str">
        <f ca="1"/>
        <v/>
      </c>
      <c r="V16" s="5" t="str">
        <f ca="1"/>
        <v/>
      </c>
      <c r="W16" t="str">
        <f ca="1"/>
        <v/>
      </c>
      <c r="X16">
        <f ca="1"/>
        <v>0</v>
      </c>
      <c r="Y16">
        <f ca="1"/>
        <v>0</v>
      </c>
      <c r="Z16" t="str">
        <f ca="1"/>
        <v/>
      </c>
    </row>
    <row r="17" spans="1:26" ht="16.149999999999999" customHeight="1" x14ac:dyDescent="0.25">
      <c r="A17" t="s">
        <v>1034</v>
      </c>
      <c r="C17" s="11" t="str">
        <f t="shared" ca="1" si="0"/>
        <v>1126_Sanierung</v>
      </c>
      <c r="D17" s="5">
        <f ca="1"/>
        <v>10</v>
      </c>
      <c r="E17" s="5">
        <f ca="1"/>
        <v>1126</v>
      </c>
      <c r="F17" s="5" t="str">
        <f ca="1"/>
        <v>x</v>
      </c>
      <c r="G17" s="5" t="str">
        <f ca="1"/>
        <v>Sanierung</v>
      </c>
      <c r="H17" s="5" t="str">
        <f ca="1"/>
        <v>Waldland</v>
      </c>
      <c r="I17" s="5" t="str">
        <f ca="1"/>
        <v>Michael</v>
      </c>
      <c r="J17" s="5" t="str">
        <f ca="1"/>
        <v>Höllmüller</v>
      </c>
      <c r="K17" s="5" t="str">
        <f ca="1"/>
        <v/>
      </c>
      <c r="L17" s="5">
        <f ca="1"/>
        <v>0</v>
      </c>
      <c r="M17" s="5">
        <f ca="1"/>
        <v>0</v>
      </c>
      <c r="N17" s="5">
        <f ca="1"/>
        <v>0</v>
      </c>
      <c r="O17" s="5">
        <f ca="1"/>
        <v>0</v>
      </c>
      <c r="P17" s="5">
        <f ca="1"/>
        <v>0</v>
      </c>
      <c r="Q17" s="5" t="str">
        <f ca="1"/>
        <v/>
      </c>
      <c r="R17" s="5" t="str">
        <f ca="1"/>
        <v/>
      </c>
      <c r="S17" s="5" t="str">
        <f ca="1"/>
        <v/>
      </c>
      <c r="T17" s="5" t="str">
        <f ca="1"/>
        <v/>
      </c>
      <c r="U17" s="5" t="str">
        <f ca="1"/>
        <v/>
      </c>
      <c r="V17" s="5" t="str">
        <f ca="1"/>
        <v/>
      </c>
      <c r="W17" t="str">
        <f ca="1"/>
        <v/>
      </c>
      <c r="X17">
        <f ca="1"/>
        <v>0</v>
      </c>
      <c r="Y17">
        <f ca="1"/>
        <v>0</v>
      </c>
      <c r="Z17" t="str">
        <f ca="1"/>
        <v/>
      </c>
    </row>
    <row r="18" spans="1:26" ht="16.149999999999999" customHeight="1" x14ac:dyDescent="0.25">
      <c r="A18" t="s">
        <v>1035</v>
      </c>
      <c r="C18" s="11" t="str">
        <f t="shared" ca="1" si="0"/>
        <v>630_Umsetzungs- Schwerpunktberatung Energie</v>
      </c>
      <c r="D18" s="5">
        <f ca="1"/>
        <v>11</v>
      </c>
      <c r="E18" s="5">
        <f ca="1"/>
        <v>630</v>
      </c>
      <c r="F18" s="5" t="str">
        <f ca="1"/>
        <v>x</v>
      </c>
      <c r="G18" s="5" t="str">
        <f ca="1"/>
        <v>Umsetzungs- Schwerpunktberatung Energie</v>
      </c>
      <c r="H18" s="5" t="str">
        <f ca="1"/>
        <v>Joko Immobilien &amp; Handel GmbH</v>
      </c>
      <c r="I18" s="5" t="str">
        <f ca="1"/>
        <v>Johannes</v>
      </c>
      <c r="J18" s="5" t="str">
        <f ca="1"/>
        <v>Kößner</v>
      </c>
      <c r="K18" s="5" t="str">
        <f ca="1"/>
        <v>0664 / 413 9855 </v>
      </c>
      <c r="L18" s="5" t="str">
        <f ca="1"/>
        <v>koessner@meh.co.at</v>
      </c>
      <c r="M18" s="5">
        <f ca="1"/>
        <v>3812</v>
      </c>
      <c r="N18" s="5" t="str">
        <f ca="1"/>
        <v>Groß Siegharts</v>
      </c>
      <c r="O18" s="5" t="str">
        <f ca="1"/>
        <v>Schiefergasse</v>
      </c>
      <c r="P18" s="5">
        <f ca="1"/>
        <v>2</v>
      </c>
      <c r="Q18" s="5" t="str">
        <f ca="1"/>
        <v/>
      </c>
      <c r="R18" s="5" t="str">
        <f ca="1"/>
        <v/>
      </c>
      <c r="S18" s="5" t="str">
        <f ca="1"/>
        <v/>
      </c>
      <c r="T18" s="5" t="str">
        <f ca="1"/>
        <v/>
      </c>
      <c r="U18" s="5" t="str">
        <f ca="1"/>
        <v/>
      </c>
      <c r="V18" s="5" t="str">
        <f ca="1"/>
        <v/>
      </c>
      <c r="W18" t="str">
        <f ca="1"/>
        <v/>
      </c>
      <c r="X18">
        <f ca="1"/>
        <v>0</v>
      </c>
      <c r="Y18">
        <f ca="1"/>
        <v>0</v>
      </c>
      <c r="Z18" t="str">
        <f ca="1"/>
        <v/>
      </c>
    </row>
    <row r="19" spans="1:26" ht="16.149999999999999" customHeight="1" x14ac:dyDescent="0.25">
      <c r="C19" s="11" t="str">
        <f t="shared" ca="1" si="0"/>
        <v>1131_Sanierung</v>
      </c>
      <c r="D19" s="5">
        <f ca="1"/>
        <v>12</v>
      </c>
      <c r="E19" s="5">
        <f ca="1"/>
        <v>1131</v>
      </c>
      <c r="F19" s="5" t="str">
        <f ca="1"/>
        <v>x</v>
      </c>
      <c r="G19" s="5" t="str">
        <f ca="1"/>
        <v>Sanierung</v>
      </c>
      <c r="H19" s="5" t="str">
        <f ca="1"/>
        <v>LIRO</v>
      </c>
      <c r="I19" s="5" t="str">
        <f ca="1"/>
        <v>Robert</v>
      </c>
      <c r="J19" s="5" t="str">
        <f ca="1"/>
        <v>Pichler</v>
      </c>
      <c r="K19" s="5" t="str">
        <f ca="1"/>
        <v>01382 / 0045</v>
      </c>
      <c r="L19" s="5" t="str">
        <f ca="1"/>
        <v>beratung@liros.net</v>
      </c>
      <c r="M19" s="5">
        <f ca="1"/>
        <v>3914</v>
      </c>
      <c r="N19" s="5" t="str">
        <f ca="1"/>
        <v>Waldhausen</v>
      </c>
      <c r="O19" s="5" t="str">
        <f ca="1"/>
        <v>Königsbach</v>
      </c>
      <c r="P19" s="5">
        <f ca="1"/>
        <v>7</v>
      </c>
      <c r="Q19" s="5" t="str">
        <f ca="1"/>
        <v/>
      </c>
      <c r="R19" s="5" t="str">
        <f ca="1"/>
        <v/>
      </c>
      <c r="S19" s="5" t="str">
        <f ca="1"/>
        <v/>
      </c>
      <c r="T19" s="5" t="str">
        <f ca="1"/>
        <v/>
      </c>
      <c r="U19" s="5" t="str">
        <f ca="1"/>
        <v/>
      </c>
      <c r="V19" s="5" t="str">
        <f ca="1"/>
        <v/>
      </c>
      <c r="W19" t="str">
        <f ca="1"/>
        <v/>
      </c>
      <c r="X19">
        <f ca="1"/>
        <v>0</v>
      </c>
      <c r="Y19">
        <f ca="1"/>
        <v>0</v>
      </c>
      <c r="Z19" t="str">
        <f ca="1"/>
        <v/>
      </c>
    </row>
    <row r="20" spans="1:26" ht="16.149999999999999" customHeight="1" x14ac:dyDescent="0.25">
      <c r="A20" s="17" t="s">
        <v>1993</v>
      </c>
      <c r="C20" s="11" t="str">
        <f t="shared" ca="1" si="0"/>
        <v>3117_Awareness Kurzberatung, Umsetzungs - Schwerpunktberatung PV, Heizungsumstellung</v>
      </c>
      <c r="D20" s="5">
        <f ca="1"/>
        <v>13</v>
      </c>
      <c r="E20" s="5">
        <f ca="1"/>
        <v>3117</v>
      </c>
      <c r="F20" s="5" t="str">
        <f ca="1"/>
        <v>x</v>
      </c>
      <c r="G20" s="5" t="str">
        <f ca="1"/>
        <v>Awareness Kurzberatung, Umsetzungs - Schwerpunktberatung PV, Heizungsumstellung</v>
      </c>
      <c r="H20" s="5" t="str">
        <f ca="1"/>
        <v>Arnhof</v>
      </c>
      <c r="I20" s="5" t="str">
        <f ca="1"/>
        <v>Christoph</v>
      </c>
      <c r="J20" s="5" t="str">
        <f ca="1"/>
        <v>Arnhof</v>
      </c>
      <c r="K20" s="5" t="str">
        <f ca="1"/>
        <v>0664 / 120 0361 </v>
      </c>
      <c r="L20" s="5" t="str">
        <f ca="1"/>
        <v>christoph@arnhof.com</v>
      </c>
      <c r="M20" s="5">
        <f ca="1"/>
        <v>3861</v>
      </c>
      <c r="N20" s="5" t="str">
        <f ca="1"/>
        <v>Eggern</v>
      </c>
      <c r="O20" s="5" t="str">
        <f ca="1"/>
        <v>Marktplatz</v>
      </c>
      <c r="P20" s="5">
        <f ca="1"/>
        <v>21</v>
      </c>
      <c r="Q20" s="5" t="str">
        <f ca="1"/>
        <v/>
      </c>
      <c r="R20" s="5" t="str">
        <f ca="1"/>
        <v/>
      </c>
      <c r="S20" s="5" t="str">
        <f ca="1"/>
        <v/>
      </c>
      <c r="T20" s="5" t="str">
        <f ca="1"/>
        <v/>
      </c>
      <c r="U20" s="5" t="str">
        <f ca="1"/>
        <v/>
      </c>
      <c r="V20" s="5" t="str">
        <f ca="1"/>
        <v/>
      </c>
      <c r="W20" t="str">
        <f ca="1"/>
        <v/>
      </c>
      <c r="X20">
        <f ca="1"/>
        <v>0</v>
      </c>
      <c r="Y20">
        <f ca="1"/>
        <v>0</v>
      </c>
      <c r="Z20" t="str">
        <f ca="1"/>
        <v/>
      </c>
    </row>
    <row r="21" spans="1:26" ht="16.149999999999999" customHeight="1" x14ac:dyDescent="0.25">
      <c r="A21" s="13" t="s">
        <v>1994</v>
      </c>
      <c r="C21" s="11" t="str">
        <f t="shared" ca="1" si="0"/>
        <v>3169_Beratung LED-Beleuchtung (aktuell)</v>
      </c>
      <c r="D21" s="5">
        <f ca="1"/>
        <v>14</v>
      </c>
      <c r="E21" s="5">
        <f ca="1"/>
        <v>3169</v>
      </c>
      <c r="F21" s="5" t="str">
        <f ca="1"/>
        <v>x</v>
      </c>
      <c r="G21" s="5" t="str">
        <f ca="1"/>
        <v>Beratung LED-Beleuchtung (aktuell)</v>
      </c>
      <c r="H21" s="5" t="str">
        <f ca="1"/>
        <v>UNION Eislaufverein Gars</v>
      </c>
      <c r="I21" s="5" t="str">
        <f ca="1"/>
        <v>Cornelia</v>
      </c>
      <c r="J21" s="5" t="str">
        <f ca="1"/>
        <v>Grabl</v>
      </c>
      <c r="K21" s="5" t="str">
        <f ca="1"/>
        <v>0650 / 870 8235 </v>
      </c>
      <c r="L21" s="5" t="str">
        <f ca="1"/>
        <v>connys-cafe80@gmx.at ; sportunion@eislaufplatz-gars.at</v>
      </c>
      <c r="M21" s="5">
        <f ca="1"/>
        <v>3571</v>
      </c>
      <c r="N21" s="5" t="str">
        <f ca="1"/>
        <v>Gars</v>
      </c>
      <c r="O21" s="5" t="str">
        <f ca="1"/>
        <v>Kremser Straße</v>
      </c>
      <c r="P21" s="5">
        <f ca="1"/>
        <v>649</v>
      </c>
      <c r="Q21" s="5" t="str">
        <f ca="1"/>
        <v/>
      </c>
      <c r="R21" s="5" t="str">
        <f ca="1"/>
        <v/>
      </c>
      <c r="S21" s="5" t="str">
        <f ca="1"/>
        <v/>
      </c>
      <c r="T21" s="5" t="str">
        <f ca="1"/>
        <v/>
      </c>
      <c r="U21" s="5" t="str">
        <f ca="1"/>
        <v/>
      </c>
      <c r="V21" s="5" t="str">
        <f ca="1"/>
        <v/>
      </c>
      <c r="W21" t="str">
        <f ca="1"/>
        <v/>
      </c>
      <c r="X21">
        <f ca="1"/>
        <v>0</v>
      </c>
      <c r="Y21">
        <f ca="1"/>
        <v>0</v>
      </c>
      <c r="Z21" t="str">
        <f ca="1"/>
        <v/>
      </c>
    </row>
    <row r="22" spans="1:26" ht="16.149999999999999" customHeight="1" x14ac:dyDescent="0.25">
      <c r="C22" s="11" t="str">
        <f t="shared" ca="1" si="0"/>
        <v>1128_Sanierung Nusßdorfer Straße (aktuell)</v>
      </c>
      <c r="D22" s="5">
        <f ca="1"/>
        <v>15</v>
      </c>
      <c r="E22" s="5">
        <f ca="1"/>
        <v>1128</v>
      </c>
      <c r="F22" s="5" t="str">
        <f ca="1"/>
        <v>x</v>
      </c>
      <c r="G22" s="5" t="str">
        <f ca="1"/>
        <v>Sanierung Nusßdorfer Straße (aktuell)</v>
      </c>
      <c r="H22" s="5" t="str">
        <f ca="1"/>
        <v>K5 Beteiligungs GmbH</v>
      </c>
      <c r="I22" s="5" t="str">
        <f ca="1"/>
        <v>Thomas</v>
      </c>
      <c r="J22" s="5" t="str">
        <f ca="1"/>
        <v>DI Beutl</v>
      </c>
      <c r="K22" s="5" t="str">
        <f ca="1"/>
        <v>0676 / 884 834 611</v>
      </c>
      <c r="L22" s="5" t="str">
        <f ca="1"/>
        <v>beutl@kerblerholding.at</v>
      </c>
      <c r="M22" s="5">
        <f ca="1"/>
        <v>1010</v>
      </c>
      <c r="N22" s="5" t="str">
        <f ca="1"/>
        <v>Wien</v>
      </c>
      <c r="O22" s="5" t="str">
        <f ca="1"/>
        <v>Parkring</v>
      </c>
      <c r="P22" s="5">
        <f ca="1"/>
        <v>0</v>
      </c>
      <c r="Q22" s="5" t="str">
        <f ca="1"/>
        <v/>
      </c>
      <c r="R22" s="5" t="str">
        <f ca="1"/>
        <v/>
      </c>
      <c r="S22" s="5" t="str">
        <f ca="1"/>
        <v/>
      </c>
      <c r="T22" s="5" t="str">
        <f ca="1"/>
        <v/>
      </c>
      <c r="U22" s="5" t="str">
        <f ca="1"/>
        <v/>
      </c>
      <c r="V22" s="5" t="str">
        <f ca="1"/>
        <v/>
      </c>
      <c r="W22" t="str">
        <f ca="1"/>
        <v/>
      </c>
      <c r="X22">
        <f ca="1"/>
        <v>0</v>
      </c>
      <c r="Y22">
        <f ca="1"/>
        <v>0</v>
      </c>
      <c r="Z22" t="str">
        <f ca="1"/>
        <v/>
      </c>
    </row>
    <row r="23" spans="1:26" ht="16.149999999999999" customHeight="1" x14ac:dyDescent="0.25">
      <c r="A23" s="17" t="s">
        <v>1997</v>
      </c>
      <c r="C23" s="11" t="str">
        <f t="shared" ca="1" si="0"/>
        <v>3069_Julius Kiennast Lebensmittelgroßhandels G.m.b.H.</v>
      </c>
      <c r="D23" s="5">
        <f ca="1"/>
        <v>16</v>
      </c>
      <c r="E23" s="5">
        <f ca="1"/>
        <v>3069</v>
      </c>
      <c r="F23" s="5" t="str">
        <f ca="1"/>
        <v>x</v>
      </c>
      <c r="G23" s="5" t="str">
        <f ca="1"/>
        <v>Julius Kiennast Lebensmittelgroßhandels G.m.b.H.</v>
      </c>
      <c r="H23" s="5" t="str">
        <f ca="1"/>
        <v>Kiennast</v>
      </c>
      <c r="I23" s="5" t="str">
        <f ca="1"/>
        <v>Andreas</v>
      </c>
      <c r="J23" s="5" t="str">
        <f ca="1"/>
        <v>Mader</v>
      </c>
      <c r="K23" s="5" t="str">
        <f ca="1"/>
        <v>02985 / 30200600</v>
      </c>
      <c r="L23" s="5" t="str">
        <f ca="1"/>
        <v>andreas.mader@kiennast.at</v>
      </c>
      <c r="M23" s="5">
        <f ca="1"/>
        <v>3571</v>
      </c>
      <c r="N23" s="5" t="str">
        <f ca="1"/>
        <v>Gars/Kamp</v>
      </c>
      <c r="O23" s="5" t="str">
        <f ca="1"/>
        <v>Wienerstraße</v>
      </c>
      <c r="P23" s="5">
        <f ca="1"/>
        <v>635</v>
      </c>
      <c r="Q23" s="5" t="str">
        <f ca="1"/>
        <v/>
      </c>
      <c r="R23" s="5" t="str">
        <f ca="1"/>
        <v/>
      </c>
      <c r="S23" s="5" t="str">
        <f ca="1"/>
        <v/>
      </c>
      <c r="T23" s="5" t="str">
        <f ca="1"/>
        <v/>
      </c>
      <c r="U23" s="5" t="str">
        <f ca="1"/>
        <v/>
      </c>
      <c r="V23" s="5" t="str">
        <f ca="1"/>
        <v/>
      </c>
      <c r="W23" t="str">
        <f ca="1"/>
        <v/>
      </c>
      <c r="X23">
        <f ca="1"/>
        <v>0</v>
      </c>
      <c r="Y23">
        <f ca="1"/>
        <v>0</v>
      </c>
      <c r="Z23" t="str">
        <f ca="1"/>
        <v/>
      </c>
    </row>
    <row r="24" spans="1:26" ht="16.149999999999999" customHeight="1" x14ac:dyDescent="0.25">
      <c r="A24" t="s">
        <v>1995</v>
      </c>
      <c r="C24" s="11" t="str">
        <f t="shared" ca="1" si="1"/>
        <v>855_0</v>
      </c>
      <c r="D24" s="5">
        <f ca="1"/>
        <v>17</v>
      </c>
      <c r="E24" s="5">
        <f ca="1"/>
        <v>855</v>
      </c>
      <c r="F24" s="5" t="str">
        <f ca="1"/>
        <v>x</v>
      </c>
      <c r="G24" s="5">
        <f ca="1"/>
        <v>0</v>
      </c>
      <c r="H24" s="5" t="str">
        <f ca="1"/>
        <v>Junge Hotels Austria</v>
      </c>
      <c r="I24" s="5" t="str">
        <f ca="1"/>
        <v>Jürgen</v>
      </c>
      <c r="J24" s="5" t="str">
        <f ca="1"/>
        <v>Mayer</v>
      </c>
      <c r="K24" s="5" t="str">
        <f ca="1"/>
        <v>0660 / 9463673</v>
      </c>
      <c r="L24" s="5" t="str">
        <f ca="1"/>
        <v>juergen.maier@noejhw.at</v>
      </c>
      <c r="M24" s="5">
        <f ca="1"/>
        <v>3430</v>
      </c>
      <c r="N24" s="5" t="str">
        <f ca="1"/>
        <v>Tulln</v>
      </c>
      <c r="O24" s="5" t="str">
        <f ca="1"/>
        <v>Marc-Aurel-Park</v>
      </c>
      <c r="P24" s="5">
        <f ca="1"/>
        <v>1</v>
      </c>
      <c r="Q24" s="5" t="str">
        <f ca="1"/>
        <v/>
      </c>
      <c r="R24" s="5" t="str">
        <f ca="1"/>
        <v/>
      </c>
      <c r="S24" s="5" t="str">
        <f ca="1"/>
        <v/>
      </c>
      <c r="T24" s="5" t="str">
        <f ca="1"/>
        <v/>
      </c>
      <c r="U24" s="5" t="str">
        <f ca="1"/>
        <v/>
      </c>
      <c r="V24" s="5" t="str">
        <f ca="1"/>
        <v/>
      </c>
      <c r="W24" t="str">
        <f ca="1"/>
        <v/>
      </c>
      <c r="X24">
        <f ca="1"/>
        <v>0</v>
      </c>
      <c r="Y24">
        <f ca="1"/>
        <v>0</v>
      </c>
      <c r="Z24" t="str">
        <f ca="1"/>
        <v/>
      </c>
    </row>
    <row r="25" spans="1:26" ht="16.149999999999999" customHeight="1" x14ac:dyDescent="0.25">
      <c r="A25" t="s">
        <v>1996</v>
      </c>
      <c r="C25" s="11" t="str">
        <f t="shared" ca="1" si="0"/>
        <v>304_0</v>
      </c>
      <c r="D25" s="5">
        <f ca="1"/>
        <v>18</v>
      </c>
      <c r="E25" s="5">
        <f ca="1"/>
        <v>304</v>
      </c>
      <c r="F25" s="5" t="str">
        <f ca="1"/>
        <v>x</v>
      </c>
      <c r="G25" s="5">
        <f ca="1"/>
        <v>0</v>
      </c>
      <c r="H25" s="5" t="str">
        <f ca="1"/>
        <v>Kastner Großhandel</v>
      </c>
      <c r="I25" s="5" t="str">
        <f ca="1"/>
        <v>Christof</v>
      </c>
      <c r="J25" s="5" t="str">
        <f ca="1"/>
        <v>Kastner</v>
      </c>
      <c r="K25" s="5" t="str">
        <f ca="1"/>
        <v>0676 / 5900100</v>
      </c>
      <c r="L25" s="5" t="str">
        <f ca="1"/>
        <v>christof.kastner@kastner.at</v>
      </c>
      <c r="M25" s="5">
        <f ca="1"/>
        <v>3910</v>
      </c>
      <c r="N25" s="5" t="str">
        <f ca="1"/>
        <v>Zwettl</v>
      </c>
      <c r="O25" s="5" t="str">
        <f ca="1"/>
        <v>Kremser Straße</v>
      </c>
      <c r="P25" s="5">
        <f ca="1"/>
        <v>35</v>
      </c>
      <c r="Q25" s="5" t="str">
        <f ca="1"/>
        <v/>
      </c>
      <c r="R25" s="5" t="str">
        <f ca="1"/>
        <v/>
      </c>
      <c r="S25" s="5" t="str">
        <f ca="1"/>
        <v/>
      </c>
      <c r="T25" s="5" t="str">
        <f ca="1"/>
        <v/>
      </c>
      <c r="U25" s="5" t="str">
        <f ca="1"/>
        <v/>
      </c>
      <c r="V25" s="5" t="str">
        <f ca="1"/>
        <v/>
      </c>
      <c r="W25" t="str">
        <f ca="1"/>
        <v/>
      </c>
      <c r="X25">
        <f ca="1"/>
        <v>0</v>
      </c>
      <c r="Y25">
        <f ca="1"/>
        <v>0</v>
      </c>
      <c r="Z25" t="str">
        <f ca="1"/>
        <v/>
      </c>
    </row>
    <row r="26" spans="1:26" ht="16.149999999999999" customHeight="1" x14ac:dyDescent="0.25">
      <c r="C26" s="11" t="str">
        <f t="shared" ca="1" si="0"/>
        <v>321_0</v>
      </c>
      <c r="D26" s="5">
        <f ca="1"/>
        <v>19</v>
      </c>
      <c r="E26" s="5">
        <f ca="1"/>
        <v>321</v>
      </c>
      <c r="F26" s="5" t="str">
        <f ca="1"/>
        <v>x</v>
      </c>
      <c r="G26" s="5">
        <f ca="1"/>
        <v>0</v>
      </c>
      <c r="H26" s="5" t="str">
        <f ca="1"/>
        <v>Janetschek Druckerei</v>
      </c>
      <c r="I26" s="5" t="str">
        <f ca="1"/>
        <v>Erich</v>
      </c>
      <c r="J26" s="5" t="str">
        <f ca="1"/>
        <v>Steindl</v>
      </c>
      <c r="K26" s="5" t="str">
        <f ca="1"/>
        <v>0664 / 5303702</v>
      </c>
      <c r="L26" s="5" t="str">
        <f ca="1"/>
        <v>Erich.Steindl@janetschek.at</v>
      </c>
      <c r="M26" s="5">
        <f ca="1"/>
        <v>3860</v>
      </c>
      <c r="N26" s="5" t="str">
        <f ca="1"/>
        <v>Heidenreichstein</v>
      </c>
      <c r="O26" s="5" t="str">
        <f ca="1"/>
        <v>Brunfeldstraße</v>
      </c>
      <c r="P26" s="5">
        <f ca="1"/>
        <v>2</v>
      </c>
      <c r="Q26" s="5" t="str">
        <f ca="1"/>
        <v/>
      </c>
      <c r="R26" s="5" t="str">
        <f ca="1"/>
        <v/>
      </c>
      <c r="S26" s="5" t="str">
        <f ca="1"/>
        <v/>
      </c>
      <c r="T26" s="5" t="str">
        <f ca="1"/>
        <v/>
      </c>
      <c r="U26" s="5" t="str">
        <f ca="1"/>
        <v/>
      </c>
      <c r="V26" s="5" t="str">
        <f ca="1"/>
        <v/>
      </c>
      <c r="W26" t="str">
        <f ca="1"/>
        <v/>
      </c>
      <c r="X26">
        <f ca="1"/>
        <v>0</v>
      </c>
      <c r="Y26">
        <f ca="1"/>
        <v>0</v>
      </c>
      <c r="Z26" t="str">
        <f ca="1"/>
        <v/>
      </c>
    </row>
    <row r="27" spans="1:26" ht="16.149999999999999" customHeight="1" x14ac:dyDescent="0.25">
      <c r="A27" s="17" t="s">
        <v>1995</v>
      </c>
      <c r="C27" s="11" t="str">
        <f t="shared" ca="1" si="0"/>
        <v>329_0</v>
      </c>
      <c r="D27" s="5">
        <f ca="1"/>
        <v>20</v>
      </c>
      <c r="E27" s="5">
        <f ca="1"/>
        <v>329</v>
      </c>
      <c r="F27" s="5" t="str">
        <f ca="1"/>
        <v>x</v>
      </c>
      <c r="G27" s="5">
        <f ca="1"/>
        <v>0</v>
      </c>
      <c r="H27" s="5" t="str">
        <f ca="1"/>
        <v>Schremser Bier</v>
      </c>
      <c r="I27" s="5" t="str">
        <f ca="1"/>
        <v>Karl</v>
      </c>
      <c r="J27" s="5" t="str">
        <f ca="1"/>
        <v>Trojan</v>
      </c>
      <c r="K27" s="5" t="str">
        <f ca="1"/>
        <v>0664 / 1318320</v>
      </c>
      <c r="L27" s="5" t="str">
        <f ca="1"/>
        <v>c.kowarsch@schremser.at</v>
      </c>
      <c r="M27" s="5">
        <f ca="1"/>
        <v>3943</v>
      </c>
      <c r="N27" s="5" t="str">
        <f ca="1"/>
        <v>Schrems</v>
      </c>
      <c r="O27" s="5" t="str">
        <f ca="1"/>
        <v>Niederschremserstraße</v>
      </c>
      <c r="P27" s="5">
        <f ca="1"/>
        <v>1</v>
      </c>
      <c r="Q27" s="5" t="str">
        <f ca="1"/>
        <v/>
      </c>
      <c r="R27" s="5" t="str">
        <f ca="1"/>
        <v/>
      </c>
      <c r="S27" s="5" t="str">
        <f ca="1"/>
        <v/>
      </c>
      <c r="T27" s="5" t="str">
        <f ca="1"/>
        <v/>
      </c>
      <c r="U27" s="5" t="str">
        <f ca="1"/>
        <v/>
      </c>
      <c r="V27" s="5" t="str">
        <f ca="1"/>
        <v/>
      </c>
      <c r="W27" t="str">
        <f ca="1"/>
        <v/>
      </c>
      <c r="X27">
        <f ca="1"/>
        <v>0</v>
      </c>
      <c r="Y27">
        <f ca="1"/>
        <v>0</v>
      </c>
      <c r="Z27" t="str">
        <f ca="1"/>
        <v/>
      </c>
    </row>
    <row r="28" spans="1:26" ht="16.149999999999999" customHeight="1" x14ac:dyDescent="0.25">
      <c r="A28" t="s">
        <v>1227</v>
      </c>
      <c r="C28" s="11" t="str">
        <f t="shared" ca="1" si="0"/>
        <v>370_0</v>
      </c>
      <c r="D28" s="5">
        <f ca="1"/>
        <v>21</v>
      </c>
      <c r="E28" s="5">
        <f ca="1"/>
        <v>370</v>
      </c>
      <c r="F28" s="5" t="str">
        <f ca="1"/>
        <v>x</v>
      </c>
      <c r="G28" s="5">
        <f ca="1"/>
        <v>0</v>
      </c>
      <c r="H28" s="5" t="str">
        <f ca="1"/>
        <v>Silberbauer Textiltechnik</v>
      </c>
      <c r="I28" s="5" t="str">
        <f ca="1"/>
        <v>Ulrich</v>
      </c>
      <c r="J28" s="5" t="str">
        <f ca="1"/>
        <v>Achleitner</v>
      </c>
      <c r="K28" s="5" t="str">
        <f ca="1"/>
        <v>0676 / 4752381</v>
      </c>
      <c r="L28" s="5" t="str">
        <f ca="1"/>
        <v>office@silberbauer.info</v>
      </c>
      <c r="M28" s="5">
        <f ca="1"/>
        <v>3812</v>
      </c>
      <c r="N28" s="5" t="str">
        <f ca="1"/>
        <v>Gr. Siegharts</v>
      </c>
      <c r="O28" s="5" t="str">
        <f ca="1"/>
        <v>Privatstraße</v>
      </c>
      <c r="P28" s="5">
        <f ca="1"/>
        <v>2</v>
      </c>
      <c r="Q28" s="5" t="str">
        <f ca="1"/>
        <v/>
      </c>
      <c r="R28" s="5" t="str">
        <f ca="1"/>
        <v/>
      </c>
      <c r="S28" s="5" t="str">
        <f ca="1"/>
        <v/>
      </c>
      <c r="T28" s="5" t="str">
        <f ca="1"/>
        <v/>
      </c>
      <c r="U28" s="5" t="str">
        <f ca="1"/>
        <v/>
      </c>
      <c r="V28" s="5" t="str">
        <f ca="1"/>
        <v/>
      </c>
      <c r="W28" t="str">
        <f ca="1"/>
        <v/>
      </c>
      <c r="X28">
        <f ca="1"/>
        <v>0</v>
      </c>
      <c r="Y28">
        <f ca="1"/>
        <v>0</v>
      </c>
      <c r="Z28" t="str">
        <f ca="1"/>
        <v/>
      </c>
    </row>
    <row r="29" spans="1:26" ht="16.149999999999999" customHeight="1" x14ac:dyDescent="0.25">
      <c r="A29" t="s">
        <v>32</v>
      </c>
      <c r="C29" s="11" t="str">
        <f t="shared" ca="1" si="0"/>
        <v>3051_0</v>
      </c>
      <c r="D29" s="5">
        <f ca="1"/>
        <v>22</v>
      </c>
      <c r="E29" s="5">
        <f ca="1"/>
        <v>3051</v>
      </c>
      <c r="F29" s="5" t="str">
        <f ca="1"/>
        <v>x</v>
      </c>
      <c r="G29" s="5">
        <f ca="1"/>
        <v>0</v>
      </c>
      <c r="H29" s="5" t="str">
        <f ca="1"/>
        <v>Jil Silk</v>
      </c>
      <c r="I29" s="5" t="str">
        <f ca="1"/>
        <v>Heinrich</v>
      </c>
      <c r="J29" s="5" t="str">
        <f ca="1"/>
        <v>Rabl</v>
      </c>
      <c r="K29" s="5" t="str">
        <f ca="1"/>
        <v>0676 / 3168621</v>
      </c>
      <c r="L29" s="5" t="str">
        <f ca="1"/>
        <v>rabl@jilsilk.at</v>
      </c>
      <c r="M29" s="5">
        <f ca="1"/>
        <v>3813</v>
      </c>
      <c r="N29" s="5" t="str">
        <f ca="1"/>
        <v>Dietmanns</v>
      </c>
      <c r="O29" s="5" t="str">
        <f ca="1"/>
        <v>Hauptstraße</v>
      </c>
      <c r="P29" s="5">
        <f ca="1"/>
        <v>52</v>
      </c>
      <c r="Q29" s="5" t="str">
        <f ca="1"/>
        <v/>
      </c>
      <c r="R29" s="5" t="str">
        <f ca="1"/>
        <v/>
      </c>
      <c r="S29" s="5" t="str">
        <f ca="1"/>
        <v/>
      </c>
      <c r="T29" s="5" t="str">
        <f ca="1"/>
        <v/>
      </c>
      <c r="U29" s="5" t="str">
        <f ca="1"/>
        <v/>
      </c>
      <c r="V29" s="5" t="str">
        <f ca="1"/>
        <v/>
      </c>
      <c r="W29" t="str">
        <f ca="1"/>
        <v/>
      </c>
      <c r="X29">
        <f ca="1"/>
        <v>0</v>
      </c>
      <c r="Y29">
        <f ca="1"/>
        <v>0</v>
      </c>
      <c r="Z29" t="str">
        <f ca="1"/>
        <v/>
      </c>
    </row>
    <row r="30" spans="1:26" ht="16.149999999999999" customHeight="1" x14ac:dyDescent="0.25">
      <c r="A30" t="s">
        <v>33</v>
      </c>
      <c r="C30" s="11" t="str">
        <f t="shared" ca="1" si="0"/>
        <v>837_Awareness Kurzberatung</v>
      </c>
      <c r="D30" s="5">
        <f ca="1"/>
        <v>24</v>
      </c>
      <c r="E30" s="5">
        <f ca="1"/>
        <v>837</v>
      </c>
      <c r="F30" s="5" t="str">
        <f ca="1"/>
        <v>x</v>
      </c>
      <c r="G30" s="5" t="str">
        <f ca="1"/>
        <v>Awareness Kurzberatung</v>
      </c>
      <c r="H30" s="5" t="str">
        <f ca="1"/>
        <v>Dachsberger</v>
      </c>
      <c r="I30" s="5" t="str">
        <f ca="1"/>
        <v>Alfred</v>
      </c>
      <c r="J30" s="5" t="str">
        <f ca="1"/>
        <v>Dachsberger</v>
      </c>
      <c r="K30" s="5" t="str">
        <f ca="1"/>
        <v>02984 / 2632</v>
      </c>
      <c r="L30" s="5" t="str">
        <f ca="1"/>
        <v>office@dachsberger.at</v>
      </c>
      <c r="M30" s="5">
        <f ca="1"/>
        <v>3730</v>
      </c>
      <c r="N30" s="5" t="str">
        <f ca="1"/>
        <v>Eggenburg</v>
      </c>
      <c r="O30" s="5" t="str">
        <f ca="1"/>
        <v>Gauderndorf</v>
      </c>
      <c r="P30" s="5">
        <f ca="1"/>
        <v>32</v>
      </c>
      <c r="Q30" s="5" t="str">
        <f ca="1"/>
        <v/>
      </c>
      <c r="R30" s="5" t="str">
        <f ca="1"/>
        <v/>
      </c>
      <c r="S30" s="5" t="str">
        <f ca="1"/>
        <v/>
      </c>
      <c r="T30" s="5" t="str">
        <f ca="1"/>
        <v/>
      </c>
      <c r="U30" s="5" t="str">
        <f ca="1"/>
        <v/>
      </c>
      <c r="V30" s="5" t="str">
        <f ca="1"/>
        <v/>
      </c>
      <c r="W30" t="str">
        <f ca="1"/>
        <v/>
      </c>
      <c r="X30">
        <f ca="1"/>
        <v>0</v>
      </c>
      <c r="Y30">
        <f ca="1"/>
        <v>0</v>
      </c>
      <c r="Z30" t="str">
        <f ca="1"/>
        <v/>
      </c>
    </row>
    <row r="31" spans="1:26" ht="16.149999999999999" customHeight="1" x14ac:dyDescent="0.25">
      <c r="A31" t="s">
        <v>36</v>
      </c>
      <c r="C31" s="11" t="str">
        <f t="shared" ca="1" si="0"/>
        <v>3124_Installation PV Anlagen, Sanierung Geschoßdecke, Umstieg Elektro PKW</v>
      </c>
      <c r="D31" s="5">
        <f ca="1"/>
        <v>25</v>
      </c>
      <c r="E31" s="5">
        <f ca="1"/>
        <v>3124</v>
      </c>
      <c r="F31" s="5" t="str">
        <f ca="1"/>
        <v>x</v>
      </c>
      <c r="G31" s="5" t="str">
        <f ca="1"/>
        <v>Installation PV Anlagen, Sanierung Geschoßdecke, Umstieg Elektro PKW</v>
      </c>
      <c r="H31" s="5" t="str">
        <f ca="1"/>
        <v>Kotzinger</v>
      </c>
      <c r="I31" s="5" t="str">
        <f ca="1"/>
        <v>Oliver</v>
      </c>
      <c r="J31" s="5" t="str">
        <f ca="1"/>
        <v>Buchheit</v>
      </c>
      <c r="K31" s="5" t="str">
        <f ca="1"/>
        <v>0664 / 88645934</v>
      </c>
      <c r="L31" s="5" t="str">
        <f ca="1"/>
        <v>oliver.buchheit@e-kotzingergmbh.at</v>
      </c>
      <c r="M31" s="5">
        <f ca="1"/>
        <v>3500</v>
      </c>
      <c r="N31" s="5" t="str">
        <f ca="1"/>
        <v>Krems an der Donau</v>
      </c>
      <c r="O31" s="5" t="str">
        <f ca="1"/>
        <v>Lerchenfelder Hauptplatz</v>
      </c>
      <c r="P31" s="5">
        <f ca="1"/>
        <v>18</v>
      </c>
      <c r="Q31" s="5" t="str">
        <f ca="1"/>
        <v/>
      </c>
      <c r="R31" s="5" t="str">
        <f ca="1"/>
        <v/>
      </c>
      <c r="S31" s="5" t="str">
        <f ca="1"/>
        <v/>
      </c>
      <c r="T31" s="5" t="str">
        <f ca="1"/>
        <v/>
      </c>
      <c r="U31" s="5" t="str">
        <f ca="1"/>
        <v/>
      </c>
      <c r="V31" s="5" t="str">
        <f ca="1"/>
        <v/>
      </c>
      <c r="W31" t="str">
        <f ca="1"/>
        <v/>
      </c>
      <c r="X31">
        <f ca="1"/>
        <v>0</v>
      </c>
      <c r="Y31">
        <f ca="1"/>
        <v>0</v>
      </c>
      <c r="Z31" t="str">
        <f ca="1"/>
        <v/>
      </c>
    </row>
    <row r="32" spans="1:26" ht="16.149999999999999" customHeight="1" x14ac:dyDescent="0.25">
      <c r="A32" t="s">
        <v>39</v>
      </c>
      <c r="C32" s="11" t="str">
        <f t="shared" ca="1" si="0"/>
        <v>3138_Awareness Kurzberatung Energieeffizienz, EE, Kreislaufwirtschaft</v>
      </c>
      <c r="D32" s="5">
        <f ca="1"/>
        <v>26</v>
      </c>
      <c r="E32" s="5">
        <f ca="1"/>
        <v>3138</v>
      </c>
      <c r="F32" s="5" t="str">
        <f ca="1"/>
        <v>x</v>
      </c>
      <c r="G32" s="5" t="str">
        <f ca="1"/>
        <v>Awareness Kurzberatung Energieeffizienz, EE, Kreislaufwirtschaft</v>
      </c>
      <c r="H32" s="5" t="str">
        <f ca="1"/>
        <v>VOEST</v>
      </c>
      <c r="I32" s="5" t="str">
        <f ca="1"/>
        <v>Gregor</v>
      </c>
      <c r="J32" s="5" t="str">
        <f ca="1"/>
        <v>Terrer</v>
      </c>
      <c r="K32" s="5" t="str">
        <f ca="1"/>
        <v>0664 / 6156985</v>
      </c>
      <c r="L32" s="5" t="str">
        <f ca="1"/>
        <v>Gregor.Terrer@voestalpine.com</v>
      </c>
      <c r="M32" s="5">
        <f ca="1"/>
        <v>3500</v>
      </c>
      <c r="N32" s="5" t="str">
        <f ca="1"/>
        <v>Krems an der Donau</v>
      </c>
      <c r="O32" s="5" t="str">
        <f ca="1"/>
        <v>Schmidhüttenstraße 5</v>
      </c>
      <c r="P32" s="5">
        <f ca="1"/>
        <v>0</v>
      </c>
      <c r="Q32" s="5" t="str">
        <f ca="1"/>
        <v/>
      </c>
      <c r="R32" s="5" t="str">
        <f ca="1"/>
        <v/>
      </c>
      <c r="S32" s="5" t="str">
        <f ca="1"/>
        <v/>
      </c>
      <c r="T32" s="5" t="str">
        <f ca="1"/>
        <v/>
      </c>
      <c r="U32" s="5" t="str">
        <f ca="1"/>
        <v/>
      </c>
      <c r="V32" s="5" t="str">
        <f ca="1"/>
        <v/>
      </c>
      <c r="W32" t="str">
        <f ca="1"/>
        <v/>
      </c>
      <c r="X32">
        <f ca="1"/>
        <v>0</v>
      </c>
      <c r="Y32">
        <f ca="1"/>
        <v>0</v>
      </c>
      <c r="Z32" t="str">
        <f ca="1"/>
        <v/>
      </c>
    </row>
    <row r="33" spans="1:26" ht="16.149999999999999" customHeight="1" x14ac:dyDescent="0.25">
      <c r="C33" s="11" t="str">
        <f t="shared" ca="1" si="1"/>
        <v>3145_Kurzberatung</v>
      </c>
      <c r="D33" s="5">
        <f ca="1"/>
        <v>27</v>
      </c>
      <c r="E33" s="5">
        <f ca="1"/>
        <v>3145</v>
      </c>
      <c r="F33" s="5" t="str">
        <f ca="1"/>
        <v>x</v>
      </c>
      <c r="G33" s="5" t="str">
        <f ca="1"/>
        <v>Kurzberatung</v>
      </c>
      <c r="H33" s="5" t="str">
        <f ca="1"/>
        <v>Tiefbau Burger</v>
      </c>
      <c r="I33" s="5" t="str">
        <f ca="1"/>
        <v>Mario</v>
      </c>
      <c r="J33" s="5" t="str">
        <f ca="1"/>
        <v>Burger</v>
      </c>
      <c r="K33" s="5" t="str">
        <f ca="1"/>
        <v>02732 / 70888</v>
      </c>
      <c r="L33" s="5" t="str">
        <f ca="1"/>
        <v>office@tiefbau-burger-at</v>
      </c>
      <c r="M33" s="5">
        <f ca="1"/>
        <v>3500</v>
      </c>
      <c r="N33" s="5" t="str">
        <f ca="1"/>
        <v>Krems an der Donau</v>
      </c>
      <c r="O33" s="5" t="str">
        <f ca="1"/>
        <v>Lerchenfelderstraße</v>
      </c>
      <c r="P33" s="5">
        <f ca="1"/>
        <v>0</v>
      </c>
      <c r="Q33" s="5" t="str">
        <f ca="1"/>
        <v/>
      </c>
      <c r="R33" s="5" t="str">
        <f ca="1"/>
        <v/>
      </c>
      <c r="S33" s="5" t="str">
        <f ca="1"/>
        <v/>
      </c>
      <c r="T33" s="5" t="str">
        <f ca="1"/>
        <v/>
      </c>
      <c r="U33" s="5" t="str">
        <f ca="1"/>
        <v/>
      </c>
      <c r="V33" s="5" t="str">
        <f ca="1"/>
        <v/>
      </c>
      <c r="W33" t="str">
        <f ca="1"/>
        <v/>
      </c>
      <c r="X33">
        <f ca="1"/>
        <v>0</v>
      </c>
      <c r="Y33">
        <f ca="1"/>
        <v>0</v>
      </c>
      <c r="Z33" t="str">
        <f ca="1"/>
        <v/>
      </c>
    </row>
    <row r="34" spans="1:26" ht="16.149999999999999" customHeight="1" x14ac:dyDescent="0.25">
      <c r="A34" s="17" t="s">
        <v>1996</v>
      </c>
      <c r="C34" s="11" t="str">
        <f t="shared" ca="1" si="0"/>
        <v>1132_0</v>
      </c>
      <c r="D34" s="5">
        <f ca="1"/>
        <v>28</v>
      </c>
      <c r="E34" s="5">
        <f ca="1"/>
        <v>1132</v>
      </c>
      <c r="F34" s="5" t="str">
        <f ca="1"/>
        <v>x</v>
      </c>
      <c r="G34" s="5">
        <f ca="1"/>
        <v>0</v>
      </c>
      <c r="H34" s="5" t="str">
        <f ca="1"/>
        <v>Volksbank Wien</v>
      </c>
      <c r="I34" s="5" t="str">
        <f ca="1"/>
        <v>Markus</v>
      </c>
      <c r="J34" s="5" t="str">
        <f ca="1"/>
        <v>Partl</v>
      </c>
      <c r="K34" s="5" t="str">
        <f ca="1"/>
        <v>0664 / 8163800</v>
      </c>
      <c r="L34" s="5" t="str">
        <f ca="1"/>
        <v>markus.partl@vbinfrastruktur.at</v>
      </c>
      <c r="M34" s="5">
        <f ca="1"/>
        <v>1030</v>
      </c>
      <c r="N34" s="5" t="str">
        <f ca="1"/>
        <v>Wien</v>
      </c>
      <c r="O34" s="5" t="str">
        <f ca="1"/>
        <v>Dietrichgasse</v>
      </c>
      <c r="P34" s="5">
        <f ca="1"/>
        <v>25</v>
      </c>
      <c r="Q34" s="5" t="str">
        <f ca="1"/>
        <v/>
      </c>
      <c r="R34" s="5" t="str">
        <f ca="1"/>
        <v/>
      </c>
      <c r="S34" s="5" t="str">
        <f ca="1"/>
        <v/>
      </c>
      <c r="T34" s="5" t="str">
        <f ca="1"/>
        <v/>
      </c>
      <c r="U34" s="5" t="str">
        <f ca="1"/>
        <v/>
      </c>
      <c r="V34" s="5" t="str">
        <f ca="1"/>
        <v/>
      </c>
      <c r="W34" t="str">
        <f ca="1"/>
        <v/>
      </c>
      <c r="X34">
        <f ca="1"/>
        <v>0</v>
      </c>
      <c r="Y34">
        <f ca="1"/>
        <v>0</v>
      </c>
      <c r="Z34" t="str">
        <f ca="1"/>
        <v/>
      </c>
    </row>
    <row r="35" spans="1:26" ht="16.149999999999999" customHeight="1" x14ac:dyDescent="0.25">
      <c r="A35" t="s">
        <v>1228</v>
      </c>
      <c r="C35" s="11" t="str">
        <f t="shared" ca="1" si="0"/>
        <v>337_Umsetzungs- Schwerpunktberatung Energie</v>
      </c>
      <c r="D35" s="5">
        <f ca="1"/>
        <v>29</v>
      </c>
      <c r="E35" s="5">
        <f ca="1"/>
        <v>337</v>
      </c>
      <c r="F35" s="5" t="str">
        <f ca="1"/>
        <v>x</v>
      </c>
      <c r="G35" s="5" t="str">
        <f ca="1"/>
        <v>Umsetzungs- Schwerpunktberatung Energie</v>
      </c>
      <c r="H35" s="5" t="str">
        <f ca="1"/>
        <v>REGINA Textilreinigungs Ges.m.b.H</v>
      </c>
      <c r="I35" s="5" t="str">
        <f ca="1"/>
        <v>DI Oliver</v>
      </c>
      <c r="J35" s="5" t="str">
        <f ca="1"/>
        <v>Buchheit</v>
      </c>
      <c r="K35" s="5" t="str">
        <f ca="1"/>
        <v>0664 / 88645934</v>
      </c>
      <c r="L35" s="5" t="str">
        <f ca="1"/>
        <v>oliver.buchheit@e-kotzingergmbh.at</v>
      </c>
      <c r="M35" s="5">
        <f ca="1"/>
        <v>3502</v>
      </c>
      <c r="N35" s="5" t="str">
        <f ca="1"/>
        <v>Krems an der Donau</v>
      </c>
      <c r="O35" s="5" t="str">
        <f ca="1"/>
        <v>Lerchenfelder Hauptplatz</v>
      </c>
      <c r="P35" s="5">
        <f ca="1"/>
        <v>18</v>
      </c>
      <c r="Q35" s="5" t="str">
        <f ca="1"/>
        <v/>
      </c>
      <c r="R35" s="5" t="str">
        <f ca="1"/>
        <v/>
      </c>
      <c r="S35" s="5" t="str">
        <f ca="1"/>
        <v/>
      </c>
      <c r="T35" s="5" t="str">
        <f ca="1"/>
        <v/>
      </c>
      <c r="U35" s="5" t="str">
        <f ca="1"/>
        <v/>
      </c>
      <c r="V35" s="5" t="str">
        <f ca="1"/>
        <v/>
      </c>
      <c r="W35" t="str">
        <f ca="1"/>
        <v/>
      </c>
      <c r="X35">
        <f ca="1"/>
        <v>0</v>
      </c>
      <c r="Y35">
        <f ca="1"/>
        <v>0</v>
      </c>
      <c r="Z35" t="str">
        <f ca="1"/>
        <v/>
      </c>
    </row>
    <row r="36" spans="1:26" ht="16.149999999999999" customHeight="1" x14ac:dyDescent="0.25">
      <c r="A36" t="s">
        <v>36</v>
      </c>
      <c r="C36" s="11" t="str">
        <f t="shared" ca="1" si="0"/>
        <v>3021_Ökologische Betriebsberatung, Energieeffizienz, EE Miblität, Kreislaufwirtschaft</v>
      </c>
      <c r="D36" s="5">
        <f ca="1"/>
        <v>30</v>
      </c>
      <c r="E36" s="5">
        <f ca="1"/>
        <v>3021</v>
      </c>
      <c r="F36" s="5" t="str">
        <f ca="1"/>
        <v>x</v>
      </c>
      <c r="G36" s="5" t="str">
        <f ca="1"/>
        <v>Ökologische Betriebsberatung, Energieeffizienz, EE Miblität, Kreislaufwirtschaft</v>
      </c>
      <c r="H36" s="5" t="str">
        <f ca="1"/>
        <v>Erlebnismuseumsverein Schönbach</v>
      </c>
      <c r="I36" s="5" t="str">
        <f ca="1"/>
        <v>Franz</v>
      </c>
      <c r="J36" s="5" t="str">
        <f ca="1"/>
        <v>Höfer</v>
      </c>
      <c r="K36" s="5" t="str">
        <f ca="1"/>
        <v>0664 / 1546470</v>
      </c>
      <c r="L36" s="5" t="str">
        <f ca="1"/>
        <v>office@handwerk-erleben.at</v>
      </c>
      <c r="M36" s="5">
        <f ca="1"/>
        <v>3633</v>
      </c>
      <c r="N36" s="5" t="str">
        <f ca="1"/>
        <v>Schönbach</v>
      </c>
      <c r="O36" s="5" t="str">
        <f ca="1"/>
        <v>Schönbach</v>
      </c>
      <c r="P36" s="5">
        <f ca="1"/>
        <v>2</v>
      </c>
      <c r="Q36" s="5" t="str">
        <f ca="1"/>
        <v/>
      </c>
      <c r="R36" s="5" t="str">
        <f ca="1"/>
        <v/>
      </c>
      <c r="S36" s="5" t="str">
        <f ca="1"/>
        <v/>
      </c>
      <c r="T36" s="5" t="str">
        <f ca="1"/>
        <v/>
      </c>
      <c r="U36" s="5" t="str">
        <f ca="1"/>
        <v/>
      </c>
      <c r="V36" s="5" t="str">
        <f ca="1"/>
        <v/>
      </c>
      <c r="W36" t="str">
        <f ca="1"/>
        <v/>
      </c>
      <c r="X36">
        <f ca="1"/>
        <v>0</v>
      </c>
      <c r="Y36">
        <f ca="1"/>
        <v>0</v>
      </c>
      <c r="Z36" t="str">
        <f ca="1"/>
        <v/>
      </c>
    </row>
    <row r="37" spans="1:26" ht="16.149999999999999" customHeight="1" x14ac:dyDescent="0.25">
      <c r="A37" t="s">
        <v>39</v>
      </c>
      <c r="C37" s="11" t="str">
        <f t="shared" ca="1" si="0"/>
        <v>3143_0</v>
      </c>
      <c r="D37" s="5">
        <f ca="1"/>
        <v>31</v>
      </c>
      <c r="E37" s="5">
        <f ca="1"/>
        <v>3143</v>
      </c>
      <c r="F37" s="5" t="str">
        <f ca="1"/>
        <v>x</v>
      </c>
      <c r="G37" s="5">
        <f ca="1"/>
        <v>0</v>
      </c>
      <c r="H37" s="5" t="str">
        <f ca="1"/>
        <v>Leutgeb Rupert</v>
      </c>
      <c r="I37" s="5">
        <f ca="1"/>
        <v>0</v>
      </c>
      <c r="J37" s="5">
        <f ca="1"/>
        <v>0</v>
      </c>
      <c r="K37" s="5" t="str">
        <f ca="1"/>
        <v/>
      </c>
      <c r="L37" s="5">
        <f ca="1"/>
        <v>0</v>
      </c>
      <c r="M37" s="5">
        <f ca="1"/>
        <v>0</v>
      </c>
      <c r="N37" s="5">
        <f ca="1"/>
        <v>0</v>
      </c>
      <c r="O37" s="5">
        <f ca="1"/>
        <v>0</v>
      </c>
      <c r="P37" s="5">
        <f ca="1"/>
        <v>0</v>
      </c>
      <c r="Q37" s="5" t="str">
        <f ca="1"/>
        <v/>
      </c>
      <c r="R37" s="5" t="str">
        <f ca="1"/>
        <v/>
      </c>
      <c r="S37" s="5" t="str">
        <f ca="1"/>
        <v/>
      </c>
      <c r="T37" s="5" t="str">
        <f ca="1"/>
        <v/>
      </c>
      <c r="U37" s="5" t="str">
        <f ca="1"/>
        <v/>
      </c>
      <c r="V37" s="5" t="str">
        <f ca="1"/>
        <v/>
      </c>
      <c r="W37" t="str">
        <f ca="1"/>
        <v/>
      </c>
      <c r="X37">
        <f ca="1"/>
        <v>0</v>
      </c>
      <c r="Y37">
        <f ca="1"/>
        <v>0</v>
      </c>
      <c r="Z37" t="str">
        <f ca="1"/>
        <v/>
      </c>
    </row>
    <row r="38" spans="1:26" ht="16.149999999999999" customHeight="1" x14ac:dyDescent="0.25">
      <c r="A38" t="s">
        <v>49</v>
      </c>
      <c r="C38" s="11" t="str">
        <f t="shared" ca="1" si="0"/>
        <v>3166_Awareness Kurzberatung</v>
      </c>
      <c r="D38" s="5">
        <f ca="1"/>
        <v>32</v>
      </c>
      <c r="E38" s="5">
        <f ca="1"/>
        <v>3166</v>
      </c>
      <c r="F38" s="5" t="str">
        <f ca="1"/>
        <v>x</v>
      </c>
      <c r="G38" s="5" t="str">
        <f ca="1"/>
        <v>Awareness Kurzberatung</v>
      </c>
      <c r="H38" s="5" t="str">
        <f ca="1"/>
        <v>Ehrenberger GmbH</v>
      </c>
      <c r="I38" s="5" t="str">
        <f ca="1"/>
        <v>Johann</v>
      </c>
      <c r="J38" s="5" t="str">
        <f ca="1"/>
        <v>Ehrenberger</v>
      </c>
      <c r="K38" s="5" t="str">
        <f ca="1"/>
        <v/>
      </c>
      <c r="L38" s="5" t="str">
        <f ca="1"/>
        <v>Ehrenberger@mohnzuzler.at</v>
      </c>
      <c r="M38" s="5">
        <f ca="1"/>
        <v>3571</v>
      </c>
      <c r="N38" s="5" t="str">
        <f ca="1"/>
        <v>Gars am Kamp</v>
      </c>
      <c r="O38" s="5" t="str">
        <f ca="1"/>
        <v>Dreifaltigkeitsplatz</v>
      </c>
      <c r="P38" s="5">
        <f ca="1"/>
        <v>55</v>
      </c>
      <c r="Q38" s="5" t="str">
        <f ca="1"/>
        <v/>
      </c>
      <c r="R38" s="5" t="str">
        <f ca="1"/>
        <v/>
      </c>
      <c r="S38" s="5" t="str">
        <f ca="1"/>
        <v/>
      </c>
      <c r="T38" s="5" t="str">
        <f ca="1"/>
        <v/>
      </c>
      <c r="U38" s="5" t="str">
        <f ca="1"/>
        <v/>
      </c>
      <c r="V38" s="5" t="str">
        <f ca="1"/>
        <v/>
      </c>
      <c r="W38" t="str">
        <f ca="1"/>
        <v/>
      </c>
      <c r="X38">
        <f ca="1"/>
        <v>0</v>
      </c>
      <c r="Y38">
        <f ca="1"/>
        <v>0</v>
      </c>
      <c r="Z38" t="str">
        <f ca="1"/>
        <v/>
      </c>
    </row>
    <row r="39" spans="1:26" ht="16.149999999999999" customHeight="1" x14ac:dyDescent="0.25">
      <c r="A39" t="s">
        <v>37</v>
      </c>
      <c r="C39" s="11" t="str">
        <f t="shared" ca="1" si="0"/>
        <v>737_0</v>
      </c>
      <c r="D39" s="5">
        <f ca="1"/>
        <v>33</v>
      </c>
      <c r="E39" s="5">
        <f ca="1"/>
        <v>737</v>
      </c>
      <c r="F39" s="5" t="str">
        <f ca="1"/>
        <v>x</v>
      </c>
      <c r="G39" s="5">
        <f ca="1"/>
        <v>0</v>
      </c>
      <c r="H39" s="5" t="str">
        <f ca="1"/>
        <v>Gem Groß Siegharts Profi</v>
      </c>
      <c r="I39" s="5">
        <f ca="1"/>
        <v>0</v>
      </c>
      <c r="J39" s="5">
        <f ca="1"/>
        <v>0</v>
      </c>
      <c r="K39" s="5" t="str">
        <f ca="1"/>
        <v/>
      </c>
      <c r="L39" s="5">
        <f ca="1"/>
        <v>0</v>
      </c>
      <c r="M39" s="5">
        <f ca="1"/>
        <v>0</v>
      </c>
      <c r="N39" s="5">
        <f ca="1"/>
        <v>0</v>
      </c>
      <c r="O39" s="5">
        <f ca="1"/>
        <v>0</v>
      </c>
      <c r="P39" s="5">
        <f ca="1"/>
        <v>0</v>
      </c>
      <c r="Q39" s="5" t="str">
        <f ca="1"/>
        <v/>
      </c>
      <c r="R39" s="5" t="str">
        <f ca="1"/>
        <v/>
      </c>
      <c r="S39" s="5" t="str">
        <f ca="1"/>
        <v/>
      </c>
      <c r="T39" s="5" t="str">
        <f ca="1"/>
        <v/>
      </c>
      <c r="U39" s="5" t="str">
        <f ca="1"/>
        <v/>
      </c>
      <c r="V39" s="5" t="str">
        <f ca="1"/>
        <v/>
      </c>
      <c r="W39" t="str">
        <f ca="1"/>
        <v/>
      </c>
      <c r="X39">
        <f ca="1"/>
        <v>0</v>
      </c>
      <c r="Y39">
        <f ca="1"/>
        <v>0</v>
      </c>
      <c r="Z39" t="str">
        <f ca="1"/>
        <v/>
      </c>
    </row>
    <row r="40" spans="1:26" ht="16.149999999999999" customHeight="1" x14ac:dyDescent="0.25">
      <c r="A40" t="s">
        <v>50</v>
      </c>
      <c r="C40" s="11" t="str">
        <f t="shared" ca="1" si="0"/>
        <v>851_0</v>
      </c>
      <c r="D40" s="5">
        <f ca="1"/>
        <v>34</v>
      </c>
      <c r="E40" s="5">
        <f ca="1"/>
        <v>851</v>
      </c>
      <c r="F40" s="5" t="str">
        <f ca="1"/>
        <v>x</v>
      </c>
      <c r="G40" s="5">
        <f ca="1"/>
        <v>0</v>
      </c>
      <c r="H40" s="5" t="str">
        <f ca="1"/>
        <v>Gem Eggenburg</v>
      </c>
      <c r="I40" s="5">
        <f ca="1"/>
        <v>0</v>
      </c>
      <c r="J40" s="5">
        <f ca="1"/>
        <v>0</v>
      </c>
      <c r="K40" s="5" t="str">
        <f ca="1"/>
        <v>0681 / 81129053</v>
      </c>
      <c r="L40" s="5">
        <f ca="1"/>
        <v>0</v>
      </c>
      <c r="M40" s="5">
        <f ca="1"/>
        <v>0</v>
      </c>
      <c r="N40" s="5">
        <f ca="1"/>
        <v>0</v>
      </c>
      <c r="O40" s="5">
        <f ca="1"/>
        <v>0</v>
      </c>
      <c r="P40" s="5">
        <f ca="1"/>
        <v>0</v>
      </c>
      <c r="Q40" s="5" t="str">
        <f ca="1"/>
        <v/>
      </c>
      <c r="R40" s="5" t="str">
        <f ca="1"/>
        <v/>
      </c>
      <c r="S40" s="5" t="str">
        <f ca="1"/>
        <v/>
      </c>
      <c r="T40" s="5" t="str">
        <f ca="1"/>
        <v/>
      </c>
      <c r="U40" s="5" t="str">
        <f ca="1"/>
        <v/>
      </c>
      <c r="V40" s="5" t="str">
        <f ca="1"/>
        <v/>
      </c>
      <c r="W40" t="str">
        <f ca="1"/>
        <v/>
      </c>
      <c r="X40">
        <f ca="1"/>
        <v>0</v>
      </c>
      <c r="Y40">
        <f ca="1"/>
        <v>0</v>
      </c>
      <c r="Z40" t="str">
        <f ca="1"/>
        <v/>
      </c>
    </row>
    <row r="41" spans="1:26" ht="16.149999999999999" customHeight="1" x14ac:dyDescent="0.25">
      <c r="C41" s="11" t="str">
        <f t="shared" ca="1" si="0"/>
        <v>856_0</v>
      </c>
      <c r="D41" s="5">
        <f ca="1"/>
        <v>35</v>
      </c>
      <c r="E41" s="5">
        <f ca="1"/>
        <v>856</v>
      </c>
      <c r="F41" s="5" t="str">
        <f ca="1"/>
        <v>x</v>
      </c>
      <c r="G41" s="5">
        <f ca="1"/>
        <v>0</v>
      </c>
      <c r="H41" s="5" t="str">
        <f ca="1"/>
        <v>Gem Japons</v>
      </c>
      <c r="I41" s="5">
        <f ca="1"/>
        <v>0</v>
      </c>
      <c r="J41" s="5">
        <f ca="1"/>
        <v>0</v>
      </c>
      <c r="K41" s="5" t="str">
        <f ca="1"/>
        <v/>
      </c>
      <c r="L41" s="5">
        <f ca="1"/>
        <v>0</v>
      </c>
      <c r="M41" s="5">
        <f ca="1"/>
        <v>0</v>
      </c>
      <c r="N41" s="5">
        <f ca="1"/>
        <v>0</v>
      </c>
      <c r="O41" s="5">
        <f ca="1"/>
        <v>0</v>
      </c>
      <c r="P41" s="5">
        <f ca="1"/>
        <v>0</v>
      </c>
      <c r="Q41" s="5" t="str">
        <f ca="1"/>
        <v/>
      </c>
      <c r="R41" s="5" t="str">
        <f ca="1"/>
        <v/>
      </c>
      <c r="S41" s="5" t="str">
        <f ca="1"/>
        <v/>
      </c>
      <c r="T41" s="5" t="str">
        <f ca="1"/>
        <v/>
      </c>
      <c r="U41" s="5" t="str">
        <f ca="1"/>
        <v/>
      </c>
      <c r="V41" s="5" t="str">
        <f ca="1"/>
        <v/>
      </c>
      <c r="W41" t="str">
        <f ca="1"/>
        <v/>
      </c>
      <c r="X41">
        <f ca="1"/>
        <v>0</v>
      </c>
      <c r="Y41">
        <f ca="1"/>
        <v>0</v>
      </c>
      <c r="Z41" t="str">
        <f ca="1"/>
        <v/>
      </c>
    </row>
    <row r="42" spans="1:26" ht="16.149999999999999" customHeight="1" x14ac:dyDescent="0.25">
      <c r="C42" s="11" t="str">
        <f t="shared" ca="1" si="1"/>
        <v>774_PV-Anlage</v>
      </c>
      <c r="D42" s="5">
        <f ca="1"/>
        <v>36</v>
      </c>
      <c r="E42" s="5">
        <f ca="1"/>
        <v>774</v>
      </c>
      <c r="F42" s="5" t="str">
        <f ca="1"/>
        <v>x</v>
      </c>
      <c r="G42" s="5" t="str">
        <f ca="1"/>
        <v>PV-Anlage</v>
      </c>
      <c r="H42" s="5" t="str">
        <f ca="1"/>
        <v>Gem Krumau</v>
      </c>
      <c r="I42" s="5">
        <f ca="1"/>
        <v>0</v>
      </c>
      <c r="J42" s="5">
        <f ca="1"/>
        <v>0</v>
      </c>
      <c r="K42" s="5" t="str">
        <f ca="1"/>
        <v/>
      </c>
      <c r="L42" s="5">
        <f ca="1"/>
        <v>0</v>
      </c>
      <c r="M42" s="5">
        <f ca="1"/>
        <v>0</v>
      </c>
      <c r="N42" s="5">
        <f ca="1"/>
        <v>0</v>
      </c>
      <c r="O42" s="5">
        <f ca="1"/>
        <v>0</v>
      </c>
      <c r="P42" s="5">
        <f ca="1"/>
        <v>0</v>
      </c>
      <c r="Q42" s="5" t="str">
        <f ca="1"/>
        <v/>
      </c>
      <c r="R42" s="5" t="str">
        <f ca="1"/>
        <v/>
      </c>
      <c r="S42" s="5" t="str">
        <f ca="1"/>
        <v/>
      </c>
      <c r="T42" s="5" t="str">
        <f ca="1"/>
        <v/>
      </c>
      <c r="U42" s="5" t="str">
        <f ca="1"/>
        <v/>
      </c>
      <c r="V42" s="5" t="str">
        <f ca="1"/>
        <v/>
      </c>
      <c r="W42" t="str">
        <f ca="1"/>
        <v/>
      </c>
      <c r="X42">
        <f ca="1"/>
        <v>0</v>
      </c>
      <c r="Y42">
        <f ca="1"/>
        <v>0</v>
      </c>
      <c r="Z42" t="str">
        <f ca="1"/>
        <v/>
      </c>
    </row>
    <row r="43" spans="1:26" ht="16.149999999999999" customHeight="1" x14ac:dyDescent="0.25">
      <c r="C43" s="11" t="str">
        <f t="shared" ca="1" si="0"/>
        <v>814_0</v>
      </c>
      <c r="D43" s="5">
        <f ca="1"/>
        <v>37</v>
      </c>
      <c r="E43" s="5">
        <f ca="1"/>
        <v>814</v>
      </c>
      <c r="F43" s="5" t="str">
        <f ca="1"/>
        <v>x</v>
      </c>
      <c r="G43" s="5">
        <f ca="1"/>
        <v>0</v>
      </c>
      <c r="H43" s="5" t="str">
        <f ca="1"/>
        <v>Raika</v>
      </c>
      <c r="I43" s="5">
        <f ca="1"/>
        <v>0</v>
      </c>
      <c r="J43" s="5">
        <f ca="1"/>
        <v>0</v>
      </c>
      <c r="K43" s="5" t="str">
        <f ca="1"/>
        <v/>
      </c>
      <c r="L43" s="5">
        <f ca="1"/>
        <v>0</v>
      </c>
      <c r="M43" s="5">
        <f ca="1"/>
        <v>0</v>
      </c>
      <c r="N43" s="5">
        <f ca="1"/>
        <v>0</v>
      </c>
      <c r="O43" s="5">
        <f ca="1"/>
        <v>0</v>
      </c>
      <c r="P43" s="5">
        <f ca="1"/>
        <v>0</v>
      </c>
      <c r="Q43" s="5" t="str">
        <f ca="1"/>
        <v/>
      </c>
      <c r="R43" s="5" t="str">
        <f ca="1"/>
        <v/>
      </c>
      <c r="S43" s="5" t="str">
        <f ca="1"/>
        <v/>
      </c>
      <c r="T43" s="5" t="str">
        <f ca="1"/>
        <v/>
      </c>
      <c r="U43" s="5" t="str">
        <f ca="1"/>
        <v/>
      </c>
      <c r="V43" s="5" t="str">
        <f ca="1"/>
        <v/>
      </c>
      <c r="W43" t="str">
        <f ca="1"/>
        <v/>
      </c>
      <c r="X43">
        <f ca="1"/>
        <v>0</v>
      </c>
      <c r="Y43">
        <f ca="1"/>
        <v>0</v>
      </c>
      <c r="Z43" t="str">
        <f ca="1"/>
        <v/>
      </c>
    </row>
    <row r="44" spans="1:26" ht="16.149999999999999" customHeight="1" x14ac:dyDescent="0.25">
      <c r="C44" s="11" t="str">
        <f t="shared" ca="1" si="0"/>
        <v>445_Beratung für die Konzepterstellung Heizungsanlage und Förderungen</v>
      </c>
      <c r="D44" s="5">
        <f ca="1"/>
        <v>38</v>
      </c>
      <c r="E44" s="5">
        <f ca="1"/>
        <v>445</v>
      </c>
      <c r="F44" s="5" t="str">
        <f ca="1"/>
        <v>x</v>
      </c>
      <c r="G44" s="5" t="str">
        <f ca="1"/>
        <v>Beratung für die Konzepterstellung Heizungsanlage und Förderungen</v>
      </c>
      <c r="H44" s="5" t="str">
        <f ca="1"/>
        <v>Stark Elektro &amp; Kälte GmbH</v>
      </c>
      <c r="I44" s="5" t="str">
        <f ca="1"/>
        <v>Wolfgang</v>
      </c>
      <c r="J44" s="5" t="str">
        <f ca="1"/>
        <v>Stark</v>
      </c>
      <c r="K44" s="5" t="str">
        <f ca="1"/>
        <v/>
      </c>
      <c r="L44" s="5">
        <f ca="1"/>
        <v>0</v>
      </c>
      <c r="M44" s="5">
        <f ca="1"/>
        <v>3860</v>
      </c>
      <c r="N44" s="5" t="str">
        <f ca="1"/>
        <v>Heidenreichstein</v>
      </c>
      <c r="O44" s="5" t="str">
        <f ca="1"/>
        <v>Waidhofnerstraße</v>
      </c>
      <c r="P44" s="5">
        <f ca="1"/>
        <v>10</v>
      </c>
      <c r="Q44" s="5" t="str">
        <f ca="1"/>
        <v/>
      </c>
      <c r="R44" s="5" t="str">
        <f ca="1"/>
        <v/>
      </c>
      <c r="S44" s="5" t="str">
        <f ca="1"/>
        <v/>
      </c>
      <c r="T44" s="5" t="str">
        <f ca="1"/>
        <v/>
      </c>
      <c r="U44" s="5" t="str">
        <f ca="1"/>
        <v/>
      </c>
      <c r="V44" s="5" t="str">
        <f ca="1"/>
        <v/>
      </c>
      <c r="W44" t="str">
        <f ca="1"/>
        <v/>
      </c>
      <c r="X44">
        <f ca="1"/>
        <v>0</v>
      </c>
      <c r="Y44">
        <f ca="1"/>
        <v>0</v>
      </c>
      <c r="Z44" t="str">
        <f ca="1"/>
        <v/>
      </c>
    </row>
    <row r="45" spans="1:26" ht="16.149999999999999" customHeight="1" x14ac:dyDescent="0.25">
      <c r="C45" s="11" t="str">
        <f t="shared" ca="1" si="0"/>
        <v>307_Konzepterstellung Energieeinsparmöglichkeiten bei Flaschenwaschmaschine, Flaschenlagerraum</v>
      </c>
      <c r="D45" s="5">
        <f ca="1"/>
        <v>39</v>
      </c>
      <c r="E45" s="5">
        <f ca="1"/>
        <v>307</v>
      </c>
      <c r="F45" s="5" t="str">
        <f ca="1"/>
        <v>x</v>
      </c>
      <c r="G45" s="5" t="str">
        <f ca="1"/>
        <v>Konzepterstellung Energieeinsparmöglichkeiten bei Flaschenwaschmaschine, Flaschenlagerraum</v>
      </c>
      <c r="H45" s="5" t="str">
        <f ca="1"/>
        <v>Weinhandel Gruber Ewald</v>
      </c>
      <c r="I45" s="5">
        <f ca="1"/>
        <v>0</v>
      </c>
      <c r="J45" s="5">
        <f ca="1"/>
        <v>0</v>
      </c>
      <c r="K45" s="5" t="str">
        <f ca="1"/>
        <v/>
      </c>
      <c r="L45" s="5">
        <f ca="1"/>
        <v>0</v>
      </c>
      <c r="M45" s="5">
        <f ca="1"/>
        <v>3743</v>
      </c>
      <c r="N45" s="5" t="str">
        <f ca="1"/>
        <v>Röschitz</v>
      </c>
      <c r="O45" s="5" t="str">
        <f ca="1"/>
        <v>Winzerstraße</v>
      </c>
      <c r="P45" s="5">
        <f ca="1"/>
        <v>46</v>
      </c>
      <c r="Q45" s="5" t="str">
        <f ca="1"/>
        <v/>
      </c>
      <c r="R45" s="5" t="str">
        <f ca="1"/>
        <v/>
      </c>
      <c r="S45" s="5" t="str">
        <f ca="1"/>
        <v/>
      </c>
      <c r="T45" s="5" t="str">
        <f ca="1"/>
        <v/>
      </c>
      <c r="U45" s="5" t="str">
        <f ca="1"/>
        <v/>
      </c>
      <c r="V45" s="5" t="str">
        <f ca="1"/>
        <v/>
      </c>
      <c r="W45" t="str">
        <f ca="1"/>
        <v/>
      </c>
      <c r="X45">
        <f ca="1"/>
        <v>0</v>
      </c>
      <c r="Y45">
        <f ca="1"/>
        <v>0</v>
      </c>
      <c r="Z45" t="str">
        <f ca="1"/>
        <v/>
      </c>
    </row>
    <row r="46" spans="1:26" ht="16.149999999999999" customHeight="1" x14ac:dyDescent="0.25">
      <c r="C46" s="11" t="str">
        <f t="shared" ca="1" si="0"/>
        <v>497_Kurzberatung</v>
      </c>
      <c r="D46" s="5">
        <f ca="1"/>
        <v>40</v>
      </c>
      <c r="E46" s="5">
        <f ca="1"/>
        <v>497</v>
      </c>
      <c r="F46" s="5" t="str">
        <f ca="1"/>
        <v>x</v>
      </c>
      <c r="G46" s="5" t="str">
        <f ca="1"/>
        <v>Kurzberatung</v>
      </c>
      <c r="H46" s="5" t="str">
        <f ca="1"/>
        <v>DIE KÄSEMACHER GmbH</v>
      </c>
      <c r="I46" s="5" t="str">
        <f ca="1"/>
        <v>Robert</v>
      </c>
      <c r="J46" s="5" t="str">
        <f ca="1"/>
        <v>Kaindl</v>
      </c>
      <c r="K46" s="5" t="str">
        <f ca="1"/>
        <v/>
      </c>
      <c r="L46" s="5">
        <f ca="1"/>
        <v>0</v>
      </c>
      <c r="M46" s="5">
        <f ca="1"/>
        <v>3902</v>
      </c>
      <c r="N46" s="5" t="str">
        <f ca="1"/>
        <v>Vitis</v>
      </c>
      <c r="O46" s="5" t="str">
        <f ca="1"/>
        <v>Europastraße</v>
      </c>
      <c r="P46" s="5">
        <f ca="1"/>
        <v>5</v>
      </c>
      <c r="Q46" s="5" t="str">
        <f ca="1"/>
        <v/>
      </c>
      <c r="R46" s="5" t="str">
        <f ca="1"/>
        <v/>
      </c>
      <c r="S46" s="5" t="str">
        <f ca="1"/>
        <v/>
      </c>
      <c r="T46" s="5" t="str">
        <f ca="1"/>
        <v/>
      </c>
      <c r="U46" s="5" t="str">
        <f ca="1"/>
        <v/>
      </c>
      <c r="V46" s="5" t="str">
        <f ca="1"/>
        <v/>
      </c>
      <c r="W46" t="str">
        <f ca="1"/>
        <v/>
      </c>
      <c r="X46">
        <f ca="1"/>
        <v>0</v>
      </c>
      <c r="Y46">
        <f ca="1"/>
        <v>0</v>
      </c>
      <c r="Z46" t="str">
        <f ca="1"/>
        <v/>
      </c>
    </row>
    <row r="47" spans="1:26" ht="16.149999999999999" customHeight="1" x14ac:dyDescent="0.25">
      <c r="C47" s="11" t="str">
        <f t="shared" ca="1" si="0"/>
        <v>479_Konzepterstellung Energieeffizienz und Energieeinsparungsmaßnahmen</v>
      </c>
      <c r="D47" s="5">
        <f ca="1"/>
        <v>41</v>
      </c>
      <c r="E47" s="5">
        <f ca="1"/>
        <v>479</v>
      </c>
      <c r="F47" s="5" t="str">
        <f ca="1"/>
        <v>x</v>
      </c>
      <c r="G47" s="5" t="str">
        <f ca="1"/>
        <v>Konzepterstellung Energieeffizienz und Energieeinsparungsmaßnahmen</v>
      </c>
      <c r="H47" s="5" t="str">
        <f ca="1"/>
        <v>Tischlerei Rösl</v>
      </c>
      <c r="I47" s="5" t="str">
        <f ca="1"/>
        <v>Christian</v>
      </c>
      <c r="J47" s="5" t="str">
        <f ca="1"/>
        <v>Rößl</v>
      </c>
      <c r="K47" s="5" t="str">
        <f ca="1"/>
        <v/>
      </c>
      <c r="L47" s="5">
        <f ca="1"/>
        <v>0</v>
      </c>
      <c r="M47" s="5">
        <f ca="1"/>
        <v>3532</v>
      </c>
      <c r="N47" s="5" t="str">
        <f ca="1"/>
        <v>Rastenfeld</v>
      </c>
      <c r="O47" s="5" t="str">
        <f ca="1"/>
        <v>Rastenfeld</v>
      </c>
      <c r="P47" s="5">
        <f ca="1"/>
        <v>173</v>
      </c>
      <c r="Q47" s="5" t="str">
        <f ca="1"/>
        <v/>
      </c>
      <c r="R47" s="5" t="str">
        <f ca="1"/>
        <v/>
      </c>
      <c r="S47" s="5" t="str">
        <f ca="1"/>
        <v/>
      </c>
      <c r="T47" s="5" t="str">
        <f ca="1"/>
        <v/>
      </c>
      <c r="U47" s="5" t="str">
        <f ca="1"/>
        <v/>
      </c>
      <c r="V47" s="5" t="str">
        <f ca="1"/>
        <v/>
      </c>
      <c r="W47" t="str">
        <f ca="1"/>
        <v/>
      </c>
      <c r="X47">
        <f ca="1"/>
        <v>0</v>
      </c>
      <c r="Y47">
        <f ca="1"/>
        <v>0</v>
      </c>
      <c r="Z47" t="str">
        <f ca="1"/>
        <v/>
      </c>
    </row>
    <row r="48" spans="1:26" ht="16.149999999999999" customHeight="1" x14ac:dyDescent="0.25">
      <c r="C48" s="11" t="str">
        <f t="shared" ca="1" si="0"/>
        <v>567_Schwerpunktberatung Energie</v>
      </c>
      <c r="D48" s="5">
        <f ca="1"/>
        <v>42</v>
      </c>
      <c r="E48" s="5">
        <f ca="1"/>
        <v>567</v>
      </c>
      <c r="F48" s="5" t="str">
        <f ca="1"/>
        <v>x</v>
      </c>
      <c r="G48" s="5" t="str">
        <f ca="1"/>
        <v>Schwerpunktberatung Energie</v>
      </c>
      <c r="H48" s="5" t="str">
        <f ca="1"/>
        <v>Klein Fahrzeug GmbH</v>
      </c>
      <c r="I48" s="5" t="str">
        <f ca="1"/>
        <v>Herbert</v>
      </c>
      <c r="J48" s="5" t="str">
        <f ca="1"/>
        <v>Klein</v>
      </c>
      <c r="K48" s="5" t="str">
        <f ca="1"/>
        <v>02982 / 2293</v>
      </c>
      <c r="L48" s="5" t="str">
        <f ca="1"/>
        <v>office@kleinfahrzeugbau.at</v>
      </c>
      <c r="M48" s="5">
        <f ca="1"/>
        <v>3591</v>
      </c>
      <c r="N48" s="5" t="str">
        <f ca="1"/>
        <v>Altenburg</v>
      </c>
      <c r="O48" s="5" t="str">
        <f ca="1"/>
        <v>Horner Straße</v>
      </c>
      <c r="P48" s="5">
        <f ca="1"/>
        <v>13</v>
      </c>
      <c r="Q48" s="5" t="str">
        <f ca="1"/>
        <v/>
      </c>
      <c r="R48" s="5" t="str">
        <f ca="1"/>
        <v/>
      </c>
      <c r="S48" s="5" t="str">
        <f ca="1"/>
        <v/>
      </c>
      <c r="T48" s="5" t="str">
        <f ca="1"/>
        <v/>
      </c>
      <c r="U48" s="5" t="str">
        <f ca="1"/>
        <v/>
      </c>
      <c r="V48" s="5" t="str">
        <f ca="1"/>
        <v/>
      </c>
      <c r="W48" t="str">
        <f ca="1"/>
        <v/>
      </c>
      <c r="X48">
        <f ca="1"/>
        <v>0</v>
      </c>
      <c r="Y48">
        <f ca="1"/>
        <v>0</v>
      </c>
      <c r="Z48" t="str">
        <f ca="1"/>
        <v/>
      </c>
    </row>
    <row r="49" spans="3:26" ht="16.149999999999999" customHeight="1" x14ac:dyDescent="0.25">
      <c r="C49" s="11" t="str">
        <f t="shared" ca="1" si="0"/>
        <v>562_Energie, Öko Kurzberatung</v>
      </c>
      <c r="D49" s="5">
        <f ca="1"/>
        <v>43</v>
      </c>
      <c r="E49" s="5">
        <f ca="1"/>
        <v>562</v>
      </c>
      <c r="F49" s="5" t="str">
        <f ca="1"/>
        <v>x</v>
      </c>
      <c r="G49" s="5" t="str">
        <f ca="1"/>
        <v>Energie, Öko Kurzberatung</v>
      </c>
      <c r="H49" s="5" t="str">
        <f ca="1"/>
        <v>Stift Geras - Pernegg Touristik GmbH</v>
      </c>
      <c r="I49" s="5">
        <f ca="1"/>
        <v>0</v>
      </c>
      <c r="J49" s="5">
        <f ca="1"/>
        <v>0</v>
      </c>
      <c r="K49" s="5" t="str">
        <f ca="1"/>
        <v>02913 / 614</v>
      </c>
      <c r="L49" s="5" t="str">
        <f ca="1"/>
        <v>info@klosterpernegg.at</v>
      </c>
      <c r="M49" s="5">
        <f ca="1"/>
        <v>3753</v>
      </c>
      <c r="N49" s="5" t="str">
        <f ca="1"/>
        <v>Pernegg</v>
      </c>
      <c r="O49" s="5" t="str">
        <f ca="1"/>
        <v>Pernegg</v>
      </c>
      <c r="P49" s="5">
        <f ca="1"/>
        <v>1</v>
      </c>
      <c r="Q49" s="5" t="str">
        <f ca="1"/>
        <v/>
      </c>
      <c r="R49" s="5" t="str">
        <f ca="1"/>
        <v/>
      </c>
      <c r="S49" s="5" t="str">
        <f ca="1"/>
        <v/>
      </c>
      <c r="T49" s="5" t="str">
        <f ca="1"/>
        <v/>
      </c>
      <c r="U49" s="5" t="str">
        <f ca="1"/>
        <v/>
      </c>
      <c r="V49" s="5" t="str">
        <f ca="1"/>
        <v/>
      </c>
      <c r="W49" t="str">
        <f ca="1"/>
        <v/>
      </c>
      <c r="X49">
        <f ca="1"/>
        <v>0</v>
      </c>
      <c r="Y49">
        <f ca="1"/>
        <v>0</v>
      </c>
      <c r="Z49" t="str">
        <f ca="1"/>
        <v/>
      </c>
    </row>
    <row r="50" spans="3:26" ht="16.149999999999999" customHeight="1" x14ac:dyDescent="0.25">
      <c r="C50" s="11" t="str">
        <f t="shared" ca="1" si="0"/>
        <v>609_Schwerpunktberatung PV-Anlage &amp; Stromspeicher</v>
      </c>
      <c r="D50" s="5">
        <f ca="1"/>
        <v>44</v>
      </c>
      <c r="E50" s="5">
        <f ca="1"/>
        <v>609</v>
      </c>
      <c r="F50" s="5" t="str">
        <f ca="1"/>
        <v>x</v>
      </c>
      <c r="G50" s="5" t="str">
        <f ca="1"/>
        <v>Schwerpunktberatung PV-Anlage &amp; Stromspeicher</v>
      </c>
      <c r="H50" s="5" t="str">
        <f ca="1"/>
        <v>Groiß Wirtschaftsprüfungs und Steuerberatungs GmbH</v>
      </c>
      <c r="I50" s="5" t="str">
        <f ca="1"/>
        <v>Werner</v>
      </c>
      <c r="J50" s="5" t="str">
        <f ca="1"/>
        <v>Groiß</v>
      </c>
      <c r="K50" s="5" t="str">
        <f ca="1"/>
        <v>02985 / 2656</v>
      </c>
      <c r="L50" s="5" t="str">
        <f ca="1"/>
        <v>werner.groiss@bzg.at</v>
      </c>
      <c r="M50" s="5">
        <f ca="1"/>
        <v>3571</v>
      </c>
      <c r="N50" s="5" t="str">
        <f ca="1"/>
        <v>Gars am Kamp</v>
      </c>
      <c r="O50" s="5" t="str">
        <f ca="1"/>
        <v>Wienerstraße</v>
      </c>
      <c r="P50" s="5">
        <f ca="1"/>
        <v>113</v>
      </c>
      <c r="Q50" s="5" t="str">
        <f ca="1"/>
        <v/>
      </c>
      <c r="R50" s="5" t="str">
        <f ca="1"/>
        <v/>
      </c>
      <c r="S50" s="5" t="str">
        <f ca="1"/>
        <v/>
      </c>
      <c r="T50" s="5" t="str">
        <f ca="1"/>
        <v/>
      </c>
      <c r="U50" s="5" t="str">
        <f ca="1"/>
        <v/>
      </c>
      <c r="V50" s="5" t="str">
        <f ca="1"/>
        <v/>
      </c>
      <c r="W50" t="str">
        <f ca="1"/>
        <v/>
      </c>
      <c r="X50">
        <f ca="1"/>
        <v>0</v>
      </c>
      <c r="Y50">
        <f ca="1"/>
        <v>0</v>
      </c>
      <c r="Z50" t="str">
        <f ca="1"/>
        <v/>
      </c>
    </row>
    <row r="51" spans="3:26" ht="16.149999999999999" customHeight="1" x14ac:dyDescent="0.25">
      <c r="C51" s="11" t="str">
        <f t="shared" ca="1" si="1"/>
        <v>481_Konzepterstellung bei thermischen Gebäudesanierung</v>
      </c>
      <c r="D51" s="5">
        <f ca="1"/>
        <v>45</v>
      </c>
      <c r="E51" s="5">
        <f ca="1"/>
        <v>481</v>
      </c>
      <c r="F51" s="5" t="str">
        <f ca="1"/>
        <v>x</v>
      </c>
      <c r="G51" s="5" t="str">
        <f ca="1"/>
        <v>Konzepterstellung bei thermischen Gebäudesanierung</v>
      </c>
      <c r="H51" s="5" t="str">
        <f ca="1"/>
        <v>Tanzcafe-Gasthaus-Buffet Schindler</v>
      </c>
      <c r="I51" s="5">
        <f ca="1"/>
        <v>0</v>
      </c>
      <c r="J51" s="5">
        <f ca="1"/>
        <v>0</v>
      </c>
      <c r="K51" s="5" t="str">
        <f ca="1"/>
        <v/>
      </c>
      <c r="L51" s="5">
        <f ca="1"/>
        <v>0</v>
      </c>
      <c r="M51" s="5">
        <f ca="1"/>
        <v>3903</v>
      </c>
      <c r="N51" s="5" t="str">
        <f ca="1"/>
        <v>Gerweis</v>
      </c>
      <c r="O51" s="5" t="str">
        <f ca="1"/>
        <v>Gerweis</v>
      </c>
      <c r="P51" s="5">
        <f ca="1"/>
        <v>21</v>
      </c>
      <c r="Q51" s="5" t="str">
        <f ca="1"/>
        <v/>
      </c>
      <c r="R51" s="5" t="str">
        <f ca="1"/>
        <v/>
      </c>
      <c r="S51" s="5" t="str">
        <f ca="1"/>
        <v/>
      </c>
      <c r="T51" s="5" t="str">
        <f ca="1"/>
        <v/>
      </c>
      <c r="U51" s="5" t="str">
        <f ca="1"/>
        <v/>
      </c>
      <c r="V51" s="5" t="str">
        <f ca="1"/>
        <v/>
      </c>
      <c r="W51" t="str">
        <f ca="1"/>
        <v/>
      </c>
      <c r="X51">
        <f ca="1"/>
        <v>0</v>
      </c>
      <c r="Y51">
        <f ca="1"/>
        <v>0</v>
      </c>
      <c r="Z51" t="str">
        <f ca="1"/>
        <v/>
      </c>
    </row>
    <row r="52" spans="3:26" ht="16.149999999999999" customHeight="1" x14ac:dyDescent="0.25">
      <c r="C52" s="11" t="str">
        <f t="shared" ca="1" si="0"/>
        <v>363_Öko Beratung</v>
      </c>
      <c r="D52" s="5">
        <f ca="1"/>
        <v>46</v>
      </c>
      <c r="E52" s="5">
        <f ca="1"/>
        <v>363</v>
      </c>
      <c r="F52" s="5" t="str">
        <f ca="1"/>
        <v>x</v>
      </c>
      <c r="G52" s="5" t="str">
        <f ca="1"/>
        <v>Öko Beratung</v>
      </c>
      <c r="H52" s="5" t="str">
        <f ca="1"/>
        <v>Reissmüller Baugesellschaft mbH</v>
      </c>
      <c r="I52" s="5">
        <f ca="1"/>
        <v>0</v>
      </c>
      <c r="J52" s="5">
        <f ca="1"/>
        <v>0</v>
      </c>
      <c r="K52" s="5" t="str">
        <f ca="1"/>
        <v/>
      </c>
      <c r="L52" s="5">
        <f ca="1"/>
        <v>0</v>
      </c>
      <c r="M52" s="5">
        <f ca="1"/>
        <v>3830</v>
      </c>
      <c r="N52" s="5" t="str">
        <f ca="1"/>
        <v>Waidhofen an der Thaya</v>
      </c>
      <c r="O52" s="5" t="str">
        <f ca="1"/>
        <v>Wiener Straße</v>
      </c>
      <c r="P52" s="5">
        <f ca="1"/>
        <v>45</v>
      </c>
      <c r="Q52" s="5" t="str">
        <f ca="1"/>
        <v/>
      </c>
      <c r="R52" s="5" t="str">
        <f ca="1"/>
        <v/>
      </c>
      <c r="S52" s="5" t="str">
        <f ca="1"/>
        <v/>
      </c>
      <c r="T52" s="5" t="str">
        <f ca="1"/>
        <v/>
      </c>
      <c r="U52" s="5" t="str">
        <f ca="1"/>
        <v/>
      </c>
      <c r="V52" s="5" t="str">
        <f ca="1"/>
        <v/>
      </c>
      <c r="W52" t="str">
        <f ca="1"/>
        <v/>
      </c>
      <c r="X52">
        <f ca="1"/>
        <v>0</v>
      </c>
      <c r="Y52">
        <f ca="1"/>
        <v>0</v>
      </c>
      <c r="Z52" t="str">
        <f ca="1"/>
        <v/>
      </c>
    </row>
    <row r="53" spans="3:26" ht="16.149999999999999" customHeight="1" x14ac:dyDescent="0.25">
      <c r="C53" s="11" t="str">
        <f t="shared" ca="1" si="0"/>
        <v>303_Konzepterstellung thermische Gebäudesanierung und Umstellung der Heizungsanlage inkl. Förderungseinreichungsunterlagen</v>
      </c>
      <c r="D53" s="5">
        <f ca="1"/>
        <v>47</v>
      </c>
      <c r="E53" s="5">
        <f ca="1"/>
        <v>303</v>
      </c>
      <c r="F53" s="5" t="str">
        <f ca="1"/>
        <v>x</v>
      </c>
      <c r="G53" s="5" t="str">
        <f ca="1"/>
        <v>Konzepterstellung thermische Gebäudesanierung und Umstellung der Heizungsanlage inkl. Förderungseinreichungsunterlagen</v>
      </c>
      <c r="H53" s="5" t="str">
        <f ca="1"/>
        <v>Frisör &amp; Wellness Oase Silvia</v>
      </c>
      <c r="I53" s="5" t="str">
        <f ca="1"/>
        <v>Silvia</v>
      </c>
      <c r="J53" s="5" t="str">
        <f ca="1"/>
        <v>Schuh</v>
      </c>
      <c r="K53" s="5" t="str">
        <f ca="1"/>
        <v/>
      </c>
      <c r="L53" s="5">
        <f ca="1"/>
        <v>0</v>
      </c>
      <c r="M53" s="5">
        <f ca="1"/>
        <v>3830</v>
      </c>
      <c r="N53" s="5" t="str">
        <f ca="1"/>
        <v>Waidhofen an der Thaya</v>
      </c>
      <c r="O53" s="5" t="str">
        <f ca="1"/>
        <v>Vitiserstraße</v>
      </c>
      <c r="P53" s="5">
        <f ca="1"/>
        <v>7</v>
      </c>
      <c r="Q53" s="5" t="str">
        <f ca="1"/>
        <v/>
      </c>
      <c r="R53" s="5" t="str">
        <f ca="1"/>
        <v/>
      </c>
      <c r="S53" s="5" t="str">
        <f ca="1"/>
        <v/>
      </c>
      <c r="T53" s="5" t="str">
        <f ca="1"/>
        <v/>
      </c>
      <c r="U53" s="5" t="str">
        <f ca="1"/>
        <v/>
      </c>
      <c r="V53" s="5" t="str">
        <f ca="1"/>
        <v/>
      </c>
      <c r="W53" t="str">
        <f ca="1"/>
        <v/>
      </c>
      <c r="X53">
        <f ca="1"/>
        <v>0</v>
      </c>
      <c r="Y53">
        <f ca="1"/>
        <v>0</v>
      </c>
      <c r="Z53" t="str">
        <f ca="1"/>
        <v/>
      </c>
    </row>
    <row r="54" spans="3:26" ht="16.149999999999999" customHeight="1" x14ac:dyDescent="0.25">
      <c r="C54" s="11" t="str">
        <f t="shared" ca="1" si="0"/>
        <v>366_0</v>
      </c>
      <c r="D54" s="5">
        <f ca="1"/>
        <v>48</v>
      </c>
      <c r="E54" s="5">
        <f ca="1"/>
        <v>366</v>
      </c>
      <c r="F54" s="5" t="str">
        <f ca="1"/>
        <v>x</v>
      </c>
      <c r="G54" s="5">
        <f ca="1"/>
        <v>0</v>
      </c>
      <c r="H54" s="5" t="str">
        <f ca="1"/>
        <v>Tischlerei Kases GmbH</v>
      </c>
      <c r="I54" s="5">
        <f ca="1"/>
        <v>0</v>
      </c>
      <c r="J54" s="5">
        <f ca="1"/>
        <v>0</v>
      </c>
      <c r="K54" s="5" t="str">
        <f ca="1"/>
        <v/>
      </c>
      <c r="L54" s="5">
        <f ca="1"/>
        <v>0</v>
      </c>
      <c r="M54" s="5">
        <f ca="1"/>
        <v>3852</v>
      </c>
      <c r="N54" s="5" t="str">
        <f ca="1"/>
        <v>Gastern</v>
      </c>
      <c r="O54" s="5" t="str">
        <f ca="1"/>
        <v>Ruders</v>
      </c>
      <c r="P54" s="5">
        <f ca="1"/>
        <v>15</v>
      </c>
      <c r="Q54" s="5" t="str">
        <f ca="1"/>
        <v/>
      </c>
      <c r="R54" s="5" t="str">
        <f ca="1"/>
        <v/>
      </c>
      <c r="S54" s="5" t="str">
        <f ca="1"/>
        <v/>
      </c>
      <c r="T54" s="5" t="str">
        <f ca="1"/>
        <v/>
      </c>
      <c r="U54" s="5" t="str">
        <f ca="1"/>
        <v/>
      </c>
      <c r="V54" s="5" t="str">
        <f ca="1"/>
        <v/>
      </c>
      <c r="W54" t="str">
        <f ca="1"/>
        <v/>
      </c>
      <c r="X54">
        <f ca="1"/>
        <v>0</v>
      </c>
      <c r="Y54">
        <f ca="1"/>
        <v>0</v>
      </c>
      <c r="Z54" t="str">
        <f ca="1"/>
        <v/>
      </c>
    </row>
    <row r="55" spans="3:26" ht="16.149999999999999" customHeight="1" x14ac:dyDescent="0.25">
      <c r="C55" s="11" t="str">
        <f t="shared" ca="1" si="0"/>
        <v>322_Enrgie, Öko Kurzberatung (thermische Sanierung, Lüftungsanlage mit Wärmerückgewinnung, Wärmepumpe, Förderung)</v>
      </c>
      <c r="D55" s="5">
        <f ca="1"/>
        <v>49</v>
      </c>
      <c r="E55" s="5">
        <f ca="1"/>
        <v>322</v>
      </c>
      <c r="F55" s="5" t="str">
        <f ca="1"/>
        <v>x</v>
      </c>
      <c r="G55" s="5" t="str">
        <f ca="1"/>
        <v>Enrgie, Öko Kurzberatung (thermische Sanierung, Lüftungsanlage mit Wärmerückgewinnung, Wärmepumpe, Förderung)</v>
      </c>
      <c r="H55" s="5" t="str">
        <f ca="1"/>
        <v>Fab4minds Informationstechnik GmbH</v>
      </c>
      <c r="I55" s="5">
        <f ca="1"/>
        <v>0</v>
      </c>
      <c r="J55" s="5">
        <f ca="1"/>
        <v>0</v>
      </c>
      <c r="K55" s="5" t="str">
        <f ca="1"/>
        <v/>
      </c>
      <c r="L55" s="5">
        <f ca="1"/>
        <v>0</v>
      </c>
      <c r="M55" s="5">
        <f ca="1"/>
        <v>3902</v>
      </c>
      <c r="N55" s="5" t="str">
        <f ca="1"/>
        <v>Vitis</v>
      </c>
      <c r="O55" s="5" t="str">
        <f ca="1"/>
        <v>Titus Appel-Straße</v>
      </c>
      <c r="P55" s="5">
        <f ca="1"/>
        <v>3</v>
      </c>
      <c r="Q55" s="5" t="str">
        <f ca="1"/>
        <v/>
      </c>
      <c r="R55" s="5" t="str">
        <f ca="1"/>
        <v/>
      </c>
      <c r="S55" s="5" t="str">
        <f ca="1"/>
        <v/>
      </c>
      <c r="T55" s="5" t="str">
        <f ca="1"/>
        <v/>
      </c>
      <c r="U55" s="5" t="str">
        <f ca="1"/>
        <v/>
      </c>
      <c r="V55" s="5" t="str">
        <f ca="1"/>
        <v/>
      </c>
      <c r="W55" t="str">
        <f ca="1"/>
        <v/>
      </c>
      <c r="X55">
        <f ca="1"/>
        <v>0</v>
      </c>
      <c r="Y55">
        <f ca="1"/>
        <v>0</v>
      </c>
      <c r="Z55" t="str">
        <f ca="1"/>
        <v/>
      </c>
    </row>
    <row r="56" spans="3:26" ht="16.149999999999999" customHeight="1" x14ac:dyDescent="0.25">
      <c r="C56" s="11" t="str">
        <f t="shared" ca="1" si="0"/>
        <v>396_Konzepterstellung Auslegung PV-Anlage inkl. Wirtschaftlichkeitsrechnung</v>
      </c>
      <c r="D56" s="5">
        <f ca="1"/>
        <v>50</v>
      </c>
      <c r="E56" s="5">
        <f ca="1"/>
        <v>396</v>
      </c>
      <c r="F56" s="5" t="str">
        <f ca="1"/>
        <v>x</v>
      </c>
      <c r="G56" s="5" t="str">
        <f ca="1"/>
        <v>Konzepterstellung Auslegung PV-Anlage inkl. Wirtschaftlichkeitsrechnung</v>
      </c>
      <c r="H56" s="5" t="str">
        <f ca="1"/>
        <v>Ingrid Stark</v>
      </c>
      <c r="I56" s="5" t="str">
        <f ca="1"/>
        <v>Tobias</v>
      </c>
      <c r="J56" s="5" t="str">
        <f ca="1"/>
        <v>Stark</v>
      </c>
      <c r="K56" s="5" t="str">
        <f ca="1"/>
        <v/>
      </c>
      <c r="L56" s="5">
        <f ca="1"/>
        <v>0</v>
      </c>
      <c r="M56" s="5">
        <f ca="1"/>
        <v>3754</v>
      </c>
      <c r="N56" s="5" t="str">
        <f ca="1"/>
        <v>Infritz</v>
      </c>
      <c r="O56" s="5" t="str">
        <f ca="1"/>
        <v>Am Mitterfeld</v>
      </c>
      <c r="P56" s="5">
        <f ca="1"/>
        <v>10</v>
      </c>
      <c r="Q56" s="5" t="str">
        <f ca="1"/>
        <v/>
      </c>
      <c r="R56" s="5" t="str">
        <f ca="1"/>
        <v/>
      </c>
      <c r="S56" s="5" t="str">
        <f ca="1"/>
        <v/>
      </c>
      <c r="T56" s="5" t="str">
        <f ca="1"/>
        <v/>
      </c>
      <c r="U56" s="5" t="str">
        <f ca="1"/>
        <v/>
      </c>
      <c r="V56" s="5" t="str">
        <f ca="1"/>
        <v/>
      </c>
      <c r="W56" t="str">
        <f ca="1"/>
        <v/>
      </c>
      <c r="X56">
        <f ca="1"/>
        <v>0</v>
      </c>
      <c r="Y56">
        <f ca="1"/>
        <v>0</v>
      </c>
      <c r="Z56" t="str">
        <f ca="1"/>
        <v/>
      </c>
    </row>
    <row r="57" spans="3:26" ht="16.149999999999999" customHeight="1" x14ac:dyDescent="0.25">
      <c r="C57" s="11" t="str">
        <f t="shared" ca="1" si="0"/>
        <v>476_Hilfe bei Umsetzung E-Mobilität inkl. Wirtschaftlichkeitsberechnung, Förderungen</v>
      </c>
      <c r="D57" s="5">
        <f ca="1"/>
        <v>51</v>
      </c>
      <c r="E57" s="5">
        <f ca="1"/>
        <v>476</v>
      </c>
      <c r="F57" s="5" t="str">
        <f ca="1"/>
        <v>x</v>
      </c>
      <c r="G57" s="5" t="str">
        <f ca="1"/>
        <v>Hilfe bei Umsetzung E-Mobilität inkl. Wirtschaftlichkeitsberechnung, Förderungen</v>
      </c>
      <c r="H57" s="5" t="str">
        <f ca="1"/>
        <v>Meisner GmbH</v>
      </c>
      <c r="I57" s="5" t="str">
        <f ca="1"/>
        <v>Peter</v>
      </c>
      <c r="J57" s="5" t="str">
        <f ca="1"/>
        <v>Maisner</v>
      </c>
      <c r="K57" s="5" t="str">
        <f ca="1"/>
        <v/>
      </c>
      <c r="L57" s="5">
        <f ca="1"/>
        <v>0</v>
      </c>
      <c r="M57" s="5">
        <f ca="1"/>
        <v>3631</v>
      </c>
      <c r="N57" s="5" t="str">
        <f ca="1"/>
        <v>Ottenschlag</v>
      </c>
      <c r="O57" s="5" t="str">
        <f ca="1"/>
        <v>Spitzer Straße</v>
      </c>
      <c r="P57" s="5">
        <f ca="1"/>
        <v>37</v>
      </c>
      <c r="Q57" s="5" t="str">
        <f ca="1"/>
        <v/>
      </c>
      <c r="R57" s="5" t="str">
        <f ca="1"/>
        <v/>
      </c>
      <c r="S57" s="5" t="str">
        <f ca="1"/>
        <v/>
      </c>
      <c r="T57" s="5" t="str">
        <f ca="1"/>
        <v/>
      </c>
      <c r="U57" s="5" t="str">
        <f ca="1"/>
        <v/>
      </c>
      <c r="V57" s="5" t="str">
        <f ca="1"/>
        <v/>
      </c>
      <c r="W57" t="str">
        <f ca="1"/>
        <v/>
      </c>
      <c r="X57">
        <f ca="1"/>
        <v>0</v>
      </c>
      <c r="Y57">
        <f ca="1"/>
        <v>0</v>
      </c>
      <c r="Z57" t="str">
        <f ca="1"/>
        <v/>
      </c>
    </row>
    <row r="58" spans="3:26" ht="16.149999999999999" customHeight="1" x14ac:dyDescent="0.25">
      <c r="C58" s="11" t="str">
        <f t="shared" ca="1" si="0"/>
        <v>442_Konzepterstellung für Energieeffizienz und Energieeinsparunsmaßnahmen</v>
      </c>
      <c r="D58" s="5">
        <f ca="1"/>
        <v>52</v>
      </c>
      <c r="E58" s="5">
        <f ca="1"/>
        <v>442</v>
      </c>
      <c r="F58" s="5" t="str">
        <f ca="1"/>
        <v>x</v>
      </c>
      <c r="G58" s="5" t="str">
        <f ca="1"/>
        <v>Konzepterstellung für Energieeffizienz und Energieeinsparunsmaßnahmen</v>
      </c>
      <c r="H58" s="5" t="str">
        <f ca="1"/>
        <v>Lichtspiel Allentsteig</v>
      </c>
      <c r="I58" s="5">
        <f ca="1"/>
        <v>0</v>
      </c>
      <c r="J58" s="5">
        <f ca="1"/>
        <v>0</v>
      </c>
      <c r="K58" s="5" t="str">
        <f ca="1"/>
        <v/>
      </c>
      <c r="L58" s="5">
        <f ca="1"/>
        <v>0</v>
      </c>
      <c r="M58" s="5">
        <f ca="1"/>
        <v>3761</v>
      </c>
      <c r="N58" s="5" t="str">
        <f ca="1"/>
        <v>Dorna</v>
      </c>
      <c r="O58" s="5" t="str">
        <f ca="1"/>
        <v>Dorna</v>
      </c>
      <c r="P58" s="5">
        <f ca="1"/>
        <v>9</v>
      </c>
      <c r="Q58" s="5" t="str">
        <f ca="1"/>
        <v/>
      </c>
      <c r="R58" s="5" t="str">
        <f ca="1"/>
        <v/>
      </c>
      <c r="S58" s="5" t="str">
        <f ca="1"/>
        <v/>
      </c>
      <c r="T58" s="5" t="str">
        <f ca="1"/>
        <v/>
      </c>
      <c r="U58" s="5" t="str">
        <f ca="1"/>
        <v/>
      </c>
      <c r="V58" s="5" t="str">
        <f ca="1"/>
        <v/>
      </c>
      <c r="W58" t="str">
        <f ca="1"/>
        <v/>
      </c>
      <c r="X58">
        <f ca="1"/>
        <v>0</v>
      </c>
      <c r="Y58">
        <f ca="1"/>
        <v>0</v>
      </c>
      <c r="Z58" t="str">
        <f ca="1"/>
        <v/>
      </c>
    </row>
    <row r="59" spans="3:26" ht="16.149999999999999" customHeight="1" x14ac:dyDescent="0.25">
      <c r="C59" s="11" t="str">
        <f t="shared" ca="1" si="0"/>
        <v>487_Ferdinand Berger &amp; Söhne GmbH</v>
      </c>
      <c r="D59" s="5">
        <f ca="1"/>
        <v>53</v>
      </c>
      <c r="E59" s="5">
        <f ca="1"/>
        <v>487</v>
      </c>
      <c r="F59" s="5" t="str">
        <f ca="1"/>
        <v>x</v>
      </c>
      <c r="G59" s="5" t="str">
        <f ca="1"/>
        <v>Ferdinand Berger &amp; Söhne GmbH</v>
      </c>
      <c r="H59" s="5" t="str">
        <f ca="1"/>
        <v>Öko-Beratung</v>
      </c>
      <c r="I59" s="5" t="str">
        <f ca="1"/>
        <v>Ferdinand</v>
      </c>
      <c r="J59" s="5" t="str">
        <f ca="1"/>
        <v>Berger</v>
      </c>
      <c r="K59" s="5" t="str">
        <f ca="1"/>
        <v>02982 / 4161-256</v>
      </c>
      <c r="L59" s="5" t="str">
        <f ca="1"/>
        <v>ferdinand@berger.at</v>
      </c>
      <c r="M59" s="5">
        <f ca="1"/>
        <v>3580</v>
      </c>
      <c r="N59" s="5" t="str">
        <f ca="1"/>
        <v>Horn</v>
      </c>
      <c r="O59" s="5" t="str">
        <f ca="1"/>
        <v>Wiener Straße</v>
      </c>
      <c r="P59" s="5">
        <f ca="1"/>
        <v>80</v>
      </c>
      <c r="Q59" s="5" t="str">
        <f ca="1"/>
        <v/>
      </c>
      <c r="R59" s="5" t="str">
        <f ca="1"/>
        <v/>
      </c>
      <c r="S59" s="5" t="str">
        <f ca="1"/>
        <v/>
      </c>
      <c r="T59" s="5" t="str">
        <f ca="1"/>
        <v/>
      </c>
      <c r="U59" s="5" t="str">
        <f ca="1"/>
        <v/>
      </c>
      <c r="V59" s="5" t="str">
        <f ca="1"/>
        <v/>
      </c>
      <c r="W59" t="str">
        <f ca="1"/>
        <v/>
      </c>
      <c r="X59">
        <f ca="1"/>
        <v>0</v>
      </c>
      <c r="Y59">
        <f ca="1"/>
        <v>0</v>
      </c>
      <c r="Z59" t="str">
        <f ca="1"/>
        <v/>
      </c>
    </row>
    <row r="60" spans="3:26" ht="16.149999999999999" customHeight="1" x14ac:dyDescent="0.25">
      <c r="C60" s="11" t="str">
        <f t="shared" ca="1" si="1"/>
        <v>483_Umsetzungs-Schwerpunktberatung PV</v>
      </c>
      <c r="D60" s="5">
        <f ca="1"/>
        <v>54</v>
      </c>
      <c r="E60" s="5">
        <f ca="1"/>
        <v>483</v>
      </c>
      <c r="F60" s="5" t="str">
        <f ca="1"/>
        <v>x</v>
      </c>
      <c r="G60" s="5" t="str">
        <f ca="1"/>
        <v>Umsetzungs-Schwerpunktberatung PV</v>
      </c>
      <c r="H60" s="5" t="str">
        <f ca="1"/>
        <v>Mayr Verwaltungs GmbH</v>
      </c>
      <c r="I60" s="5" t="str">
        <f ca="1"/>
        <v>Bernhard</v>
      </c>
      <c r="J60" s="5" t="str">
        <f ca="1"/>
        <v>Mayr</v>
      </c>
      <c r="K60" s="5" t="str">
        <f ca="1"/>
        <v/>
      </c>
      <c r="L60" s="5">
        <f ca="1"/>
        <v>0</v>
      </c>
      <c r="M60" s="5">
        <f ca="1"/>
        <v>2070</v>
      </c>
      <c r="N60" s="5" t="str">
        <f ca="1"/>
        <v>Retz</v>
      </c>
      <c r="O60" s="5" t="str">
        <f ca="1"/>
        <v>Kremserstraße</v>
      </c>
      <c r="P60" s="5">
        <f ca="1"/>
        <v>17</v>
      </c>
      <c r="Q60" s="5" t="str">
        <f ca="1"/>
        <v/>
      </c>
      <c r="R60" s="5" t="str">
        <f ca="1"/>
        <v/>
      </c>
      <c r="S60" s="5" t="str">
        <f ca="1"/>
        <v/>
      </c>
      <c r="T60" s="5" t="str">
        <f ca="1"/>
        <v/>
      </c>
      <c r="U60" s="5" t="str">
        <f ca="1"/>
        <v/>
      </c>
      <c r="V60" s="5" t="str">
        <f ca="1"/>
        <v/>
      </c>
      <c r="W60" t="str">
        <f ca="1"/>
        <v/>
      </c>
      <c r="X60">
        <f ca="1"/>
        <v>0</v>
      </c>
      <c r="Y60">
        <f ca="1"/>
        <v>0</v>
      </c>
      <c r="Z60" t="str">
        <f ca="1"/>
        <v/>
      </c>
    </row>
    <row r="61" spans="3:26" ht="16.149999999999999" customHeight="1" x14ac:dyDescent="0.25">
      <c r="C61" s="11" t="str">
        <f t="shared" ca="1" si="0"/>
        <v>433_Schwerpunktberatung</v>
      </c>
      <c r="D61" s="5">
        <f ca="1"/>
        <v>55</v>
      </c>
      <c r="E61" s="5">
        <f ca="1"/>
        <v>433</v>
      </c>
      <c r="F61" s="5" t="str">
        <f ca="1"/>
        <v>x</v>
      </c>
      <c r="G61" s="5" t="str">
        <f ca="1"/>
        <v>Schwerpunktberatung</v>
      </c>
      <c r="H61" s="5" t="str">
        <f ca="1"/>
        <v>Waldviertler Werkstätten</v>
      </c>
      <c r="I61" s="5">
        <f ca="1"/>
        <v>0</v>
      </c>
      <c r="J61" s="5">
        <f ca="1"/>
        <v>0</v>
      </c>
      <c r="K61" s="5" t="str">
        <f ca="1"/>
        <v/>
      </c>
      <c r="L61" s="5">
        <f ca="1"/>
        <v>0</v>
      </c>
      <c r="M61" s="5">
        <f ca="1"/>
        <v>3943</v>
      </c>
      <c r="N61" s="5" t="str">
        <f ca="1"/>
        <v>Schrems</v>
      </c>
      <c r="O61" s="5" t="str">
        <f ca="1"/>
        <v>Hauptplatz</v>
      </c>
      <c r="P61" s="5">
        <f ca="1"/>
        <v>14</v>
      </c>
      <c r="Q61" s="5" t="str">
        <f ca="1"/>
        <v/>
      </c>
      <c r="R61" s="5" t="str">
        <f ca="1"/>
        <v/>
      </c>
      <c r="S61" s="5" t="str">
        <f ca="1"/>
        <v/>
      </c>
      <c r="T61" s="5" t="str">
        <f ca="1"/>
        <v/>
      </c>
      <c r="U61" s="5" t="str">
        <f ca="1"/>
        <v/>
      </c>
      <c r="V61" s="5" t="str">
        <f ca="1"/>
        <v/>
      </c>
      <c r="W61" t="str">
        <f ca="1"/>
        <v/>
      </c>
      <c r="X61">
        <f ca="1"/>
        <v>0</v>
      </c>
      <c r="Y61">
        <f ca="1"/>
        <v>0</v>
      </c>
      <c r="Z61" t="str">
        <f ca="1"/>
        <v/>
      </c>
    </row>
    <row r="62" spans="3:26" ht="16.149999999999999" customHeight="1" x14ac:dyDescent="0.25">
      <c r="C62" s="11" t="str">
        <f t="shared" ca="1" si="0"/>
        <v>600_Umsetzungs- Schwerpunktberatung Energie</v>
      </c>
      <c r="D62" s="5">
        <f ca="1"/>
        <v>56</v>
      </c>
      <c r="E62" s="5">
        <f ca="1"/>
        <v>600</v>
      </c>
      <c r="F62" s="5" t="str">
        <f ca="1"/>
        <v>x</v>
      </c>
      <c r="G62" s="5" t="str">
        <f ca="1"/>
        <v>Umsetzungs- Schwerpunktberatung Energie</v>
      </c>
      <c r="H62" s="5" t="str">
        <f ca="1"/>
        <v>Irish Pub &amp; Restaurant Foggy mix</v>
      </c>
      <c r="I62" s="5" t="str">
        <f ca="1"/>
        <v>Bernhard</v>
      </c>
      <c r="J62" s="5" t="str">
        <f ca="1"/>
        <v>Zimmerl</v>
      </c>
      <c r="K62" s="5" t="str">
        <f ca="1"/>
        <v>zimmerl@foggy-mix.at</v>
      </c>
      <c r="L62" s="5">
        <f ca="1"/>
        <v>0</v>
      </c>
      <c r="M62" s="5">
        <f ca="1"/>
        <v>3830</v>
      </c>
      <c r="N62" s="5" t="str">
        <f ca="1"/>
        <v>Waidhofen an der Thaya</v>
      </c>
      <c r="O62" s="5" t="str">
        <f ca="1"/>
        <v>Heidenreichsteinerstraße</v>
      </c>
      <c r="P62" s="5">
        <f ca="1"/>
        <v>28</v>
      </c>
      <c r="Q62" s="5" t="str">
        <f ca="1"/>
        <v/>
      </c>
      <c r="R62" s="5" t="str">
        <f ca="1"/>
        <v/>
      </c>
      <c r="S62" s="5" t="str">
        <f ca="1"/>
        <v/>
      </c>
      <c r="T62" s="5" t="str">
        <f ca="1"/>
        <v/>
      </c>
      <c r="U62" s="5" t="str">
        <f ca="1"/>
        <v/>
      </c>
      <c r="V62" s="5" t="str">
        <f ca="1"/>
        <v/>
      </c>
      <c r="W62" t="str">
        <f ca="1"/>
        <v/>
      </c>
      <c r="X62">
        <f ca="1"/>
        <v>0</v>
      </c>
      <c r="Y62">
        <f ca="1"/>
        <v>0</v>
      </c>
      <c r="Z62" t="str">
        <f ca="1"/>
        <v/>
      </c>
    </row>
    <row r="63" spans="3:26" ht="16.149999999999999" customHeight="1" x14ac:dyDescent="0.25">
      <c r="C63" s="11" t="str">
        <f t="shared" ca="1" si="0"/>
        <v>395_Kurzberatung (Datenerhebung- Auswertung, Umstellung auf LED Beleuchtung, Dämmung Heizungsrohre, Implementierung EMS)</v>
      </c>
      <c r="D63" s="5">
        <f ca="1"/>
        <v>57</v>
      </c>
      <c r="E63" s="5">
        <f ca="1"/>
        <v>395</v>
      </c>
      <c r="F63" s="5" t="str">
        <f ca="1"/>
        <v>x</v>
      </c>
      <c r="G63" s="5" t="str">
        <f ca="1"/>
        <v>Kurzberatung (Datenerhebung- Auswertung, Umstellung auf LED Beleuchtung, Dämmung Heizungsrohre, Implementierung EMS)</v>
      </c>
      <c r="H63" s="5" t="str">
        <f ca="1"/>
        <v>Intersport Ruby GmbH</v>
      </c>
      <c r="I63" s="5" t="str">
        <f ca="1"/>
        <v>Doris</v>
      </c>
      <c r="J63" s="5" t="str">
        <f ca="1"/>
        <v>Lamatsch</v>
      </c>
      <c r="K63" s="5" t="str">
        <f ca="1"/>
        <v>02842 / 52136</v>
      </c>
      <c r="L63" s="5" t="str">
        <f ca="1"/>
        <v>doris@intersport-ruby.at</v>
      </c>
      <c r="M63" s="5">
        <f ca="1"/>
        <v>3830</v>
      </c>
      <c r="N63" s="5" t="str">
        <f ca="1"/>
        <v>Waidhofen an der Thaya</v>
      </c>
      <c r="O63" s="5" t="str">
        <f ca="1"/>
        <v>Thayapark-Straße</v>
      </c>
      <c r="P63" s="5">
        <f ca="1"/>
        <v>2</v>
      </c>
      <c r="Q63" s="5" t="str">
        <f ca="1"/>
        <v/>
      </c>
      <c r="R63" s="5" t="str">
        <f ca="1"/>
        <v/>
      </c>
      <c r="S63" s="5" t="str">
        <f ca="1"/>
        <v/>
      </c>
      <c r="T63" s="5" t="str">
        <f ca="1"/>
        <v/>
      </c>
      <c r="U63" s="5" t="str">
        <f ca="1"/>
        <v/>
      </c>
      <c r="V63" s="5" t="str">
        <f ca="1"/>
        <v/>
      </c>
      <c r="W63" t="str">
        <f ca="1"/>
        <v/>
      </c>
      <c r="X63">
        <f ca="1"/>
        <v>0</v>
      </c>
      <c r="Y63">
        <f ca="1"/>
        <v>0</v>
      </c>
      <c r="Z63" t="str">
        <f ca="1"/>
        <v/>
      </c>
    </row>
    <row r="64" spans="3:26" ht="16.149999999999999" customHeight="1" x14ac:dyDescent="0.25">
      <c r="C64" s="11" t="str">
        <f t="shared" ca="1" si="0"/>
        <v>550_Umsetzungs-Schwerpunktberatung Energie</v>
      </c>
      <c r="D64" s="5">
        <f ca="1"/>
        <v>58</v>
      </c>
      <c r="E64" s="5">
        <f ca="1"/>
        <v>550</v>
      </c>
      <c r="F64" s="5" t="str">
        <f ca="1"/>
        <v>x</v>
      </c>
      <c r="G64" s="5" t="str">
        <f ca="1"/>
        <v>Umsetzungs-Schwerpunktberatung Energie</v>
      </c>
      <c r="H64" s="5" t="str">
        <f ca="1"/>
        <v>Kirchenwirt</v>
      </c>
      <c r="I64" s="5" t="str">
        <f ca="1"/>
        <v>Klaus</v>
      </c>
      <c r="J64" s="5" t="str">
        <f ca="1"/>
        <v>Jöch</v>
      </c>
      <c r="K64" s="5" t="str">
        <f ca="1"/>
        <v/>
      </c>
      <c r="L64" s="5">
        <f ca="1"/>
        <v>0</v>
      </c>
      <c r="M64" s="5">
        <f ca="1"/>
        <v>3830</v>
      </c>
      <c r="N64" s="5" t="str">
        <f ca="1"/>
        <v>Waidhofen an der Thaya</v>
      </c>
      <c r="O64" s="5" t="str">
        <f ca="1"/>
        <v>Schlossergasse</v>
      </c>
      <c r="P64" s="5">
        <f ca="1"/>
        <v>12</v>
      </c>
      <c r="Q64" s="5" t="str">
        <f ca="1"/>
        <v/>
      </c>
      <c r="R64" s="5" t="str">
        <f ca="1"/>
        <v/>
      </c>
      <c r="S64" s="5" t="str">
        <f ca="1"/>
        <v/>
      </c>
      <c r="T64" s="5" t="str">
        <f ca="1"/>
        <v/>
      </c>
      <c r="U64" s="5" t="str">
        <f ca="1"/>
        <v/>
      </c>
      <c r="V64" s="5" t="str">
        <f ca="1"/>
        <v/>
      </c>
      <c r="W64" t="str">
        <f ca="1"/>
        <v/>
      </c>
      <c r="X64">
        <f ca="1"/>
        <v>0</v>
      </c>
      <c r="Y64">
        <f ca="1"/>
        <v>0</v>
      </c>
      <c r="Z64" t="str">
        <f ca="1"/>
        <v/>
      </c>
    </row>
    <row r="65" spans="3:26" ht="16.149999999999999" customHeight="1" x14ac:dyDescent="0.25">
      <c r="C65" s="11" t="str">
        <f t="shared" ca="1" si="0"/>
        <v>348_Umsetzungs- Schwerpunktberatung Energie</v>
      </c>
      <c r="D65" s="5">
        <f ca="1"/>
        <v>59</v>
      </c>
      <c r="E65" s="5">
        <f ca="1"/>
        <v>348</v>
      </c>
      <c r="F65" s="5" t="str">
        <f ca="1"/>
        <v>x</v>
      </c>
      <c r="G65" s="5" t="str">
        <f ca="1"/>
        <v>Umsetzungs- Schwerpunktberatung Energie</v>
      </c>
      <c r="H65" s="5" t="str">
        <f ca="1"/>
        <v>Baumhauer &amp; Söhne GmbH</v>
      </c>
      <c r="I65" s="5" t="str">
        <f ca="1"/>
        <v>Sascha</v>
      </c>
      <c r="J65" s="5" t="str">
        <f ca="1"/>
        <v>Baumhauer</v>
      </c>
      <c r="K65" s="5" t="str">
        <f ca="1"/>
        <v>02913 / 272-22</v>
      </c>
      <c r="L65" s="5" t="str">
        <f ca="1"/>
        <v>sascha@baumhauer.at</v>
      </c>
      <c r="M65" s="5">
        <f ca="1"/>
        <v>3753</v>
      </c>
      <c r="N65" s="5" t="str">
        <f ca="1"/>
        <v>Geras</v>
      </c>
      <c r="O65" s="5" t="str">
        <f ca="1"/>
        <v>Dallein</v>
      </c>
      <c r="P65" s="5">
        <f ca="1"/>
        <v>53</v>
      </c>
      <c r="Q65" s="5" t="str">
        <f ca="1"/>
        <v/>
      </c>
      <c r="R65" s="5" t="str">
        <f ca="1"/>
        <v/>
      </c>
      <c r="S65" s="5" t="str">
        <f ca="1"/>
        <v/>
      </c>
      <c r="T65" s="5" t="str">
        <f ca="1"/>
        <v/>
      </c>
      <c r="U65" s="5" t="str">
        <f ca="1"/>
        <v/>
      </c>
      <c r="V65" s="5" t="str">
        <f ca="1"/>
        <v/>
      </c>
      <c r="W65" t="str">
        <f ca="1"/>
        <v/>
      </c>
      <c r="X65">
        <f ca="1"/>
        <v>0</v>
      </c>
      <c r="Y65">
        <f ca="1"/>
        <v>0</v>
      </c>
      <c r="Z65" t="str">
        <f ca="1"/>
        <v/>
      </c>
    </row>
    <row r="66" spans="3:26" ht="16.149999999999999" customHeight="1" x14ac:dyDescent="0.25">
      <c r="C66" s="11" t="str">
        <f t="shared" ca="1" si="0"/>
        <v>618_Konzepterstellung Aufbau Fernwärmeversorgung</v>
      </c>
      <c r="D66" s="5">
        <f ca="1"/>
        <v>60</v>
      </c>
      <c r="E66" s="5">
        <f ca="1"/>
        <v>618</v>
      </c>
      <c r="F66" s="5" t="str">
        <f ca="1"/>
        <v>x</v>
      </c>
      <c r="G66" s="5" t="str">
        <f ca="1"/>
        <v>Konzepterstellung Aufbau Fernwärmeversorgung</v>
      </c>
      <c r="H66" s="5" t="str">
        <f ca="1"/>
        <v>Tischlerei Lamprecht OG</v>
      </c>
      <c r="I66" s="5">
        <f ca="1"/>
        <v>0</v>
      </c>
      <c r="J66" s="5">
        <f ca="1"/>
        <v>0</v>
      </c>
      <c r="K66" s="5" t="str">
        <f ca="1"/>
        <v/>
      </c>
      <c r="L66" s="5">
        <f ca="1"/>
        <v>0</v>
      </c>
      <c r="M66" s="5">
        <f ca="1"/>
        <v>3834</v>
      </c>
      <c r="N66" s="5" t="str">
        <f ca="1"/>
        <v>Dobersberg</v>
      </c>
      <c r="O66" s="5" t="str">
        <f ca="1"/>
        <v>Merkengersch</v>
      </c>
      <c r="P66" s="5">
        <f ca="1"/>
        <v>33</v>
      </c>
      <c r="Q66" s="5" t="str">
        <f ca="1"/>
        <v/>
      </c>
      <c r="R66" s="5" t="str">
        <f ca="1"/>
        <v/>
      </c>
      <c r="S66" s="5" t="str">
        <f ca="1"/>
        <v/>
      </c>
      <c r="T66" s="5" t="str">
        <f ca="1"/>
        <v/>
      </c>
      <c r="U66" s="5" t="str">
        <f ca="1"/>
        <v/>
      </c>
      <c r="V66" s="5" t="str">
        <f ca="1"/>
        <v/>
      </c>
      <c r="W66" t="str">
        <f ca="1"/>
        <v/>
      </c>
      <c r="X66">
        <f ca="1"/>
        <v>0</v>
      </c>
      <c r="Y66">
        <f ca="1"/>
        <v>0</v>
      </c>
      <c r="Z66" t="str">
        <f ca="1"/>
        <v/>
      </c>
    </row>
    <row r="67" spans="3:26" ht="16.149999999999999" customHeight="1" x14ac:dyDescent="0.25">
      <c r="C67" s="11" t="str">
        <f t="shared" ca="1" si="0"/>
        <v>561_Umsetzungs-Schwerpunktberatung Energie, PV-Anlgae</v>
      </c>
      <c r="D67" s="5">
        <f ca="1"/>
        <v>61</v>
      </c>
      <c r="E67" s="5">
        <f ca="1"/>
        <v>561</v>
      </c>
      <c r="F67" s="5" t="str">
        <f ca="1"/>
        <v>x</v>
      </c>
      <c r="G67" s="5" t="str">
        <f ca="1"/>
        <v>Umsetzungs-Schwerpunktberatung Energie, PV-Anlgae</v>
      </c>
      <c r="H67" s="5" t="str">
        <f ca="1"/>
        <v>Reinhard Weingartner</v>
      </c>
      <c r="I67" s="5" t="str">
        <f ca="1"/>
        <v>Reinhard</v>
      </c>
      <c r="J67" s="5" t="str">
        <f ca="1"/>
        <v>Weingartner</v>
      </c>
      <c r="K67" s="5" t="str">
        <f ca="1"/>
        <v/>
      </c>
      <c r="L67" s="5">
        <f ca="1"/>
        <v>0</v>
      </c>
      <c r="M67" s="5">
        <f ca="1"/>
        <v>3713</v>
      </c>
      <c r="N67" s="5" t="str">
        <f ca="1"/>
        <v>Burgschleinitz-Kühnring</v>
      </c>
      <c r="O67" s="5" t="str">
        <f ca="1"/>
        <v>Reinprechtspölla</v>
      </c>
      <c r="P67" s="5">
        <f ca="1"/>
        <v>41</v>
      </c>
      <c r="Q67" s="5" t="str">
        <f ca="1"/>
        <v/>
      </c>
      <c r="R67" s="5" t="str">
        <f ca="1"/>
        <v/>
      </c>
      <c r="S67" s="5" t="str">
        <f ca="1"/>
        <v/>
      </c>
      <c r="T67" s="5" t="str">
        <f ca="1"/>
        <v/>
      </c>
      <c r="U67" s="5" t="str">
        <f ca="1"/>
        <v/>
      </c>
      <c r="V67" s="5" t="str">
        <f ca="1"/>
        <v/>
      </c>
      <c r="W67" t="str">
        <f ca="1"/>
        <v/>
      </c>
      <c r="X67">
        <f ca="1"/>
        <v>0</v>
      </c>
      <c r="Y67">
        <f ca="1"/>
        <v>0</v>
      </c>
      <c r="Z67" t="str">
        <f ca="1"/>
        <v/>
      </c>
    </row>
    <row r="68" spans="3:26" ht="16.149999999999999" customHeight="1" x14ac:dyDescent="0.25">
      <c r="C68" s="11" t="str">
        <f t="shared" ca="1" si="0"/>
        <v>302_Hilfe bei Umstieg auf E-Mobilität &amp; Konzepterstellung Energieeffizienz- und Einsparmaßnahmen</v>
      </c>
      <c r="D68" s="5">
        <f ca="1"/>
        <v>62</v>
      </c>
      <c r="E68" s="5">
        <f ca="1"/>
        <v>302</v>
      </c>
      <c r="F68" s="5" t="str">
        <f ca="1"/>
        <v>x</v>
      </c>
      <c r="G68" s="5" t="str">
        <f ca="1"/>
        <v>Hilfe bei Umstieg auf E-Mobilität &amp; Konzepterstellung Energieeffizienz- und Einsparmaßnahmen</v>
      </c>
      <c r="H68" s="5" t="str">
        <f ca="1"/>
        <v>EDV Beratung</v>
      </c>
      <c r="I68" s="5" t="str">
        <f ca="1"/>
        <v>Christian</v>
      </c>
      <c r="J68" s="5" t="str">
        <f ca="1"/>
        <v>Gantner</v>
      </c>
      <c r="K68" s="5" t="str">
        <f ca="1"/>
        <v/>
      </c>
      <c r="L68" s="5">
        <f ca="1"/>
        <v>0</v>
      </c>
      <c r="M68" s="5">
        <f ca="1"/>
        <v>3592</v>
      </c>
      <c r="N68" s="5" t="str">
        <f ca="1"/>
        <v>Röhrenbach</v>
      </c>
      <c r="O68" s="5" t="str">
        <f ca="1"/>
        <v>Röhrenbach</v>
      </c>
      <c r="P68" s="5">
        <f ca="1"/>
        <v>35</v>
      </c>
      <c r="Q68" s="5" t="str">
        <f ca="1"/>
        <v/>
      </c>
      <c r="R68" s="5" t="str">
        <f ca="1"/>
        <v/>
      </c>
      <c r="S68" s="5" t="str">
        <f ca="1"/>
        <v/>
      </c>
      <c r="T68" s="5" t="str">
        <f ca="1"/>
        <v/>
      </c>
      <c r="U68" s="5" t="str">
        <f ca="1"/>
        <v/>
      </c>
      <c r="V68" s="5" t="str">
        <f ca="1"/>
        <v/>
      </c>
      <c r="W68" t="str">
        <f ca="1"/>
        <v/>
      </c>
      <c r="X68">
        <f ca="1"/>
        <v>0</v>
      </c>
      <c r="Y68">
        <f ca="1"/>
        <v>0</v>
      </c>
      <c r="Z68" t="str">
        <f ca="1"/>
        <v/>
      </c>
    </row>
    <row r="69" spans="3:26" ht="16.149999999999999" customHeight="1" x14ac:dyDescent="0.25">
      <c r="C69" s="11" t="str">
        <f t="shared" ca="1" si="1"/>
        <v>673_Hilfe Konzepterstellung für PV-Anlage inkl. Unterstützung bei Förderungen</v>
      </c>
      <c r="D69" s="5">
        <f ca="1"/>
        <v>63</v>
      </c>
      <c r="E69" s="5">
        <f ca="1"/>
        <v>673</v>
      </c>
      <c r="F69" s="5" t="str">
        <f ca="1"/>
        <v>x</v>
      </c>
      <c r="G69" s="5" t="str">
        <f ca="1"/>
        <v>Hilfe Konzepterstellung für PV-Anlage inkl. Unterstützung bei Förderungen</v>
      </c>
      <c r="H69" s="5" t="str">
        <f ca="1"/>
        <v>Silberbauer Bandfabrik</v>
      </c>
      <c r="I69" s="5" t="str">
        <f ca="1"/>
        <v>Ulrich</v>
      </c>
      <c r="J69" s="5" t="str">
        <f ca="1"/>
        <v>Achleitner</v>
      </c>
      <c r="K69" s="5" t="str">
        <f ca="1"/>
        <v/>
      </c>
      <c r="L69" s="5">
        <f ca="1"/>
        <v>0</v>
      </c>
      <c r="M69" s="5">
        <f ca="1"/>
        <v>3812</v>
      </c>
      <c r="N69" s="5" t="str">
        <f ca="1"/>
        <v>Groß-Siegharts</v>
      </c>
      <c r="O69" s="5" t="str">
        <f ca="1"/>
        <v>Privatstraße</v>
      </c>
      <c r="P69" s="5">
        <f ca="1"/>
        <v>2</v>
      </c>
      <c r="Q69" s="5" t="str">
        <f ca="1"/>
        <v/>
      </c>
      <c r="R69" s="5" t="str">
        <f ca="1"/>
        <v/>
      </c>
      <c r="S69" s="5" t="str">
        <f ca="1"/>
        <v/>
      </c>
      <c r="T69" s="5" t="str">
        <f ca="1"/>
        <v/>
      </c>
      <c r="U69" s="5" t="str">
        <f ca="1"/>
        <v/>
      </c>
      <c r="V69" s="5" t="str">
        <f ca="1"/>
        <v/>
      </c>
      <c r="W69" t="str">
        <f ca="1"/>
        <v/>
      </c>
      <c r="X69">
        <f ca="1"/>
        <v>0</v>
      </c>
      <c r="Y69">
        <f ca="1"/>
        <v>0</v>
      </c>
      <c r="Z69" t="str">
        <f ca="1"/>
        <v/>
      </c>
    </row>
    <row r="70" spans="3:26" ht="16.149999999999999" customHeight="1" x14ac:dyDescent="0.25">
      <c r="C70" s="11" t="str">
        <f t="shared" ca="1" si="0"/>
        <v>671_Hilfe bei Konzepterstellung PV, Aufstellung Förderungen / Einspeistarife</v>
      </c>
      <c r="D70" s="5">
        <f ca="1"/>
        <v>64</v>
      </c>
      <c r="E70" s="5">
        <f ca="1"/>
        <v>671</v>
      </c>
      <c r="F70" s="5" t="str">
        <f ca="1"/>
        <v>x</v>
      </c>
      <c r="G70" s="5" t="str">
        <f ca="1"/>
        <v>Hilfe bei Konzepterstellung PV, Aufstellung Förderungen / Einspeistarife</v>
      </c>
      <c r="H70" s="5" t="str">
        <f ca="1"/>
        <v>Bäckerei Betz</v>
      </c>
      <c r="I70" s="5" t="str">
        <f ca="1"/>
        <v>Christian</v>
      </c>
      <c r="J70" s="5" t="str">
        <f ca="1"/>
        <v>Betz</v>
      </c>
      <c r="K70" s="5" t="str">
        <f ca="1"/>
        <v/>
      </c>
      <c r="L70" s="5">
        <f ca="1"/>
        <v>0</v>
      </c>
      <c r="M70" s="5">
        <f ca="1"/>
        <v>3943</v>
      </c>
      <c r="N70" s="5" t="str">
        <f ca="1"/>
        <v>Schrems</v>
      </c>
      <c r="O70" s="5" t="str">
        <f ca="1"/>
        <v>Hauptplatz</v>
      </c>
      <c r="P70" s="5">
        <f ca="1"/>
        <v>3</v>
      </c>
      <c r="Q70" s="5" t="str">
        <f ca="1"/>
        <v/>
      </c>
      <c r="R70" s="5" t="str">
        <f ca="1"/>
        <v/>
      </c>
      <c r="S70" s="5" t="str">
        <f ca="1"/>
        <v/>
      </c>
      <c r="T70" s="5" t="str">
        <f ca="1"/>
        <v/>
      </c>
      <c r="U70" s="5" t="str">
        <f ca="1"/>
        <v/>
      </c>
      <c r="V70" s="5" t="str">
        <f ca="1"/>
        <v/>
      </c>
      <c r="W70" t="str">
        <f ca="1"/>
        <v/>
      </c>
      <c r="X70">
        <f ca="1"/>
        <v>0</v>
      </c>
      <c r="Y70">
        <f ca="1"/>
        <v>0</v>
      </c>
      <c r="Z70" t="str">
        <f ca="1"/>
        <v/>
      </c>
    </row>
    <row r="71" spans="3:26" ht="16.149999999999999" customHeight="1" x14ac:dyDescent="0.25">
      <c r="C71" s="11" t="str">
        <f t="shared" ref="C71:C134" ca="1" si="2">IF(E71=0,"",HYPERLINK("H:\Projekte\Projekte aktuell\Sonstige Projekte\1139 - ENSET\AP09_Innolab\Akquise\Datenbank &amp; Liste\"&amp;E71&amp;"_"&amp;G71,E71&amp;"_"&amp;G71))</f>
        <v>666_Hilfe bei Auslegung &amp; Wirtschaftlichkeitsrechnung PV-Anlage inkl. Förderungen</v>
      </c>
      <c r="D71" s="5">
        <f ca="1"/>
        <v>65</v>
      </c>
      <c r="E71" s="5">
        <f ca="1"/>
        <v>666</v>
      </c>
      <c r="F71" s="5" t="str">
        <f ca="1"/>
        <v>x</v>
      </c>
      <c r="G71" s="5" t="str">
        <f ca="1"/>
        <v>Hilfe bei Auslegung &amp; Wirtschaftlichkeitsrechnung PV-Anlage inkl. Förderungen</v>
      </c>
      <c r="H71" s="5" t="str">
        <f ca="1"/>
        <v>Floristik Suchan KG</v>
      </c>
      <c r="I71" s="5" t="str">
        <f ca="1"/>
        <v>Peter</v>
      </c>
      <c r="J71" s="5" t="str">
        <f ca="1"/>
        <v>Suchan</v>
      </c>
      <c r="K71" s="5" t="str">
        <f ca="1"/>
        <v/>
      </c>
      <c r="L71" s="5">
        <f ca="1"/>
        <v>0</v>
      </c>
      <c r="M71" s="5">
        <f ca="1"/>
        <v>3812</v>
      </c>
      <c r="N71" s="5" t="str">
        <f ca="1"/>
        <v>Groß-Siegharts</v>
      </c>
      <c r="O71" s="5" t="str">
        <f ca="1"/>
        <v>Sieghartsles</v>
      </c>
      <c r="P71" s="5">
        <f ca="1"/>
        <v>16</v>
      </c>
      <c r="Q71" s="5" t="str">
        <f ca="1"/>
        <v/>
      </c>
      <c r="R71" s="5" t="str">
        <f ca="1"/>
        <v/>
      </c>
      <c r="S71" s="5" t="str">
        <f ca="1"/>
        <v/>
      </c>
      <c r="T71" s="5" t="str">
        <f ca="1"/>
        <v/>
      </c>
      <c r="U71" s="5" t="str">
        <f ca="1"/>
        <v/>
      </c>
      <c r="V71" s="5" t="str">
        <f ca="1"/>
        <v/>
      </c>
      <c r="W71" t="str">
        <f ca="1"/>
        <v/>
      </c>
      <c r="X71">
        <f ca="1"/>
        <v>0</v>
      </c>
      <c r="Y71">
        <f ca="1"/>
        <v>0</v>
      </c>
      <c r="Z71" t="str">
        <f ca="1"/>
        <v/>
      </c>
    </row>
    <row r="72" spans="3:26" ht="16.149999999999999" customHeight="1" x14ac:dyDescent="0.25">
      <c r="C72" s="11" t="str">
        <f t="shared" ca="1" si="2"/>
        <v>664_Hilfe Konzepterstellung PV-Anlage &amp; Unterstützung möglicher Förderungen</v>
      </c>
      <c r="D72" s="5">
        <f ca="1"/>
        <v>66</v>
      </c>
      <c r="E72" s="5">
        <f ca="1"/>
        <v>664</v>
      </c>
      <c r="F72" s="5" t="str">
        <f ca="1"/>
        <v>x</v>
      </c>
      <c r="G72" s="5" t="str">
        <f ca="1"/>
        <v>Hilfe Konzepterstellung PV-Anlage &amp; Unterstützung möglicher Förderungen</v>
      </c>
      <c r="H72" s="5" t="str">
        <f ca="1"/>
        <v>Raiffeisenbank Schrems</v>
      </c>
      <c r="I72" s="5" t="str">
        <f ca="1"/>
        <v>Walter</v>
      </c>
      <c r="J72" s="5" t="str">
        <f ca="1"/>
        <v>Zwettler</v>
      </c>
      <c r="K72" s="5" t="str">
        <f ca="1"/>
        <v/>
      </c>
      <c r="L72" s="5">
        <f ca="1"/>
        <v>0</v>
      </c>
      <c r="M72" s="5">
        <f ca="1"/>
        <v>3943</v>
      </c>
      <c r="N72" s="5" t="str">
        <f ca="1"/>
        <v>Schrems</v>
      </c>
      <c r="O72" s="5" t="str">
        <f ca="1"/>
        <v>Hauptplatz</v>
      </c>
      <c r="P72" s="5">
        <f ca="1"/>
        <v>22</v>
      </c>
      <c r="Q72" s="5" t="str">
        <f ca="1"/>
        <v/>
      </c>
      <c r="R72" s="5" t="str">
        <f ca="1"/>
        <v/>
      </c>
      <c r="S72" s="5" t="str">
        <f ca="1"/>
        <v/>
      </c>
      <c r="T72" s="5" t="str">
        <f ca="1"/>
        <v/>
      </c>
      <c r="U72" s="5" t="str">
        <f ca="1"/>
        <v/>
      </c>
      <c r="V72" s="5" t="str">
        <f ca="1"/>
        <v/>
      </c>
      <c r="W72" t="str">
        <f ca="1"/>
        <v/>
      </c>
      <c r="X72">
        <f ca="1"/>
        <v>0</v>
      </c>
      <c r="Y72">
        <f ca="1"/>
        <v>0</v>
      </c>
      <c r="Z72" t="str">
        <f ca="1"/>
        <v/>
      </c>
    </row>
    <row r="73" spans="3:26" ht="16.149999999999999" customHeight="1" x14ac:dyDescent="0.25">
      <c r="C73" s="11" t="str">
        <f t="shared" ca="1" si="2"/>
        <v>688_Hilfe Konzepterstellung für Anschluss an Fernwärme-Biomasseheizwerk, Aufstellung möglicher Förderungen</v>
      </c>
      <c r="D73" s="5">
        <f ca="1"/>
        <v>67</v>
      </c>
      <c r="E73" s="5">
        <f ca="1"/>
        <v>688</v>
      </c>
      <c r="F73" s="5" t="str">
        <f ca="1"/>
        <v>x</v>
      </c>
      <c r="G73" s="5" t="str">
        <f ca="1"/>
        <v>Hilfe Konzepterstellung für Anschluss an Fernwärme-Biomasseheizwerk, Aufstellung möglicher Förderungen</v>
      </c>
      <c r="H73" s="5" t="str">
        <f ca="1"/>
        <v>Tischlerei Köck</v>
      </c>
      <c r="I73" s="5" t="str">
        <f ca="1"/>
        <v>Wilfried</v>
      </c>
      <c r="J73" s="5" t="str">
        <f ca="1"/>
        <v>Köck</v>
      </c>
      <c r="K73" s="5" t="str">
        <f ca="1"/>
        <v/>
      </c>
      <c r="L73" s="5">
        <f ca="1"/>
        <v>0</v>
      </c>
      <c r="M73" s="5">
        <f ca="1"/>
        <v>3820</v>
      </c>
      <c r="N73" s="5" t="str">
        <f ca="1"/>
        <v>Raabs an der Thaya</v>
      </c>
      <c r="O73" s="5" t="str">
        <f ca="1"/>
        <v>Zabernreith</v>
      </c>
      <c r="P73" s="5">
        <f ca="1"/>
        <v>15</v>
      </c>
      <c r="Q73" s="5" t="str">
        <f ca="1"/>
        <v/>
      </c>
      <c r="R73" s="5" t="str">
        <f ca="1"/>
        <v/>
      </c>
      <c r="S73" s="5" t="str">
        <f ca="1"/>
        <v/>
      </c>
      <c r="T73" s="5" t="str">
        <f ca="1"/>
        <v/>
      </c>
      <c r="U73" s="5" t="str">
        <f ca="1"/>
        <v/>
      </c>
      <c r="V73" s="5" t="str">
        <f ca="1"/>
        <v/>
      </c>
      <c r="W73" t="str">
        <f ca="1"/>
        <v/>
      </c>
      <c r="X73">
        <f ca="1"/>
        <v>0</v>
      </c>
      <c r="Y73">
        <f ca="1"/>
        <v>0</v>
      </c>
      <c r="Z73" t="str">
        <f ca="1"/>
        <v/>
      </c>
    </row>
    <row r="74" spans="3:26" ht="16.149999999999999" customHeight="1" x14ac:dyDescent="0.25">
      <c r="C74" s="11" t="str">
        <f t="shared" ca="1" si="2"/>
        <v>624_Energie, ÖKO Kurzberatung (Flachdachsanierung)</v>
      </c>
      <c r="D74" s="5">
        <f ca="1"/>
        <v>68</v>
      </c>
      <c r="E74" s="5">
        <f ca="1"/>
        <v>624</v>
      </c>
      <c r="F74" s="5" t="str">
        <f ca="1"/>
        <v>x</v>
      </c>
      <c r="G74" s="5" t="str">
        <f ca="1"/>
        <v>Energie, ÖKO Kurzberatung (Flachdachsanierung)</v>
      </c>
      <c r="H74" s="5" t="str">
        <f ca="1"/>
        <v>Tyco Electronics</v>
      </c>
      <c r="I74" s="5">
        <f ca="1"/>
        <v>0</v>
      </c>
      <c r="J74" s="5">
        <f ca="1"/>
        <v>0</v>
      </c>
      <c r="K74" s="5" t="str">
        <f ca="1"/>
        <v/>
      </c>
      <c r="L74" s="5">
        <f ca="1"/>
        <v>0</v>
      </c>
      <c r="M74" s="5">
        <f ca="1"/>
        <v>3830</v>
      </c>
      <c r="N74" s="5" t="str">
        <f ca="1"/>
        <v>Dimling</v>
      </c>
      <c r="O74" s="5" t="str">
        <f ca="1"/>
        <v>Schrackstraße</v>
      </c>
      <c r="P74" s="5">
        <f ca="1"/>
        <v>1</v>
      </c>
      <c r="Q74" s="5" t="str">
        <f ca="1"/>
        <v/>
      </c>
      <c r="R74" s="5" t="str">
        <f ca="1"/>
        <v/>
      </c>
      <c r="S74" s="5" t="str">
        <f ca="1"/>
        <v/>
      </c>
      <c r="T74" s="5" t="str">
        <f ca="1"/>
        <v/>
      </c>
      <c r="U74" s="5" t="str">
        <f ca="1"/>
        <v/>
      </c>
      <c r="V74" s="5" t="str">
        <f ca="1"/>
        <v/>
      </c>
      <c r="W74" t="str">
        <f ca="1"/>
        <v/>
      </c>
      <c r="X74">
        <f ca="1"/>
        <v>0</v>
      </c>
      <c r="Y74">
        <f ca="1"/>
        <v>0</v>
      </c>
      <c r="Z74" t="str">
        <f ca="1"/>
        <v/>
      </c>
    </row>
    <row r="75" spans="3:26" ht="16.149999999999999" customHeight="1" x14ac:dyDescent="0.25">
      <c r="C75" s="11" t="str">
        <f t="shared" ca="1" si="2"/>
        <v>616_Vergl. Unterschiedlicher Heizungsvarianten, Förderung</v>
      </c>
      <c r="D75" s="5">
        <f ca="1"/>
        <v>69</v>
      </c>
      <c r="E75" s="5">
        <f ca="1"/>
        <v>616</v>
      </c>
      <c r="F75" s="5" t="str">
        <f ca="1"/>
        <v>x</v>
      </c>
      <c r="G75" s="5" t="str">
        <f ca="1"/>
        <v>Vergl. Unterschiedlicher Heizungsvarianten, Förderung</v>
      </c>
      <c r="H75" s="5" t="str">
        <f ca="1"/>
        <v>Henlg Schotter-Asphalt-Recycling GmbH</v>
      </c>
      <c r="I75" s="5">
        <f ca="1"/>
        <v>0</v>
      </c>
      <c r="J75" s="5">
        <f ca="1"/>
        <v>0</v>
      </c>
      <c r="K75" s="5" t="str">
        <f ca="1"/>
        <v/>
      </c>
      <c r="L75" s="5">
        <f ca="1"/>
        <v>0</v>
      </c>
      <c r="M75" s="5">
        <f ca="1"/>
        <v>3721</v>
      </c>
      <c r="N75" s="5" t="str">
        <f ca="1"/>
        <v>Limberg</v>
      </c>
      <c r="O75" s="5">
        <f ca="1"/>
        <v>0</v>
      </c>
      <c r="P75" s="5">
        <f ca="1"/>
        <v>0</v>
      </c>
      <c r="Q75" s="5" t="str">
        <f ca="1"/>
        <v/>
      </c>
      <c r="R75" s="5" t="str">
        <f ca="1"/>
        <v/>
      </c>
      <c r="S75" s="5" t="str">
        <f ca="1"/>
        <v/>
      </c>
      <c r="T75" s="5" t="str">
        <f ca="1"/>
        <v/>
      </c>
      <c r="U75" s="5" t="str">
        <f ca="1"/>
        <v/>
      </c>
      <c r="V75" s="5" t="str">
        <f ca="1"/>
        <v/>
      </c>
      <c r="W75" t="str">
        <f ca="1"/>
        <v/>
      </c>
      <c r="X75">
        <f ca="1"/>
        <v>0</v>
      </c>
      <c r="Y75">
        <f ca="1"/>
        <v>0</v>
      </c>
      <c r="Z75" t="str">
        <f ca="1"/>
        <v/>
      </c>
    </row>
    <row r="76" spans="3:26" ht="16.149999999999999" customHeight="1" x14ac:dyDescent="0.25">
      <c r="C76" s="11" t="str">
        <f t="shared" ca="1" si="2"/>
        <v>613_Konzepterstellung thermische Gebäudesanierung inkl. Fenster</v>
      </c>
      <c r="D76" s="5">
        <f ca="1"/>
        <v>70</v>
      </c>
      <c r="E76" s="5">
        <f ca="1"/>
        <v>613</v>
      </c>
      <c r="F76" s="5" t="str">
        <f ca="1"/>
        <v>x</v>
      </c>
      <c r="G76" s="5" t="str">
        <f ca="1"/>
        <v>Konzepterstellung thermische Gebäudesanierung inkl. Fenster</v>
      </c>
      <c r="H76" s="5" t="str">
        <f ca="1"/>
        <v>Autohaus Klement GmbH</v>
      </c>
      <c r="I76" s="5">
        <f ca="1"/>
        <v>0</v>
      </c>
      <c r="J76" s="5">
        <f ca="1"/>
        <v>0</v>
      </c>
      <c r="K76" s="5" t="str">
        <f ca="1"/>
        <v/>
      </c>
      <c r="L76" s="5">
        <f ca="1"/>
        <v>0</v>
      </c>
      <c r="M76" s="5">
        <f ca="1"/>
        <v>2091</v>
      </c>
      <c r="N76" s="5" t="str">
        <f ca="1"/>
        <v>Oberhöflein</v>
      </c>
      <c r="O76" s="5" t="str">
        <f ca="1"/>
        <v>Oberhöflein</v>
      </c>
      <c r="P76" s="5">
        <f ca="1"/>
        <v>55</v>
      </c>
      <c r="Q76" s="5" t="str">
        <f ca="1"/>
        <v/>
      </c>
      <c r="R76" s="5" t="str">
        <f ca="1"/>
        <v/>
      </c>
      <c r="S76" s="5" t="str">
        <f ca="1"/>
        <v/>
      </c>
      <c r="T76" s="5" t="str">
        <f ca="1"/>
        <v/>
      </c>
      <c r="U76" s="5" t="str">
        <f ca="1"/>
        <v/>
      </c>
      <c r="V76" s="5" t="str">
        <f ca="1"/>
        <v/>
      </c>
      <c r="W76" t="str">
        <f ca="1"/>
        <v/>
      </c>
      <c r="X76">
        <f ca="1"/>
        <v>0</v>
      </c>
      <c r="Y76">
        <f ca="1"/>
        <v>0</v>
      </c>
      <c r="Z76" t="str">
        <f ca="1"/>
        <v/>
      </c>
    </row>
    <row r="77" spans="3:26" ht="16.149999999999999" customHeight="1" x14ac:dyDescent="0.25">
      <c r="C77" s="11" t="str">
        <f t="shared" ca="1" si="2"/>
        <v>612_Konzepterstellung Energieautarkie des Betriebs</v>
      </c>
      <c r="D77" s="5">
        <f ca="1"/>
        <v>71</v>
      </c>
      <c r="E77" s="5">
        <f ca="1"/>
        <v>612</v>
      </c>
      <c r="F77" s="5" t="str">
        <f ca="1"/>
        <v>x</v>
      </c>
      <c r="G77" s="5" t="str">
        <f ca="1"/>
        <v>Konzepterstellung Energieautarkie des Betriebs</v>
      </c>
      <c r="H77" s="5" t="str">
        <f ca="1"/>
        <v>Hochwallner</v>
      </c>
      <c r="I77" s="5" t="str">
        <f ca="1"/>
        <v>Herbert</v>
      </c>
      <c r="J77" s="5" t="str">
        <f ca="1"/>
        <v>Hochwallner</v>
      </c>
      <c r="K77" s="5" t="str">
        <f ca="1"/>
        <v/>
      </c>
      <c r="L77" s="5">
        <f ca="1"/>
        <v>0</v>
      </c>
      <c r="M77" s="5">
        <f ca="1"/>
        <v>0</v>
      </c>
      <c r="N77" s="5">
        <f ca="1"/>
        <v>0</v>
      </c>
      <c r="O77" s="5">
        <f ca="1"/>
        <v>0</v>
      </c>
      <c r="P77" s="5">
        <f ca="1"/>
        <v>0</v>
      </c>
      <c r="Q77" s="5" t="str">
        <f ca="1"/>
        <v/>
      </c>
      <c r="R77" s="5" t="str">
        <f ca="1"/>
        <v/>
      </c>
      <c r="S77" s="5" t="str">
        <f ca="1"/>
        <v/>
      </c>
      <c r="T77" s="5" t="str">
        <f ca="1"/>
        <v/>
      </c>
      <c r="U77" s="5" t="str">
        <f ca="1"/>
        <v/>
      </c>
      <c r="V77" s="5" t="str">
        <f ca="1"/>
        <v/>
      </c>
      <c r="W77" t="str">
        <f ca="1"/>
        <v/>
      </c>
      <c r="X77">
        <f ca="1"/>
        <v>0</v>
      </c>
      <c r="Y77">
        <f ca="1"/>
        <v>0</v>
      </c>
      <c r="Z77" t="str">
        <f ca="1"/>
        <v/>
      </c>
    </row>
    <row r="78" spans="3:26" ht="16.149999999999999" customHeight="1" x14ac:dyDescent="0.25">
      <c r="C78" s="11" t="str">
        <f t="shared" ca="1" si="2"/>
        <v>611_Konzepterstellung für Energieeffizienz und Nachaltigkeitsauswahl der Heizung und des Stromanbieters</v>
      </c>
      <c r="D78" s="5">
        <f ca="1"/>
        <v>72</v>
      </c>
      <c r="E78" s="5">
        <f ca="1"/>
        <v>611</v>
      </c>
      <c r="F78" s="5" t="str">
        <f ca="1"/>
        <v>x</v>
      </c>
      <c r="G78" s="5" t="str">
        <f ca="1"/>
        <v>Konzepterstellung für Energieeffizienz und Nachaltigkeitsauswahl der Heizung und des Stromanbieters</v>
      </c>
      <c r="H78" s="5" t="str">
        <f ca="1"/>
        <v>Metalltechnik Halbwachs</v>
      </c>
      <c r="I78" s="5" t="str">
        <f ca="1"/>
        <v>Manfred</v>
      </c>
      <c r="J78" s="5" t="str">
        <f ca="1"/>
        <v>Halbwachs</v>
      </c>
      <c r="K78" s="5" t="str">
        <f ca="1"/>
        <v/>
      </c>
      <c r="L78" s="5">
        <f ca="1"/>
        <v>0</v>
      </c>
      <c r="M78" s="5">
        <f ca="1"/>
        <v>3240</v>
      </c>
      <c r="N78" s="5" t="str">
        <f ca="1"/>
        <v>Mank</v>
      </c>
      <c r="O78" s="5" t="str">
        <f ca="1"/>
        <v>Schulstraße</v>
      </c>
      <c r="P78" s="5">
        <f ca="1"/>
        <v>23</v>
      </c>
      <c r="Q78" s="5" t="str">
        <f ca="1"/>
        <v/>
      </c>
      <c r="R78" s="5" t="str">
        <f ca="1"/>
        <v/>
      </c>
      <c r="S78" s="5" t="str">
        <f ca="1"/>
        <v/>
      </c>
      <c r="T78" s="5" t="str">
        <f ca="1"/>
        <v/>
      </c>
      <c r="U78" s="5" t="str">
        <f ca="1"/>
        <v/>
      </c>
      <c r="V78" s="5" t="str">
        <f ca="1"/>
        <v/>
      </c>
      <c r="W78" t="str">
        <f ca="1"/>
        <v/>
      </c>
      <c r="X78">
        <f ca="1"/>
        <v>0</v>
      </c>
      <c r="Y78">
        <f ca="1"/>
        <v>0</v>
      </c>
      <c r="Z78" t="str">
        <f ca="1"/>
        <v/>
      </c>
    </row>
    <row r="79" spans="3:26" ht="16.149999999999999" customHeight="1" x14ac:dyDescent="0.25">
      <c r="C79" s="11" t="str">
        <f t="shared" ca="1" si="2"/>
        <v>609_Konzepterstellung für energieeffiziente Optimierung Kleinwasserkraftwerk</v>
      </c>
      <c r="D79" s="5">
        <f ca="1"/>
        <v>73</v>
      </c>
      <c r="E79" s="5">
        <f ca="1"/>
        <v>609</v>
      </c>
      <c r="F79" s="5" t="str">
        <f ca="1"/>
        <v>x</v>
      </c>
      <c r="G79" s="5" t="str">
        <f ca="1"/>
        <v>Konzepterstellung für energieeffiziente Optimierung Kleinwasserkraftwerk</v>
      </c>
      <c r="H79" s="5" t="str">
        <f ca="1"/>
        <v>Leopold Hofstätter GmbH</v>
      </c>
      <c r="I79" s="5">
        <f ca="1"/>
        <v>0</v>
      </c>
      <c r="J79" s="5">
        <f ca="1"/>
        <v>0</v>
      </c>
      <c r="K79" s="5" t="str">
        <f ca="1"/>
        <v/>
      </c>
      <c r="L79" s="5">
        <f ca="1"/>
        <v>0</v>
      </c>
      <c r="M79" s="5">
        <f ca="1"/>
        <v>0</v>
      </c>
      <c r="N79" s="5">
        <f ca="1"/>
        <v>0</v>
      </c>
      <c r="O79" s="5">
        <f ca="1"/>
        <v>0</v>
      </c>
      <c r="P79" s="5">
        <f ca="1"/>
        <v>0</v>
      </c>
      <c r="Q79" s="5" t="str">
        <f ca="1"/>
        <v/>
      </c>
      <c r="R79" s="5" t="str">
        <f ca="1"/>
        <v/>
      </c>
      <c r="S79" s="5" t="str">
        <f ca="1"/>
        <v/>
      </c>
      <c r="T79" s="5" t="str">
        <f ca="1"/>
        <v/>
      </c>
      <c r="U79" s="5" t="str">
        <f ca="1"/>
        <v/>
      </c>
      <c r="V79" s="5" t="str">
        <f ca="1"/>
        <v/>
      </c>
      <c r="W79" t="str">
        <f ca="1"/>
        <v/>
      </c>
      <c r="X79">
        <f ca="1"/>
        <v>0</v>
      </c>
      <c r="Y79">
        <f ca="1"/>
        <v>0</v>
      </c>
      <c r="Z79" t="str">
        <f ca="1"/>
        <v/>
      </c>
    </row>
    <row r="80" spans="3:26" ht="16.149999999999999" customHeight="1" x14ac:dyDescent="0.25">
      <c r="C80" s="11" t="str">
        <f t="shared" ca="1" si="2"/>
        <v>693_Konzepterstellung für Umstellung der Heizung, Unterstützung bei Aufstellung möglicher Förderungen</v>
      </c>
      <c r="D80" s="5">
        <f ca="1"/>
        <v>74</v>
      </c>
      <c r="E80" s="5">
        <f ca="1"/>
        <v>693</v>
      </c>
      <c r="F80" s="5" t="str">
        <f ca="1"/>
        <v>x</v>
      </c>
      <c r="G80" s="5" t="str">
        <f ca="1"/>
        <v>Konzepterstellung für Umstellung der Heizung, Unterstützung bei Aufstellung möglicher Förderungen</v>
      </c>
      <c r="H80" s="5" t="str">
        <f ca="1"/>
        <v>Leitner Gertrude</v>
      </c>
      <c r="I80" s="5" t="str">
        <f ca="1"/>
        <v>Gertrude</v>
      </c>
      <c r="J80" s="5" t="str">
        <f ca="1"/>
        <v>Leitner</v>
      </c>
      <c r="K80" s="5" t="str">
        <f ca="1"/>
        <v/>
      </c>
      <c r="L80" s="5">
        <f ca="1"/>
        <v>0</v>
      </c>
      <c r="M80" s="5">
        <f ca="1"/>
        <v>3962</v>
      </c>
      <c r="N80" s="5" t="str">
        <f ca="1"/>
        <v>Unterlembach</v>
      </c>
      <c r="O80" s="5" t="str">
        <f ca="1"/>
        <v>Unterlembach</v>
      </c>
      <c r="P80" s="5">
        <f ca="1"/>
        <v>20</v>
      </c>
      <c r="Q80" s="5" t="str">
        <f ca="1"/>
        <v/>
      </c>
      <c r="R80" s="5" t="str">
        <f ca="1"/>
        <v/>
      </c>
      <c r="S80" s="5" t="str">
        <f ca="1"/>
        <v/>
      </c>
      <c r="T80" s="5" t="str">
        <f ca="1"/>
        <v/>
      </c>
      <c r="U80" s="5" t="str">
        <f ca="1"/>
        <v/>
      </c>
      <c r="V80" s="5" t="str">
        <f ca="1"/>
        <v/>
      </c>
      <c r="W80" t="str">
        <f ca="1"/>
        <v/>
      </c>
      <c r="X80">
        <f ca="1"/>
        <v>0</v>
      </c>
      <c r="Y80">
        <f ca="1"/>
        <v>0</v>
      </c>
      <c r="Z80" t="str">
        <f ca="1"/>
        <v/>
      </c>
    </row>
    <row r="81" spans="3:26" ht="16.149999999999999" customHeight="1" x14ac:dyDescent="0.25">
      <c r="C81" s="11" t="str">
        <f t="shared" ca="1" si="2"/>
        <v>568_Konzepterstellung für thermische Gebäudesanierung inkl. Umstellung Heizoptimierung</v>
      </c>
      <c r="D81" s="5">
        <f ca="1"/>
        <v>75</v>
      </c>
      <c r="E81" s="5">
        <f ca="1"/>
        <v>568</v>
      </c>
      <c r="F81" s="5" t="str">
        <f ca="1"/>
        <v>x</v>
      </c>
      <c r="G81" s="5" t="str">
        <f ca="1"/>
        <v>Konzepterstellung für thermische Gebäudesanierung inkl. Umstellung Heizoptimierung</v>
      </c>
      <c r="H81" s="5" t="str">
        <f ca="1"/>
        <v>Atuohaus Wais GmbH</v>
      </c>
      <c r="I81" s="5">
        <f ca="1"/>
        <v>0</v>
      </c>
      <c r="J81" s="5">
        <f ca="1"/>
        <v>0</v>
      </c>
      <c r="K81" s="5" t="str">
        <f ca="1"/>
        <v/>
      </c>
      <c r="L81" s="5">
        <f ca="1"/>
        <v>0</v>
      </c>
      <c r="M81" s="5">
        <f ca="1"/>
        <v>3830</v>
      </c>
      <c r="N81" s="5" t="str">
        <f ca="1"/>
        <v>Waidhofen an der Thaya</v>
      </c>
      <c r="O81" s="5" t="str">
        <f ca="1"/>
        <v>Wiener Straße</v>
      </c>
      <c r="P81" s="5">
        <f ca="1"/>
        <v>62</v>
      </c>
      <c r="Q81" s="5" t="str">
        <f ca="1"/>
        <v/>
      </c>
      <c r="R81" s="5" t="str">
        <f ca="1"/>
        <v/>
      </c>
      <c r="S81" s="5" t="str">
        <f ca="1"/>
        <v/>
      </c>
      <c r="T81" s="5" t="str">
        <f ca="1"/>
        <v/>
      </c>
      <c r="U81" s="5" t="str">
        <f ca="1"/>
        <v/>
      </c>
      <c r="V81" s="5" t="str">
        <f ca="1"/>
        <v/>
      </c>
      <c r="W81" t="str">
        <f ca="1"/>
        <v/>
      </c>
      <c r="X81">
        <f ca="1"/>
        <v>0</v>
      </c>
      <c r="Y81">
        <f ca="1"/>
        <v>0</v>
      </c>
      <c r="Z81" t="str">
        <f ca="1"/>
        <v/>
      </c>
    </row>
    <row r="82" spans="3:26" ht="16.149999999999999" customHeight="1" x14ac:dyDescent="0.25">
      <c r="C82" s="11" t="str">
        <f t="shared" ca="1" si="2"/>
        <v>594_Konzepterstellung für Energiespar- und Energieeffiziensmaßnahmen und Optimierung Heizungssystems</v>
      </c>
      <c r="D82" s="5">
        <f ca="1"/>
        <v>76</v>
      </c>
      <c r="E82" s="5">
        <f ca="1"/>
        <v>594</v>
      </c>
      <c r="F82" s="5" t="str">
        <f ca="1"/>
        <v>x</v>
      </c>
      <c r="G82" s="5" t="str">
        <f ca="1"/>
        <v>Konzepterstellung für Energiespar- und Energieeffiziensmaßnahmen und Optimierung Heizungssystems</v>
      </c>
      <c r="H82" s="5" t="str">
        <f ca="1"/>
        <v>Hotel Pichler</v>
      </c>
      <c r="I82" s="5" t="str">
        <f ca="1"/>
        <v>Josef</v>
      </c>
      <c r="J82" s="5" t="str">
        <f ca="1"/>
        <v>Pichler</v>
      </c>
      <c r="K82" s="5" t="str">
        <f ca="1"/>
        <v/>
      </c>
      <c r="L82" s="5">
        <f ca="1"/>
        <v>0</v>
      </c>
      <c r="M82" s="5">
        <f ca="1"/>
        <v>3390</v>
      </c>
      <c r="N82" s="5" t="str">
        <f ca="1"/>
        <v>Melk</v>
      </c>
      <c r="O82" s="5" t="str">
        <f ca="1"/>
        <v>Dorfnerstraße</v>
      </c>
      <c r="P82" s="5">
        <f ca="1"/>
        <v>71</v>
      </c>
      <c r="Q82" s="5" t="str">
        <f ca="1"/>
        <v/>
      </c>
      <c r="R82" s="5" t="str">
        <f ca="1"/>
        <v/>
      </c>
      <c r="S82" s="5" t="str">
        <f ca="1"/>
        <v/>
      </c>
      <c r="T82" s="5" t="str">
        <f ca="1"/>
        <v/>
      </c>
      <c r="U82" s="5" t="str">
        <f ca="1"/>
        <v/>
      </c>
      <c r="V82" s="5" t="str">
        <f ca="1"/>
        <v/>
      </c>
      <c r="W82" t="str">
        <f ca="1"/>
        <v/>
      </c>
      <c r="X82">
        <f ca="1"/>
        <v>0</v>
      </c>
      <c r="Y82">
        <f ca="1"/>
        <v>0</v>
      </c>
      <c r="Z82" t="str">
        <f ca="1"/>
        <v/>
      </c>
    </row>
    <row r="83" spans="3:26" ht="16.149999999999999" customHeight="1" x14ac:dyDescent="0.25">
      <c r="C83" s="11" t="str">
        <f t="shared" ca="1" si="2"/>
        <v>593_Vergl. Unterschiedlicher Heizungsvarianten, Thermische Solaranlage, Förderung</v>
      </c>
      <c r="D83" s="5">
        <f ca="1"/>
        <v>77</v>
      </c>
      <c r="E83" s="5">
        <f ca="1"/>
        <v>593</v>
      </c>
      <c r="F83" s="5" t="str">
        <f ca="1"/>
        <v>x</v>
      </c>
      <c r="G83" s="5" t="str">
        <f ca="1"/>
        <v>Vergl. Unterschiedlicher Heizungsvarianten, Thermische Solaranlage, Förderung</v>
      </c>
      <c r="H83" s="5" t="str">
        <f ca="1"/>
        <v>Riedl Siegfried</v>
      </c>
      <c r="I83" s="5">
        <f ca="1"/>
        <v>0</v>
      </c>
      <c r="J83" s="5">
        <f ca="1"/>
        <v>0</v>
      </c>
      <c r="K83" s="5" t="str">
        <f ca="1"/>
        <v/>
      </c>
      <c r="L83" s="5">
        <f ca="1"/>
        <v>0</v>
      </c>
      <c r="M83" s="5">
        <f ca="1"/>
        <v>3863</v>
      </c>
      <c r="N83" s="5" t="str">
        <f ca="1"/>
        <v>Leopoldsdorf</v>
      </c>
      <c r="O83" s="5">
        <f ca="1"/>
        <v>0</v>
      </c>
      <c r="P83" s="5">
        <f ca="1"/>
        <v>0</v>
      </c>
      <c r="Q83" s="5" t="str">
        <f ca="1"/>
        <v/>
      </c>
      <c r="R83" s="5" t="str">
        <f ca="1"/>
        <v/>
      </c>
      <c r="S83" s="5" t="str">
        <f ca="1"/>
        <v/>
      </c>
      <c r="T83" s="5" t="str">
        <f ca="1"/>
        <v/>
      </c>
      <c r="U83" s="5" t="str">
        <f ca="1"/>
        <v/>
      </c>
      <c r="V83" s="5" t="str">
        <f ca="1"/>
        <v/>
      </c>
      <c r="W83" t="str">
        <f ca="1"/>
        <v/>
      </c>
      <c r="X83">
        <f ca="1"/>
        <v>0</v>
      </c>
      <c r="Y83">
        <f ca="1"/>
        <v>0</v>
      </c>
      <c r="Z83" t="str">
        <f ca="1"/>
        <v/>
      </c>
    </row>
    <row r="84" spans="3:26" ht="16.149999999999999" customHeight="1" x14ac:dyDescent="0.25">
      <c r="C84" s="11" t="str">
        <f t="shared" ca="1" si="2"/>
        <v>590_Konzepterstellung für Umstellung der Heizung, Auslegung PV-Anlage</v>
      </c>
      <c r="D84" s="5">
        <f ca="1"/>
        <v>78</v>
      </c>
      <c r="E84" s="5">
        <f ca="1"/>
        <v>590</v>
      </c>
      <c r="F84" s="5" t="str">
        <f ca="1"/>
        <v>x</v>
      </c>
      <c r="G84" s="5" t="str">
        <f ca="1"/>
        <v>Konzepterstellung für Umstellung der Heizung, Auslegung PV-Anlage</v>
      </c>
      <c r="H84" s="5" t="str">
        <f ca="1"/>
        <v>Böhm GmbH</v>
      </c>
      <c r="I84" s="5">
        <f ca="1"/>
        <v>0</v>
      </c>
      <c r="J84" s="5">
        <f ca="1"/>
        <v>0</v>
      </c>
      <c r="K84" s="5" t="str">
        <f ca="1"/>
        <v/>
      </c>
      <c r="L84" s="5">
        <f ca="1"/>
        <v>0</v>
      </c>
      <c r="M84" s="5">
        <f ca="1"/>
        <v>0</v>
      </c>
      <c r="N84" s="5">
        <f ca="1"/>
        <v>0</v>
      </c>
      <c r="O84" s="5">
        <f ca="1"/>
        <v>0</v>
      </c>
      <c r="P84" s="5">
        <f ca="1"/>
        <v>0</v>
      </c>
      <c r="Q84" s="5" t="str">
        <f ca="1"/>
        <v/>
      </c>
      <c r="R84" s="5" t="str">
        <f ca="1"/>
        <v/>
      </c>
      <c r="S84" s="5" t="str">
        <f ca="1"/>
        <v/>
      </c>
      <c r="T84" s="5" t="str">
        <f ca="1"/>
        <v/>
      </c>
      <c r="U84" s="5" t="str">
        <f ca="1"/>
        <v/>
      </c>
      <c r="V84" s="5" t="str">
        <f ca="1"/>
        <v/>
      </c>
      <c r="W84" t="str">
        <f ca="1"/>
        <v/>
      </c>
      <c r="X84">
        <f ca="1"/>
        <v>0</v>
      </c>
      <c r="Y84">
        <f ca="1"/>
        <v>0</v>
      </c>
      <c r="Z84" t="str">
        <f ca="1"/>
        <v/>
      </c>
    </row>
    <row r="85" spans="3:26" ht="16.149999999999999" customHeight="1" x14ac:dyDescent="0.25">
      <c r="C85" s="11" t="str">
        <f t="shared" ca="1" si="2"/>
        <v>587_Förderung, PV-Anlage</v>
      </c>
      <c r="D85" s="5">
        <f ca="1"/>
        <v>79</v>
      </c>
      <c r="E85" s="5">
        <f ca="1"/>
        <v>587</v>
      </c>
      <c r="F85" s="5" t="str">
        <f ca="1"/>
        <v>x</v>
      </c>
      <c r="G85" s="5" t="str">
        <f ca="1"/>
        <v>Förderung, PV-Anlage</v>
      </c>
      <c r="H85" s="5" t="str">
        <f ca="1"/>
        <v>Holzbau Willibald Longin GmbH</v>
      </c>
      <c r="I85" s="5">
        <f ca="1"/>
        <v>0</v>
      </c>
      <c r="J85" s="5">
        <f ca="1"/>
        <v>0</v>
      </c>
      <c r="K85" s="5" t="str">
        <f ca="1"/>
        <v/>
      </c>
      <c r="L85" s="5">
        <f ca="1"/>
        <v>0</v>
      </c>
      <c r="M85" s="5">
        <f ca="1"/>
        <v>3843</v>
      </c>
      <c r="N85" s="5" t="str">
        <f ca="1"/>
        <v>Dobersberg</v>
      </c>
      <c r="O85" s="5">
        <f ca="1"/>
        <v>0</v>
      </c>
      <c r="P85" s="5">
        <f ca="1"/>
        <v>0</v>
      </c>
      <c r="Q85" s="5" t="str">
        <f ca="1"/>
        <v/>
      </c>
      <c r="R85" s="5" t="str">
        <f ca="1"/>
        <v/>
      </c>
      <c r="S85" s="5" t="str">
        <f ca="1"/>
        <v/>
      </c>
      <c r="T85" s="5" t="str">
        <f ca="1"/>
        <v/>
      </c>
      <c r="U85" s="5" t="str">
        <f ca="1"/>
        <v/>
      </c>
      <c r="V85" s="5" t="str">
        <f ca="1"/>
        <v/>
      </c>
      <c r="W85" t="str">
        <f ca="1"/>
        <v/>
      </c>
      <c r="X85">
        <f ca="1"/>
        <v>0</v>
      </c>
      <c r="Y85">
        <f ca="1"/>
        <v>0</v>
      </c>
      <c r="Z85" t="str">
        <f ca="1"/>
        <v/>
      </c>
    </row>
    <row r="86" spans="3:26" ht="16.149999999999999" customHeight="1" x14ac:dyDescent="0.25">
      <c r="C86" s="11" t="str">
        <f t="shared" ca="1" si="2"/>
        <v>579_Konzepterstellung für Energiesparmaßnahmen am Firmengebäude inkl. Tausch der Heizungsanlage</v>
      </c>
      <c r="D86" s="5">
        <f ca="1"/>
        <v>80</v>
      </c>
      <c r="E86" s="5">
        <f ca="1"/>
        <v>579</v>
      </c>
      <c r="F86" s="5" t="str">
        <f ca="1"/>
        <v>x</v>
      </c>
      <c r="G86" s="5" t="str">
        <f ca="1"/>
        <v>Konzepterstellung für Energiesparmaßnahmen am Firmengebäude inkl. Tausch der Heizungsanlage</v>
      </c>
      <c r="H86" s="5" t="str">
        <f ca="1"/>
        <v>Gross</v>
      </c>
      <c r="I86" s="5" t="str">
        <f ca="1"/>
        <v>Günther</v>
      </c>
      <c r="J86" s="5" t="str">
        <f ca="1"/>
        <v>Gross</v>
      </c>
      <c r="K86" s="5" t="str">
        <f ca="1"/>
        <v/>
      </c>
      <c r="L86" s="5">
        <f ca="1"/>
        <v>0</v>
      </c>
      <c r="M86" s="5">
        <f ca="1"/>
        <v>3830</v>
      </c>
      <c r="N86" s="5" t="str">
        <f ca="1"/>
        <v>Vestenpoppen</v>
      </c>
      <c r="O86" s="5" t="str">
        <f ca="1"/>
        <v>Vestenpoppen</v>
      </c>
      <c r="P86" s="5">
        <f ca="1"/>
        <v>11</v>
      </c>
      <c r="Q86" s="5" t="str">
        <f ca="1"/>
        <v/>
      </c>
      <c r="R86" s="5" t="str">
        <f ca="1"/>
        <v/>
      </c>
      <c r="S86" s="5" t="str">
        <f ca="1"/>
        <v/>
      </c>
      <c r="T86" s="5" t="str">
        <f ca="1"/>
        <v/>
      </c>
      <c r="U86" s="5" t="str">
        <f ca="1"/>
        <v/>
      </c>
      <c r="V86" s="5" t="str">
        <f ca="1"/>
        <v/>
      </c>
      <c r="W86" t="str">
        <f ca="1"/>
        <v/>
      </c>
      <c r="X86">
        <f ca="1"/>
        <v>0</v>
      </c>
      <c r="Y86">
        <f ca="1"/>
        <v>0</v>
      </c>
      <c r="Z86" t="str">
        <f ca="1"/>
        <v/>
      </c>
    </row>
    <row r="87" spans="3:26" ht="16.149999999999999" customHeight="1" x14ac:dyDescent="0.25">
      <c r="C87" s="11" t="str">
        <f t="shared" ca="1" si="2"/>
        <v>576_Konzepterstellung im Zuge geplanter Heizungsoptimierung</v>
      </c>
      <c r="D87" s="5">
        <f ca="1"/>
        <v>81</v>
      </c>
      <c r="E87" s="5">
        <f ca="1"/>
        <v>576</v>
      </c>
      <c r="F87" s="5" t="str">
        <f ca="1"/>
        <v>x</v>
      </c>
      <c r="G87" s="5" t="str">
        <f ca="1"/>
        <v>Konzepterstellung im Zuge geplanter Heizungsoptimierung</v>
      </c>
      <c r="H87" s="5" t="str">
        <f ca="1"/>
        <v>Murhamer</v>
      </c>
      <c r="I87" s="5" t="str">
        <f ca="1"/>
        <v>Werner</v>
      </c>
      <c r="J87" s="5" t="str">
        <f ca="1"/>
        <v>Murhamer</v>
      </c>
      <c r="K87" s="5" t="str">
        <f ca="1"/>
        <v/>
      </c>
      <c r="L87" s="5">
        <f ca="1"/>
        <v>0</v>
      </c>
      <c r="M87" s="5">
        <f ca="1"/>
        <v>3720</v>
      </c>
      <c r="N87" s="5" t="str">
        <f ca="1"/>
        <v>Ravelsbach</v>
      </c>
      <c r="O87" s="5" t="str">
        <f ca="1"/>
        <v>Hauptplatz</v>
      </c>
      <c r="P87" s="5">
        <f ca="1"/>
        <v>4</v>
      </c>
      <c r="Q87" s="5" t="str">
        <f ca="1"/>
        <v/>
      </c>
      <c r="R87" s="5" t="str">
        <f ca="1"/>
        <v/>
      </c>
      <c r="S87" s="5" t="str">
        <f ca="1"/>
        <v/>
      </c>
      <c r="T87" s="5" t="str">
        <f ca="1"/>
        <v/>
      </c>
      <c r="U87" s="5" t="str">
        <f ca="1"/>
        <v/>
      </c>
      <c r="V87" s="5" t="str">
        <f ca="1"/>
        <v/>
      </c>
      <c r="W87" t="str">
        <f ca="1"/>
        <v/>
      </c>
      <c r="X87">
        <f ca="1"/>
        <v>0</v>
      </c>
      <c r="Y87">
        <f ca="1"/>
        <v>0</v>
      </c>
      <c r="Z87" t="str">
        <f ca="1"/>
        <v/>
      </c>
    </row>
    <row r="88" spans="3:26" ht="16.149999999999999" customHeight="1" x14ac:dyDescent="0.25">
      <c r="C88" s="11" t="str">
        <f t="shared" ca="1" si="2"/>
        <v>575_Konzepterstellung für öko Heizungsanlage im Geschäft</v>
      </c>
      <c r="D88" s="5">
        <f ca="1"/>
        <v>82</v>
      </c>
      <c r="E88" s="5">
        <f ca="1"/>
        <v>575</v>
      </c>
      <c r="F88" s="5" t="str">
        <f ca="1"/>
        <v>x</v>
      </c>
      <c r="G88" s="5" t="str">
        <f ca="1"/>
        <v>Konzepterstellung für öko Heizungsanlage im Geschäft</v>
      </c>
      <c r="H88" s="5" t="str">
        <f ca="1"/>
        <v>Sparkasse Waldviertel Mitte Bank AG</v>
      </c>
      <c r="I88" s="5">
        <f ca="1"/>
        <v>0</v>
      </c>
      <c r="J88" s="5">
        <f ca="1"/>
        <v>0</v>
      </c>
      <c r="K88" s="5" t="str">
        <f ca="1"/>
        <v/>
      </c>
      <c r="L88" s="5">
        <f ca="1"/>
        <v>0</v>
      </c>
      <c r="M88" s="5">
        <f ca="1"/>
        <v>3542</v>
      </c>
      <c r="N88" s="5" t="str">
        <f ca="1"/>
        <v>Gföhl</v>
      </c>
      <c r="O88" s="5" t="str">
        <f ca="1"/>
        <v>Hauptplatz</v>
      </c>
      <c r="P88" s="5">
        <f ca="1"/>
        <v>7</v>
      </c>
      <c r="Q88" s="5" t="str">
        <f ca="1"/>
        <v/>
      </c>
      <c r="R88" s="5" t="str">
        <f ca="1"/>
        <v/>
      </c>
      <c r="S88" s="5" t="str">
        <f ca="1"/>
        <v/>
      </c>
      <c r="T88" s="5" t="str">
        <f ca="1"/>
        <v/>
      </c>
      <c r="U88" s="5" t="str">
        <f ca="1"/>
        <v/>
      </c>
      <c r="V88" s="5" t="str">
        <f ca="1"/>
        <v/>
      </c>
      <c r="W88" t="str">
        <f ca="1"/>
        <v/>
      </c>
      <c r="X88">
        <f ca="1"/>
        <v>0</v>
      </c>
      <c r="Y88">
        <f ca="1"/>
        <v>0</v>
      </c>
      <c r="Z88" t="str">
        <f ca="1"/>
        <v/>
      </c>
    </row>
    <row r="89" spans="3:26" ht="16.149999999999999" customHeight="1" x14ac:dyDescent="0.25">
      <c r="C89" s="11" t="str">
        <f t="shared" ca="1" si="2"/>
        <v>555_Konzepterstellung geplanter Thermischer Sanierung</v>
      </c>
      <c r="D89" s="5">
        <f ca="1"/>
        <v>83</v>
      </c>
      <c r="E89" s="5">
        <f ca="1"/>
        <v>555</v>
      </c>
      <c r="F89" s="5" t="str">
        <f ca="1"/>
        <v>x</v>
      </c>
      <c r="G89" s="5" t="str">
        <f ca="1"/>
        <v>Konzepterstellung geplanter Thermischer Sanierung</v>
      </c>
      <c r="H89" s="5" t="str">
        <f ca="1"/>
        <v>Waldpension Nordwald</v>
      </c>
      <c r="I89" s="5">
        <f ca="1"/>
        <v>0</v>
      </c>
      <c r="J89" s="5">
        <f ca="1"/>
        <v>0</v>
      </c>
      <c r="K89" s="5" t="str">
        <f ca="1"/>
        <v/>
      </c>
      <c r="L89" s="5">
        <f ca="1"/>
        <v>0</v>
      </c>
      <c r="M89" s="5">
        <f ca="1"/>
        <v>3970</v>
      </c>
      <c r="N89" s="5" t="str">
        <f ca="1"/>
        <v>Moorbad Harbach</v>
      </c>
      <c r="O89" s="5" t="str">
        <f ca="1"/>
        <v>Maissen</v>
      </c>
      <c r="P89" s="5">
        <f ca="1"/>
        <v>28</v>
      </c>
      <c r="Q89" s="5" t="str">
        <f ca="1"/>
        <v/>
      </c>
      <c r="R89" s="5" t="str">
        <f ca="1"/>
        <v/>
      </c>
      <c r="S89" s="5" t="str">
        <f ca="1"/>
        <v/>
      </c>
      <c r="T89" s="5" t="str">
        <f ca="1"/>
        <v/>
      </c>
      <c r="U89" s="5" t="str">
        <f ca="1"/>
        <v/>
      </c>
      <c r="V89" s="5" t="str">
        <f ca="1"/>
        <v/>
      </c>
      <c r="W89" t="str">
        <f ca="1"/>
        <v/>
      </c>
      <c r="X89">
        <f ca="1"/>
        <v>0</v>
      </c>
      <c r="Y89">
        <f ca="1"/>
        <v>0</v>
      </c>
      <c r="Z89" t="str">
        <f ca="1"/>
        <v/>
      </c>
    </row>
    <row r="90" spans="3:26" ht="16.149999999999999" customHeight="1" x14ac:dyDescent="0.25">
      <c r="C90" s="11" t="str">
        <f t="shared" ca="1" si="2"/>
        <v>549_Konzepterstellung alternativer Heizungsnalage, thermische Gebäudesanierung</v>
      </c>
      <c r="D90" s="5">
        <f ca="1"/>
        <v>84</v>
      </c>
      <c r="E90" s="5">
        <f ca="1"/>
        <v>549</v>
      </c>
      <c r="F90" s="5" t="str">
        <f ca="1"/>
        <v>x</v>
      </c>
      <c r="G90" s="5" t="str">
        <f ca="1"/>
        <v>Konzepterstellung alternativer Heizungsnalage, thermische Gebäudesanierung</v>
      </c>
      <c r="H90" s="5" t="str">
        <f ca="1"/>
        <v>UWET- Umwelttechnik GmbH</v>
      </c>
      <c r="I90" s="5">
        <f ca="1"/>
        <v>0</v>
      </c>
      <c r="J90" s="5">
        <f ca="1"/>
        <v>0</v>
      </c>
      <c r="K90" s="5" t="str">
        <f ca="1"/>
        <v/>
      </c>
      <c r="L90" s="5">
        <f ca="1"/>
        <v>0</v>
      </c>
      <c r="M90" s="5">
        <f ca="1"/>
        <v>0</v>
      </c>
      <c r="N90" s="5" t="str">
        <f ca="1"/>
        <v>St. Leonhard / Forst</v>
      </c>
      <c r="O90" s="5">
        <f ca="1"/>
        <v>0</v>
      </c>
      <c r="P90" s="5">
        <f ca="1"/>
        <v>0</v>
      </c>
      <c r="Q90" s="5" t="str">
        <f ca="1"/>
        <v/>
      </c>
      <c r="R90" s="5" t="str">
        <f ca="1"/>
        <v/>
      </c>
      <c r="S90" s="5" t="str">
        <f ca="1"/>
        <v/>
      </c>
      <c r="T90" s="5" t="str">
        <f ca="1"/>
        <v/>
      </c>
      <c r="U90" s="5" t="str">
        <f ca="1"/>
        <v/>
      </c>
      <c r="V90" s="5" t="str">
        <f ca="1"/>
        <v/>
      </c>
      <c r="W90" t="str">
        <f ca="1"/>
        <v/>
      </c>
      <c r="X90">
        <f ca="1"/>
        <v>0</v>
      </c>
      <c r="Y90">
        <f ca="1"/>
        <v>0</v>
      </c>
      <c r="Z90" t="str">
        <f ca="1"/>
        <v/>
      </c>
    </row>
    <row r="91" spans="3:26" ht="16.149999999999999" customHeight="1" x14ac:dyDescent="0.25">
      <c r="C91" s="11" t="str">
        <f t="shared" ca="1" si="2"/>
        <v>547_Auswirkung themische Sanierung, mögliche Förderungen, Lüftungsanlage, Wärmeverteilung, LED-Außenstrahler</v>
      </c>
      <c r="D91" s="5">
        <f ca="1"/>
        <v>85</v>
      </c>
      <c r="E91" s="5">
        <f ca="1"/>
        <v>547</v>
      </c>
      <c r="F91" s="5" t="str">
        <f ca="1"/>
        <v>x</v>
      </c>
      <c r="G91" s="5" t="str">
        <f ca="1"/>
        <v>Auswirkung themische Sanierung, mögliche Förderungen, Lüftungsanlage, Wärmeverteilung, LED-Außenstrahler</v>
      </c>
      <c r="H91" s="5" t="str">
        <f ca="1"/>
        <v>Egston System Electronics Eggenburg GmbH</v>
      </c>
      <c r="I91" s="5" t="str">
        <f ca="1"/>
        <v>Markus</v>
      </c>
      <c r="J91" s="5" t="str">
        <f ca="1"/>
        <v>Reiss</v>
      </c>
      <c r="K91" s="5" t="str">
        <f ca="1"/>
        <v/>
      </c>
      <c r="L91" s="5">
        <f ca="1"/>
        <v>0</v>
      </c>
      <c r="M91" s="5">
        <f ca="1"/>
        <v>3730</v>
      </c>
      <c r="N91" s="5" t="str">
        <f ca="1"/>
        <v>Eggenburg</v>
      </c>
      <c r="O91" s="5" t="str">
        <f ca="1"/>
        <v>Grafenbergerstraße</v>
      </c>
      <c r="P91" s="5">
        <f ca="1"/>
        <v>37</v>
      </c>
      <c r="Q91" s="5" t="str">
        <f ca="1"/>
        <v/>
      </c>
      <c r="R91" s="5" t="str">
        <f ca="1"/>
        <v/>
      </c>
      <c r="S91" s="5" t="str">
        <f ca="1"/>
        <v/>
      </c>
      <c r="T91" s="5" t="str">
        <f ca="1"/>
        <v/>
      </c>
      <c r="U91" s="5" t="str">
        <f ca="1"/>
        <v/>
      </c>
      <c r="V91" s="5" t="str">
        <f ca="1"/>
        <v/>
      </c>
      <c r="W91" t="str">
        <f ca="1"/>
        <v/>
      </c>
      <c r="X91">
        <f ca="1"/>
        <v>0</v>
      </c>
      <c r="Y91">
        <f ca="1"/>
        <v>0</v>
      </c>
      <c r="Z91" t="str">
        <f ca="1"/>
        <v/>
      </c>
    </row>
    <row r="92" spans="3:26" ht="16.149999999999999" customHeight="1" x14ac:dyDescent="0.25">
      <c r="C92" s="11" t="str">
        <f t="shared" ca="1" si="2"/>
        <v>511_Optimierung der Biomassefernwärmeversorgung</v>
      </c>
      <c r="D92" s="5">
        <f ca="1"/>
        <v>86</v>
      </c>
      <c r="E92" s="5">
        <f ca="1"/>
        <v>511</v>
      </c>
      <c r="F92" s="5" t="str">
        <f ca="1"/>
        <v>x</v>
      </c>
      <c r="G92" s="5" t="str">
        <f ca="1"/>
        <v>Optimierung der Biomassefernwärmeversorgung</v>
      </c>
      <c r="H92" s="5" t="str">
        <f ca="1"/>
        <v>Landgasthof zum Topf</v>
      </c>
      <c r="I92" s="5" t="str">
        <f ca="1"/>
        <v>Oswald</v>
      </c>
      <c r="J92" s="5" t="str">
        <f ca="1"/>
        <v>Topf</v>
      </c>
      <c r="K92" s="5" t="str">
        <f ca="1"/>
        <v/>
      </c>
      <c r="L92" s="5">
        <f ca="1"/>
        <v>0</v>
      </c>
      <c r="M92" s="5">
        <f ca="1"/>
        <v>3902</v>
      </c>
      <c r="N92" s="5" t="str">
        <f ca="1"/>
        <v>Vitis</v>
      </c>
      <c r="O92" s="5" t="str">
        <f ca="1"/>
        <v>Kaltenbach</v>
      </c>
      <c r="P92" s="5">
        <f ca="1"/>
        <v>26</v>
      </c>
      <c r="Q92" s="5" t="str">
        <f ca="1"/>
        <v/>
      </c>
      <c r="R92" s="5" t="str">
        <f ca="1"/>
        <v/>
      </c>
      <c r="S92" s="5" t="str">
        <f ca="1"/>
        <v/>
      </c>
      <c r="T92" s="5" t="str">
        <f ca="1"/>
        <v/>
      </c>
      <c r="U92" s="5" t="str">
        <f ca="1"/>
        <v/>
      </c>
      <c r="V92" s="5" t="str">
        <f ca="1"/>
        <v/>
      </c>
      <c r="W92" t="str">
        <f ca="1"/>
        <v/>
      </c>
      <c r="X92">
        <f ca="1"/>
        <v>0</v>
      </c>
      <c r="Y92">
        <f ca="1"/>
        <v>0</v>
      </c>
      <c r="Z92" t="str">
        <f ca="1"/>
        <v/>
      </c>
    </row>
    <row r="93" spans="3:26" ht="16.149999999999999" customHeight="1" x14ac:dyDescent="0.25">
      <c r="C93" s="11" t="str">
        <f t="shared" ca="1" si="2"/>
        <v>487_Solaranlage, Förderungen, Pflanzenöl-BHKW</v>
      </c>
      <c r="D93" s="5">
        <f ca="1"/>
        <v>87</v>
      </c>
      <c r="E93" s="5">
        <f ca="1"/>
        <v>487</v>
      </c>
      <c r="F93" s="5" t="str">
        <f ca="1"/>
        <v>x</v>
      </c>
      <c r="G93" s="5" t="str">
        <f ca="1"/>
        <v>Solaranlage, Förderungen, Pflanzenöl-BHKW</v>
      </c>
      <c r="H93" s="5" t="str">
        <f ca="1"/>
        <v>Klang Rainer</v>
      </c>
      <c r="I93" s="5" t="str">
        <f ca="1"/>
        <v>Rainer</v>
      </c>
      <c r="J93" s="5" t="str">
        <f ca="1"/>
        <v>Klang</v>
      </c>
      <c r="K93" s="5" t="str">
        <f ca="1"/>
        <v/>
      </c>
      <c r="L93" s="5">
        <f ca="1"/>
        <v>0</v>
      </c>
      <c r="M93" s="5">
        <f ca="1"/>
        <v>3804</v>
      </c>
      <c r="N93" s="5" t="str">
        <f ca="1"/>
        <v>Allensteig</v>
      </c>
      <c r="O93" s="5">
        <f ca="1"/>
        <v>0</v>
      </c>
      <c r="P93" s="5">
        <f ca="1"/>
        <v>0</v>
      </c>
      <c r="Q93" s="5" t="str">
        <f ca="1"/>
        <v/>
      </c>
      <c r="R93" s="5" t="str">
        <f ca="1"/>
        <v/>
      </c>
      <c r="S93" s="5" t="str">
        <f ca="1"/>
        <v/>
      </c>
      <c r="T93" s="5" t="str">
        <f ca="1"/>
        <v/>
      </c>
      <c r="U93" s="5" t="str">
        <f ca="1"/>
        <v/>
      </c>
      <c r="V93" s="5" t="str">
        <f ca="1"/>
        <v/>
      </c>
      <c r="W93" t="str">
        <f ca="1"/>
        <v/>
      </c>
      <c r="X93">
        <f ca="1"/>
        <v>0</v>
      </c>
      <c r="Y93">
        <f ca="1"/>
        <v>0</v>
      </c>
      <c r="Z93" t="str">
        <f ca="1"/>
        <v/>
      </c>
    </row>
    <row r="94" spans="3:26" ht="16.149999999999999" customHeight="1" x14ac:dyDescent="0.25">
      <c r="C94" s="11" t="str">
        <f t="shared" ca="1" si="2"/>
        <v>397_Hilfe bei Umstellung auf alternative Energieträger</v>
      </c>
      <c r="D94" s="5">
        <f ca="1"/>
        <v>88</v>
      </c>
      <c r="E94" s="5">
        <f ca="1"/>
        <v>397</v>
      </c>
      <c r="F94" s="5" t="str">
        <f ca="1"/>
        <v>x</v>
      </c>
      <c r="G94" s="5" t="str">
        <f ca="1"/>
        <v>Hilfe bei Umstellung auf alternative Energieträger</v>
      </c>
      <c r="H94" s="5" t="str">
        <f ca="1"/>
        <v>Wagner KEG</v>
      </c>
      <c r="I94" s="5" t="str">
        <f ca="1"/>
        <v>Martin</v>
      </c>
      <c r="J94" s="5" t="str">
        <f ca="1"/>
        <v>Wagner</v>
      </c>
      <c r="K94" s="5" t="str">
        <f ca="1"/>
        <v/>
      </c>
      <c r="L94" s="5">
        <f ca="1"/>
        <v>0</v>
      </c>
      <c r="M94" s="5">
        <f ca="1"/>
        <v>3300</v>
      </c>
      <c r="N94" s="5" t="str">
        <f ca="1"/>
        <v>Amstetten</v>
      </c>
      <c r="O94" s="5" t="str">
        <f ca="1"/>
        <v>Kaspar Brunnerstraße</v>
      </c>
      <c r="P94" s="5">
        <f ca="1"/>
        <v>6</v>
      </c>
      <c r="Q94" s="5" t="str">
        <f ca="1"/>
        <v/>
      </c>
      <c r="R94" s="5" t="str">
        <f ca="1"/>
        <v/>
      </c>
      <c r="S94" s="5" t="str">
        <f ca="1"/>
        <v/>
      </c>
      <c r="T94" s="5" t="str">
        <f ca="1"/>
        <v/>
      </c>
      <c r="U94" s="5" t="str">
        <f ca="1"/>
        <v/>
      </c>
      <c r="V94" s="5" t="str">
        <f ca="1"/>
        <v/>
      </c>
      <c r="W94" t="str">
        <f ca="1"/>
        <v/>
      </c>
      <c r="X94">
        <f ca="1"/>
        <v>0</v>
      </c>
      <c r="Y94">
        <f ca="1"/>
        <v>0</v>
      </c>
      <c r="Z94" t="str">
        <f ca="1"/>
        <v/>
      </c>
    </row>
    <row r="95" spans="3:26" ht="16.149999999999999" customHeight="1" x14ac:dyDescent="0.25">
      <c r="C95" s="11" t="str">
        <f t="shared" ca="1" si="2"/>
        <v>3003_Kurzberatung betreffend Gebäude und (E-Mobilität)</v>
      </c>
      <c r="D95" s="5">
        <f ca="1"/>
        <v>89</v>
      </c>
      <c r="E95" s="5">
        <f ca="1"/>
        <v>3003</v>
      </c>
      <c r="F95" s="5" t="str">
        <f ca="1"/>
        <v>x</v>
      </c>
      <c r="G95" s="5" t="str">
        <f ca="1"/>
        <v>Kurzberatung betreffend Gebäude und (E-Mobilität)</v>
      </c>
      <c r="H95" s="5" t="str">
        <f ca="1"/>
        <v>Kristallium Erwin Weber</v>
      </c>
      <c r="I95" s="5" t="str">
        <f ca="1"/>
        <v>Erwin</v>
      </c>
      <c r="J95" s="5" t="str">
        <f ca="1"/>
        <v>Weber</v>
      </c>
      <c r="K95" s="5" t="str">
        <f ca="1"/>
        <v/>
      </c>
      <c r="L95" s="5">
        <f ca="1"/>
        <v>0</v>
      </c>
      <c r="M95" s="5">
        <f ca="1"/>
        <v>3970</v>
      </c>
      <c r="N95" s="5" t="str">
        <f ca="1"/>
        <v>Moorbad Harbach</v>
      </c>
      <c r="O95" s="5" t="str">
        <f ca="1"/>
        <v>Hirschenwies</v>
      </c>
      <c r="P95" s="5">
        <f ca="1"/>
        <v>53</v>
      </c>
      <c r="Q95" s="5" t="str">
        <f ca="1"/>
        <v/>
      </c>
      <c r="R95" s="5" t="str">
        <f ca="1"/>
        <v/>
      </c>
      <c r="S95" s="5" t="str">
        <f ca="1"/>
        <v/>
      </c>
      <c r="T95" s="5" t="str">
        <f ca="1"/>
        <v/>
      </c>
      <c r="U95" s="5" t="str">
        <f ca="1"/>
        <v/>
      </c>
      <c r="V95" s="5" t="str">
        <f ca="1"/>
        <v/>
      </c>
      <c r="W95" t="str">
        <f ca="1"/>
        <v/>
      </c>
      <c r="X95">
        <f ca="1"/>
        <v>0</v>
      </c>
      <c r="Y95">
        <f ca="1"/>
        <v>0</v>
      </c>
      <c r="Z95" t="str">
        <f ca="1"/>
        <v/>
      </c>
    </row>
    <row r="96" spans="3:26" ht="16.149999999999999" customHeight="1" x14ac:dyDescent="0.25">
      <c r="C96" s="11" t="str">
        <f t="shared" ca="1" si="2"/>
        <v>3001_Awareness Kurzberatung Energie</v>
      </c>
      <c r="D96" s="5">
        <f ca="1"/>
        <v>90</v>
      </c>
      <c r="E96" s="5">
        <f ca="1"/>
        <v>3001</v>
      </c>
      <c r="F96" s="5" t="str">
        <f ca="1"/>
        <v>x</v>
      </c>
      <c r="G96" s="5" t="str">
        <f ca="1"/>
        <v>Awareness Kurzberatung Energie</v>
      </c>
      <c r="H96" s="5" t="str">
        <f ca="1"/>
        <v>Wildrast</v>
      </c>
      <c r="I96" s="5" t="str">
        <f ca="1"/>
        <v>Ivana</v>
      </c>
      <c r="J96" s="5" t="str">
        <f ca="1"/>
        <v>Sturmova</v>
      </c>
      <c r="K96" s="5" t="str">
        <f ca="1"/>
        <v/>
      </c>
      <c r="L96" s="5">
        <f ca="1"/>
        <v>0</v>
      </c>
      <c r="M96" s="5">
        <f ca="1"/>
        <v>3800</v>
      </c>
      <c r="N96" s="5" t="str">
        <f ca="1"/>
        <v>Göpfritz an der Wild</v>
      </c>
      <c r="O96" s="5" t="str">
        <f ca="1"/>
        <v>Hauptstraße</v>
      </c>
      <c r="P96" s="5">
        <f ca="1"/>
        <v>71</v>
      </c>
      <c r="Q96" s="5" t="str">
        <f ca="1"/>
        <v/>
      </c>
      <c r="R96" s="5" t="str">
        <f ca="1"/>
        <v/>
      </c>
      <c r="S96" s="5" t="str">
        <f ca="1"/>
        <v/>
      </c>
      <c r="T96" s="5" t="str">
        <f ca="1"/>
        <v/>
      </c>
      <c r="U96" s="5" t="str">
        <f ca="1"/>
        <v/>
      </c>
      <c r="V96" s="5" t="str">
        <f ca="1"/>
        <v/>
      </c>
      <c r="W96" t="str">
        <f ca="1"/>
        <v/>
      </c>
      <c r="X96">
        <f ca="1"/>
        <v>0</v>
      </c>
      <c r="Y96">
        <f ca="1"/>
        <v>0</v>
      </c>
      <c r="Z96" t="str">
        <f ca="1"/>
        <v/>
      </c>
    </row>
    <row r="97" spans="3:26" ht="16.149999999999999" customHeight="1" x14ac:dyDescent="0.25">
      <c r="C97" s="11" t="str">
        <f t="shared" ca="1" si="2"/>
        <v>3002_Awareness Kurzberarung Energie</v>
      </c>
      <c r="D97" s="5">
        <f ca="1"/>
        <v>91</v>
      </c>
      <c r="E97" s="5">
        <f ca="1"/>
        <v>3002</v>
      </c>
      <c r="F97" s="5" t="str">
        <f ca="1"/>
        <v>x</v>
      </c>
      <c r="G97" s="5" t="str">
        <f ca="1"/>
        <v>Awareness Kurzberarung Energie</v>
      </c>
      <c r="H97" s="5" t="str">
        <f ca="1"/>
        <v>Stadt Kino Horn</v>
      </c>
      <c r="I97" s="5" t="str">
        <f ca="1"/>
        <v>Winfrid</v>
      </c>
      <c r="J97" s="5" t="str">
        <f ca="1"/>
        <v>Meingast</v>
      </c>
      <c r="K97" s="5" t="str">
        <f ca="1"/>
        <v/>
      </c>
      <c r="L97" s="5">
        <f ca="1"/>
        <v>0</v>
      </c>
      <c r="M97" s="5">
        <f ca="1"/>
        <v>3580</v>
      </c>
      <c r="N97" s="5" t="str">
        <f ca="1"/>
        <v>Horn</v>
      </c>
      <c r="O97" s="5" t="str">
        <f ca="1"/>
        <v>Thurnhofgasse</v>
      </c>
      <c r="P97" s="5">
        <f ca="1"/>
        <v>14</v>
      </c>
      <c r="Q97" s="5" t="str">
        <f ca="1"/>
        <v/>
      </c>
      <c r="R97" s="5" t="str">
        <f ca="1"/>
        <v/>
      </c>
      <c r="S97" s="5" t="str">
        <f ca="1"/>
        <v/>
      </c>
      <c r="T97" s="5" t="str">
        <f ca="1"/>
        <v/>
      </c>
      <c r="U97" s="5" t="str">
        <f ca="1"/>
        <v/>
      </c>
      <c r="V97" s="5" t="str">
        <f ca="1"/>
        <v/>
      </c>
      <c r="W97" t="str">
        <f ca="1"/>
        <v/>
      </c>
      <c r="X97">
        <f ca="1"/>
        <v>0</v>
      </c>
      <c r="Y97">
        <f ca="1"/>
        <v>0</v>
      </c>
      <c r="Z97" t="str">
        <f ca="1"/>
        <v/>
      </c>
    </row>
    <row r="98" spans="3:26" ht="16.149999999999999" customHeight="1" x14ac:dyDescent="0.25">
      <c r="C98" s="11" t="str">
        <f t="shared" ca="1" si="2"/>
        <v>3005_Awareness Kurzberatung Energie</v>
      </c>
      <c r="D98" s="5">
        <f ca="1"/>
        <v>92</v>
      </c>
      <c r="E98" s="5">
        <f ca="1"/>
        <v>3005</v>
      </c>
      <c r="F98" s="5" t="str">
        <f ca="1"/>
        <v>x</v>
      </c>
      <c r="G98" s="5" t="str">
        <f ca="1"/>
        <v>Awareness Kurzberatung Energie</v>
      </c>
      <c r="H98" s="5" t="str">
        <f ca="1"/>
        <v>Landgasthof Haidl</v>
      </c>
      <c r="I98" s="5" t="str">
        <f ca="1"/>
        <v>Alexander</v>
      </c>
      <c r="J98" s="5" t="str">
        <f ca="1"/>
        <v>Haidl</v>
      </c>
      <c r="K98" s="5" t="str">
        <f ca="1"/>
        <v/>
      </c>
      <c r="L98" s="5">
        <f ca="1"/>
        <v>0</v>
      </c>
      <c r="M98" s="5">
        <f ca="1"/>
        <v>3842</v>
      </c>
      <c r="N98" s="5" t="str">
        <f ca="1"/>
        <v>Thaya</v>
      </c>
      <c r="O98" s="5" t="str">
        <f ca="1"/>
        <v>Bahnhofstraße</v>
      </c>
      <c r="P98" s="5">
        <f ca="1"/>
        <v>2</v>
      </c>
      <c r="Q98" s="5" t="str">
        <f ca="1"/>
        <v/>
      </c>
      <c r="R98" s="5" t="str">
        <f ca="1"/>
        <v/>
      </c>
      <c r="S98" s="5" t="str">
        <f ca="1"/>
        <v/>
      </c>
      <c r="T98" s="5" t="str">
        <f ca="1"/>
        <v/>
      </c>
      <c r="U98" s="5" t="str">
        <f ca="1"/>
        <v/>
      </c>
      <c r="V98" s="5" t="str">
        <f ca="1"/>
        <v/>
      </c>
      <c r="W98" t="str">
        <f ca="1"/>
        <v/>
      </c>
      <c r="X98">
        <f ca="1"/>
        <v>0</v>
      </c>
      <c r="Y98">
        <f ca="1"/>
        <v>0</v>
      </c>
      <c r="Z98" t="str">
        <f ca="1"/>
        <v/>
      </c>
    </row>
    <row r="99" spans="3:26" ht="16.149999999999999" customHeight="1" x14ac:dyDescent="0.25">
      <c r="C99" s="11" t="str">
        <f t="shared" ca="1" si="2"/>
        <v>3006_Awareness Kurzberatung Energie</v>
      </c>
      <c r="D99" s="5">
        <f ca="1"/>
        <v>93</v>
      </c>
      <c r="E99" s="5">
        <f ca="1"/>
        <v>3006</v>
      </c>
      <c r="F99" s="5" t="str">
        <f ca="1"/>
        <v>x</v>
      </c>
      <c r="G99" s="5" t="str">
        <f ca="1"/>
        <v>Awareness Kurzberatung Energie</v>
      </c>
      <c r="H99" s="5" t="str">
        <f ca="1"/>
        <v>Silberbauer Erwin</v>
      </c>
      <c r="I99" s="5" t="str">
        <f ca="1"/>
        <v>Erwin</v>
      </c>
      <c r="J99" s="5" t="str">
        <f ca="1"/>
        <v>Silberbauer</v>
      </c>
      <c r="K99" s="5" t="str">
        <f ca="1"/>
        <v/>
      </c>
      <c r="L99" s="5">
        <f ca="1"/>
        <v>0</v>
      </c>
      <c r="M99" s="5">
        <f ca="1"/>
        <v>3931</v>
      </c>
      <c r="N99" s="5" t="str">
        <f ca="1"/>
        <v>Schweiggers</v>
      </c>
      <c r="O99" s="5" t="str">
        <f ca="1"/>
        <v>Sportplatz</v>
      </c>
      <c r="P99" s="5">
        <f ca="1"/>
        <v>17</v>
      </c>
      <c r="Q99" s="5" t="str">
        <f ca="1"/>
        <v/>
      </c>
      <c r="R99" s="5" t="str">
        <f ca="1"/>
        <v/>
      </c>
      <c r="S99" s="5" t="str">
        <f ca="1"/>
        <v/>
      </c>
      <c r="T99" s="5" t="str">
        <f ca="1"/>
        <v/>
      </c>
      <c r="U99" s="5" t="str">
        <f ca="1"/>
        <v/>
      </c>
      <c r="V99" s="5" t="str">
        <f ca="1"/>
        <v/>
      </c>
      <c r="W99" t="str">
        <f ca="1"/>
        <v/>
      </c>
      <c r="X99">
        <f ca="1"/>
        <v>0</v>
      </c>
      <c r="Y99">
        <f ca="1"/>
        <v>0</v>
      </c>
      <c r="Z99" t="str">
        <f ca="1"/>
        <v/>
      </c>
    </row>
    <row r="100" spans="3:26" ht="16.149999999999999" customHeight="1" x14ac:dyDescent="0.25">
      <c r="C100" s="11" t="str">
        <f t="shared" ca="1" si="2"/>
        <v>3008_Awareness Kurzberatung Energie</v>
      </c>
      <c r="D100" s="5">
        <f ca="1"/>
        <v>94</v>
      </c>
      <c r="E100" s="5">
        <f ca="1"/>
        <v>3008</v>
      </c>
      <c r="F100" s="5" t="str">
        <f ca="1"/>
        <v>x</v>
      </c>
      <c r="G100" s="5" t="str">
        <f ca="1"/>
        <v>Awareness Kurzberatung Energie</v>
      </c>
      <c r="H100" s="5" t="str">
        <f ca="1"/>
        <v>Rudolf Balley GmbH</v>
      </c>
      <c r="I100" s="5" t="str">
        <f ca="1"/>
        <v>Rudolf</v>
      </c>
      <c r="J100" s="5" t="str">
        <f ca="1"/>
        <v>Balley</v>
      </c>
      <c r="K100" s="5" t="str">
        <f ca="1"/>
        <v/>
      </c>
      <c r="L100" s="5">
        <f ca="1"/>
        <v>0</v>
      </c>
      <c r="M100" s="5">
        <f ca="1"/>
        <v>3500</v>
      </c>
      <c r="N100" s="5" t="str">
        <f ca="1"/>
        <v>Krems an der Donau</v>
      </c>
      <c r="O100" s="5" t="str">
        <f ca="1"/>
        <v>Sonnenrain</v>
      </c>
      <c r="P100" s="5">
        <f ca="1"/>
        <v>6</v>
      </c>
      <c r="Q100" s="5" t="str">
        <f ca="1"/>
        <v/>
      </c>
      <c r="R100" s="5" t="str">
        <f ca="1"/>
        <v/>
      </c>
      <c r="S100" s="5" t="str">
        <f ca="1"/>
        <v/>
      </c>
      <c r="T100" s="5" t="str">
        <f ca="1"/>
        <v/>
      </c>
      <c r="U100" s="5" t="str">
        <f ca="1"/>
        <v/>
      </c>
      <c r="V100" s="5" t="str">
        <f ca="1"/>
        <v/>
      </c>
      <c r="W100" t="str">
        <f ca="1"/>
        <v/>
      </c>
      <c r="X100">
        <f ca="1"/>
        <v>0</v>
      </c>
      <c r="Y100">
        <f ca="1"/>
        <v>0</v>
      </c>
      <c r="Z100" t="str">
        <f ca="1"/>
        <v/>
      </c>
    </row>
    <row r="101" spans="3:26" ht="16.149999999999999" customHeight="1" x14ac:dyDescent="0.25">
      <c r="C101" s="11" t="str">
        <f t="shared" ca="1" si="2"/>
        <v>3009_Awareness Kurzberatung Energie, Schwerpunktberatung</v>
      </c>
      <c r="D101" s="5">
        <f ca="1"/>
        <v>95</v>
      </c>
      <c r="E101" s="5">
        <f ca="1"/>
        <v>3009</v>
      </c>
      <c r="F101" s="5" t="str">
        <f ca="1"/>
        <v>x</v>
      </c>
      <c r="G101" s="5" t="str">
        <f ca="1"/>
        <v>Awareness Kurzberatung Energie, Schwerpunktberatung</v>
      </c>
      <c r="H101" s="5" t="str">
        <f ca="1"/>
        <v>Metalltechnik Kainz e.U.</v>
      </c>
      <c r="I101" s="5" t="str">
        <f ca="1"/>
        <v>Alexander</v>
      </c>
      <c r="J101" s="5" t="str">
        <f ca="1"/>
        <v>Kainz</v>
      </c>
      <c r="K101" s="5" t="str">
        <f ca="1"/>
        <v/>
      </c>
      <c r="L101" s="5">
        <f ca="1"/>
        <v>0</v>
      </c>
      <c r="M101" s="5">
        <f ca="1"/>
        <v>3843</v>
      </c>
      <c r="N101" s="5" t="str">
        <f ca="1"/>
        <v>Dobersberg</v>
      </c>
      <c r="O101" s="5" t="str">
        <f ca="1"/>
        <v>Kautzner Straße</v>
      </c>
      <c r="P101" s="5">
        <f ca="1"/>
        <v>42</v>
      </c>
      <c r="Q101" s="5" t="str">
        <f ca="1"/>
        <v/>
      </c>
      <c r="R101" s="5" t="str">
        <f ca="1"/>
        <v/>
      </c>
      <c r="S101" s="5" t="str">
        <f ca="1"/>
        <v/>
      </c>
      <c r="T101" s="5" t="str">
        <f ca="1"/>
        <v/>
      </c>
      <c r="U101" s="5" t="str">
        <f ca="1"/>
        <v/>
      </c>
      <c r="V101" s="5" t="str">
        <f ca="1"/>
        <v/>
      </c>
      <c r="W101" t="str">
        <f ca="1"/>
        <v/>
      </c>
      <c r="X101">
        <f ca="1"/>
        <v>0</v>
      </c>
      <c r="Y101">
        <f ca="1"/>
        <v>0</v>
      </c>
      <c r="Z101" t="str">
        <f ca="1"/>
        <v/>
      </c>
    </row>
    <row r="102" spans="3:26" ht="16.149999999999999" customHeight="1" x14ac:dyDescent="0.25">
      <c r="C102" s="11" t="str">
        <f t="shared" ca="1" si="2"/>
        <v>3010_Awareness Kurzberatung Energie, Schwerpunktberatung Energie</v>
      </c>
      <c r="D102" s="5">
        <f ca="1"/>
        <v>96</v>
      </c>
      <c r="E102" s="5">
        <f ca="1"/>
        <v>3010</v>
      </c>
      <c r="F102" s="5" t="str">
        <f ca="1"/>
        <v>x</v>
      </c>
      <c r="G102" s="5" t="str">
        <f ca="1"/>
        <v>Awareness Kurzberatung Energie, Schwerpunktberatung Energie</v>
      </c>
      <c r="H102" s="5" t="str">
        <f ca="1"/>
        <v>Gasthaus Pichler</v>
      </c>
      <c r="I102" s="5" t="str">
        <f ca="1"/>
        <v>Silvia Maria</v>
      </c>
      <c r="J102" s="5" t="str">
        <f ca="1"/>
        <v>Weber</v>
      </c>
      <c r="K102" s="5" t="str">
        <f ca="1"/>
        <v/>
      </c>
      <c r="L102" s="5">
        <f ca="1"/>
        <v>0</v>
      </c>
      <c r="M102" s="5">
        <f ca="1"/>
        <v>3902</v>
      </c>
      <c r="N102" s="5" t="str">
        <f ca="1"/>
        <v>Vitis</v>
      </c>
      <c r="O102" s="5" t="str">
        <f ca="1"/>
        <v>Schremser Straße</v>
      </c>
      <c r="P102" s="5">
        <f ca="1"/>
        <v>9</v>
      </c>
      <c r="Q102" s="5" t="str">
        <f ca="1"/>
        <v/>
      </c>
      <c r="R102" s="5" t="str">
        <f ca="1"/>
        <v/>
      </c>
      <c r="S102" s="5" t="str">
        <f ca="1"/>
        <v/>
      </c>
      <c r="T102" s="5" t="str">
        <f ca="1"/>
        <v/>
      </c>
      <c r="U102" s="5" t="str">
        <f ca="1"/>
        <v/>
      </c>
      <c r="V102" s="5" t="str">
        <f ca="1"/>
        <v/>
      </c>
      <c r="W102" t="str">
        <f ca="1"/>
        <v/>
      </c>
      <c r="X102">
        <f ca="1"/>
        <v>0</v>
      </c>
      <c r="Y102">
        <f ca="1"/>
        <v>0</v>
      </c>
      <c r="Z102" t="str">
        <f ca="1"/>
        <v/>
      </c>
    </row>
    <row r="103" spans="3:26" ht="16.149999999999999" customHeight="1" x14ac:dyDescent="0.25">
      <c r="C103" s="11" t="str">
        <f t="shared" ca="1" si="2"/>
        <v>3011_Awareness Kurzberatung Energie</v>
      </c>
      <c r="D103" s="5">
        <f ca="1"/>
        <v>97</v>
      </c>
      <c r="E103" s="5">
        <f ca="1"/>
        <v>3011</v>
      </c>
      <c r="F103" s="5" t="str">
        <f ca="1"/>
        <v>x</v>
      </c>
      <c r="G103" s="5" t="str">
        <f ca="1"/>
        <v>Awareness Kurzberatung Energie</v>
      </c>
      <c r="H103" s="5" t="str">
        <f ca="1"/>
        <v>Waldbad - Cafe Monika Hirtl</v>
      </c>
      <c r="I103" s="5" t="str">
        <f ca="1"/>
        <v>Monika</v>
      </c>
      <c r="J103" s="5" t="str">
        <f ca="1"/>
        <v>Hirtl</v>
      </c>
      <c r="K103" s="5" t="str">
        <f ca="1"/>
        <v/>
      </c>
      <c r="L103" s="5">
        <f ca="1"/>
        <v>0</v>
      </c>
      <c r="M103" s="5">
        <f ca="1"/>
        <v>3812</v>
      </c>
      <c r="N103" s="5" t="str">
        <f ca="1"/>
        <v>Groß - Siegharts</v>
      </c>
      <c r="O103" s="5" t="str">
        <f ca="1"/>
        <v>Rudolf Hohenberg-Gasse</v>
      </c>
      <c r="P103" s="5">
        <f ca="1"/>
        <v>40</v>
      </c>
      <c r="Q103" s="5" t="str">
        <f ca="1"/>
        <v/>
      </c>
      <c r="R103" s="5" t="str">
        <f ca="1"/>
        <v/>
      </c>
      <c r="S103" s="5" t="str">
        <f ca="1"/>
        <v/>
      </c>
      <c r="T103" s="5" t="str">
        <f ca="1"/>
        <v/>
      </c>
      <c r="U103" s="5" t="str">
        <f ca="1"/>
        <v/>
      </c>
      <c r="V103" s="5" t="str">
        <f ca="1"/>
        <v/>
      </c>
      <c r="W103" t="str">
        <f ca="1"/>
        <v/>
      </c>
      <c r="X103">
        <f ca="1"/>
        <v>0</v>
      </c>
      <c r="Y103">
        <f ca="1"/>
        <v>0</v>
      </c>
      <c r="Z103" t="str">
        <f ca="1"/>
        <v/>
      </c>
    </row>
    <row r="104" spans="3:26" ht="16.149999999999999" customHeight="1" x14ac:dyDescent="0.25">
      <c r="C104" s="11" t="str">
        <f t="shared" ca="1" si="2"/>
        <v>3012_Awareness Kurzberatung Energie</v>
      </c>
      <c r="D104" s="5">
        <f ca="1"/>
        <v>98</v>
      </c>
      <c r="E104" s="5">
        <f ca="1"/>
        <v>3012</v>
      </c>
      <c r="F104" s="5" t="str">
        <f ca="1"/>
        <v>x</v>
      </c>
      <c r="G104" s="5" t="str">
        <f ca="1"/>
        <v>Awareness Kurzberatung Energie</v>
      </c>
      <c r="H104" s="5" t="str">
        <f ca="1"/>
        <v>Nah &amp; Frisch</v>
      </c>
      <c r="I104" s="5" t="str">
        <f ca="1"/>
        <v>Barbara</v>
      </c>
      <c r="J104" s="5" t="str">
        <f ca="1"/>
        <v>Grill</v>
      </c>
      <c r="K104" s="5" t="str">
        <f ca="1"/>
        <v/>
      </c>
      <c r="L104" s="5">
        <f ca="1"/>
        <v>0</v>
      </c>
      <c r="M104" s="5">
        <f ca="1"/>
        <v>3800</v>
      </c>
      <c r="N104" s="5" t="str">
        <f ca="1"/>
        <v>Göpfritz an der Wild</v>
      </c>
      <c r="O104" s="5" t="str">
        <f ca="1"/>
        <v>Hauptstraße</v>
      </c>
      <c r="P104" s="5">
        <f ca="1"/>
        <v>69</v>
      </c>
      <c r="Q104" s="5" t="str">
        <f ca="1"/>
        <v/>
      </c>
      <c r="R104" s="5" t="str">
        <f ca="1"/>
        <v/>
      </c>
      <c r="S104" s="5" t="str">
        <f ca="1"/>
        <v/>
      </c>
      <c r="T104" s="5" t="str">
        <f ca="1"/>
        <v/>
      </c>
      <c r="U104" s="5" t="str">
        <f ca="1"/>
        <v/>
      </c>
      <c r="V104" s="5" t="str">
        <f ca="1"/>
        <v/>
      </c>
      <c r="W104" t="str">
        <f ca="1"/>
        <v/>
      </c>
      <c r="X104">
        <f ca="1"/>
        <v>0</v>
      </c>
      <c r="Y104">
        <f ca="1"/>
        <v>0</v>
      </c>
      <c r="Z104" t="str">
        <f ca="1"/>
        <v/>
      </c>
    </row>
    <row r="105" spans="3:26" ht="16.149999999999999" customHeight="1" x14ac:dyDescent="0.25">
      <c r="C105" s="11" t="str">
        <f t="shared" ca="1" si="2"/>
        <v>3013_Awareness Kurzberatung Energie</v>
      </c>
      <c r="D105" s="5">
        <f ca="1"/>
        <v>99</v>
      </c>
      <c r="E105" s="5">
        <f ca="1"/>
        <v>3013</v>
      </c>
      <c r="F105" s="5" t="str">
        <f ca="1"/>
        <v>x</v>
      </c>
      <c r="G105" s="5" t="str">
        <f ca="1"/>
        <v>Awareness Kurzberatung Energie</v>
      </c>
      <c r="H105" s="5" t="str">
        <f ca="1"/>
        <v>Beauty Lounge</v>
      </c>
      <c r="I105" s="5" t="str">
        <f ca="1"/>
        <v>Daniela</v>
      </c>
      <c r="J105" s="5" t="str">
        <f ca="1"/>
        <v>Abdrosch</v>
      </c>
      <c r="K105" s="5" t="str">
        <f ca="1"/>
        <v/>
      </c>
      <c r="L105" s="5">
        <f ca="1"/>
        <v>0</v>
      </c>
      <c r="M105" s="5">
        <f ca="1"/>
        <v>3812</v>
      </c>
      <c r="N105" s="5" t="str">
        <f ca="1"/>
        <v>Waldreichs</v>
      </c>
      <c r="O105" s="5" t="str">
        <f ca="1"/>
        <v>Sonnenstraße</v>
      </c>
      <c r="P105" s="5">
        <f ca="1"/>
        <v>2</v>
      </c>
      <c r="Q105" s="5" t="str">
        <f ca="1"/>
        <v/>
      </c>
      <c r="R105" s="5" t="str">
        <f ca="1"/>
        <v/>
      </c>
      <c r="S105" s="5" t="str">
        <f ca="1"/>
        <v/>
      </c>
      <c r="T105" s="5" t="str">
        <f ca="1"/>
        <v/>
      </c>
      <c r="U105" s="5" t="str">
        <f ca="1"/>
        <v/>
      </c>
      <c r="V105" s="5" t="str">
        <f ca="1"/>
        <v/>
      </c>
      <c r="W105" t="str">
        <f ca="1"/>
        <v/>
      </c>
      <c r="X105">
        <f ca="1"/>
        <v>0</v>
      </c>
      <c r="Y105">
        <f ca="1"/>
        <v>0</v>
      </c>
      <c r="Z105" t="str">
        <f ca="1"/>
        <v/>
      </c>
    </row>
    <row r="106" spans="3:26" ht="16.149999999999999" customHeight="1" x14ac:dyDescent="0.25">
      <c r="C106" s="11" t="str">
        <f t="shared" ca="1" si="2"/>
        <v>3014_Awareness Kurzberatung Energie, Kurzberatung, Kurzberatung Mobilität, Schwerpunktberatung</v>
      </c>
      <c r="D106" s="5">
        <f ca="1"/>
        <v>100</v>
      </c>
      <c r="E106" s="5">
        <f ca="1"/>
        <v>3014</v>
      </c>
      <c r="F106" s="5" t="str">
        <f ca="1"/>
        <v>x</v>
      </c>
      <c r="G106" s="5" t="str">
        <f ca="1"/>
        <v>Awareness Kurzberatung Energie, Kurzberatung, Kurzberatung Mobilität, Schwerpunktberatung</v>
      </c>
      <c r="H106" s="5" t="str">
        <f ca="1"/>
        <v>Henkel Beiz - und Elektropoliertechnik Beriebs GmbH</v>
      </c>
      <c r="I106" s="5" t="str">
        <f ca="1"/>
        <v>August Franz</v>
      </c>
      <c r="J106" s="5" t="str">
        <f ca="1"/>
        <v>Böhm</v>
      </c>
      <c r="K106" s="5" t="str">
        <f ca="1"/>
        <v>02842 / 54331</v>
      </c>
      <c r="L106" s="5">
        <f ca="1"/>
        <v>0</v>
      </c>
      <c r="M106" s="5">
        <f ca="1"/>
        <v>3830</v>
      </c>
      <c r="N106" s="5" t="str">
        <f ca="1"/>
        <v>Waidhofen an der Thaya</v>
      </c>
      <c r="O106" s="5" t="str">
        <f ca="1"/>
        <v>Stoißmühle</v>
      </c>
      <c r="P106" s="5">
        <f ca="1"/>
        <v>2</v>
      </c>
      <c r="Q106" s="5" t="str">
        <f ca="1"/>
        <v/>
      </c>
      <c r="R106" s="5" t="str">
        <f ca="1"/>
        <v/>
      </c>
      <c r="S106" s="5" t="str">
        <f ca="1"/>
        <v/>
      </c>
      <c r="T106" s="5" t="str">
        <f ca="1"/>
        <v/>
      </c>
      <c r="U106" s="5" t="str">
        <f ca="1"/>
        <v/>
      </c>
      <c r="V106" s="5" t="str">
        <f ca="1"/>
        <v/>
      </c>
      <c r="W106" t="str">
        <f ca="1"/>
        <v/>
      </c>
      <c r="X106">
        <f ca="1"/>
        <v>0</v>
      </c>
      <c r="Y106">
        <f ca="1"/>
        <v>0</v>
      </c>
      <c r="Z106" t="str">
        <f ca="1"/>
        <v/>
      </c>
    </row>
    <row r="107" spans="3:26" ht="16.149999999999999" customHeight="1" x14ac:dyDescent="0.25">
      <c r="C107" s="11" t="str">
        <f t="shared" ca="1" si="2"/>
        <v>3018_Awareness Kurzberatung Energie</v>
      </c>
      <c r="D107" s="5">
        <f ca="1"/>
        <v>101</v>
      </c>
      <c r="E107" s="5">
        <f ca="1"/>
        <v>3018</v>
      </c>
      <c r="F107" s="5" t="str">
        <f ca="1"/>
        <v>x</v>
      </c>
      <c r="G107" s="5" t="str">
        <f ca="1"/>
        <v>Awareness Kurzberatung Energie</v>
      </c>
      <c r="H107" s="5" t="str">
        <f ca="1"/>
        <v>Gasthof zur Kirche</v>
      </c>
      <c r="I107" s="5" t="str">
        <f ca="1"/>
        <v>Franz</v>
      </c>
      <c r="J107" s="5" t="str">
        <f ca="1"/>
        <v>Schrammel</v>
      </c>
      <c r="K107" s="5" t="str">
        <f ca="1"/>
        <v/>
      </c>
      <c r="L107" s="5">
        <f ca="1"/>
        <v>0</v>
      </c>
      <c r="M107" s="5">
        <f ca="1"/>
        <v>3623</v>
      </c>
      <c r="N107" s="5" t="str">
        <f ca="1"/>
        <v>Kottes</v>
      </c>
      <c r="O107" s="5" t="str">
        <f ca="1"/>
        <v>Marktplatz</v>
      </c>
      <c r="P107" s="5">
        <f ca="1"/>
        <v>3</v>
      </c>
      <c r="Q107" s="5" t="str">
        <f ca="1"/>
        <v/>
      </c>
      <c r="R107" s="5" t="str">
        <f ca="1"/>
        <v/>
      </c>
      <c r="S107" s="5" t="str">
        <f ca="1"/>
        <v/>
      </c>
      <c r="T107" s="5" t="str">
        <f ca="1"/>
        <v/>
      </c>
      <c r="U107" s="5" t="str">
        <f ca="1"/>
        <v/>
      </c>
      <c r="V107" s="5" t="str">
        <f ca="1"/>
        <v/>
      </c>
      <c r="W107" t="str">
        <f ca="1"/>
        <v/>
      </c>
      <c r="X107">
        <f ca="1"/>
        <v>0</v>
      </c>
      <c r="Y107">
        <f ca="1"/>
        <v>0</v>
      </c>
      <c r="Z107" t="str">
        <f ca="1"/>
        <v/>
      </c>
    </row>
    <row r="108" spans="3:26" ht="16.149999999999999" customHeight="1" x14ac:dyDescent="0.25">
      <c r="C108" s="11" t="str">
        <f t="shared" ca="1" si="2"/>
        <v>3020_Kurzberatung Energie</v>
      </c>
      <c r="D108" s="5">
        <f ca="1"/>
        <v>102</v>
      </c>
      <c r="E108" s="5">
        <f ca="1"/>
        <v>3020</v>
      </c>
      <c r="F108" s="5" t="str">
        <f ca="1"/>
        <v>x</v>
      </c>
      <c r="G108" s="5" t="str">
        <f ca="1"/>
        <v>Kurzberatung Energie</v>
      </c>
      <c r="H108" s="5" t="str">
        <f ca="1"/>
        <v>PURes Biogemüse GmbH</v>
      </c>
      <c r="I108" s="5" t="str">
        <f ca="1"/>
        <v>Patrick</v>
      </c>
      <c r="J108" s="5" t="str">
        <f ca="1"/>
        <v>Dangl</v>
      </c>
      <c r="K108" s="5" t="str">
        <f ca="1"/>
        <v/>
      </c>
      <c r="L108" s="5">
        <f ca="1"/>
        <v>0</v>
      </c>
      <c r="M108" s="5">
        <f ca="1"/>
        <v>2295</v>
      </c>
      <c r="N108" s="5" t="str">
        <f ca="1"/>
        <v>Oberweiden</v>
      </c>
      <c r="O108" s="5" t="str">
        <f ca="1"/>
        <v>Oberweiden</v>
      </c>
      <c r="P108" s="5">
        <f ca="1"/>
        <v>8</v>
      </c>
      <c r="Q108" s="5" t="str">
        <f ca="1"/>
        <v/>
      </c>
      <c r="R108" s="5" t="str">
        <f ca="1"/>
        <v/>
      </c>
      <c r="S108" s="5" t="str">
        <f ca="1"/>
        <v/>
      </c>
      <c r="T108" s="5" t="str">
        <f ca="1"/>
        <v/>
      </c>
      <c r="U108" s="5" t="str">
        <f ca="1"/>
        <v/>
      </c>
      <c r="V108" s="5" t="str">
        <f ca="1"/>
        <v/>
      </c>
      <c r="W108" t="str">
        <f ca="1"/>
        <v/>
      </c>
      <c r="X108">
        <f ca="1"/>
        <v>0</v>
      </c>
      <c r="Y108">
        <f ca="1"/>
        <v>0</v>
      </c>
      <c r="Z108" t="str">
        <f ca="1"/>
        <v/>
      </c>
    </row>
    <row r="109" spans="3:26" ht="16.149999999999999" customHeight="1" x14ac:dyDescent="0.25">
      <c r="C109" s="11" t="str">
        <f t="shared" ca="1" si="2"/>
        <v>3022_Awareness Kurzberatung Energie</v>
      </c>
      <c r="D109" s="5">
        <f ca="1"/>
        <v>103</v>
      </c>
      <c r="E109" s="5">
        <f ca="1"/>
        <v>3022</v>
      </c>
      <c r="F109" s="5" t="str">
        <f ca="1"/>
        <v>x</v>
      </c>
      <c r="G109" s="5" t="str">
        <f ca="1"/>
        <v>Awareness Kurzberatung Energie</v>
      </c>
      <c r="H109" s="5" t="str">
        <f ca="1"/>
        <v>Johann Schneider</v>
      </c>
      <c r="I109" s="5" t="str">
        <f ca="1"/>
        <v>Johann</v>
      </c>
      <c r="J109" s="5" t="str">
        <f ca="1"/>
        <v>Schneider</v>
      </c>
      <c r="K109" s="5" t="str">
        <f ca="1"/>
        <v/>
      </c>
      <c r="L109" s="5">
        <f ca="1"/>
        <v>0</v>
      </c>
      <c r="M109" s="5">
        <f ca="1"/>
        <v>3921</v>
      </c>
      <c r="N109" s="5" t="str">
        <f ca="1"/>
        <v>Langschlag</v>
      </c>
      <c r="O109" s="5" t="str">
        <f ca="1"/>
        <v>Kainrathschlag</v>
      </c>
      <c r="P109" s="5">
        <f ca="1"/>
        <v>38</v>
      </c>
      <c r="Q109" s="5" t="str">
        <f ca="1"/>
        <v/>
      </c>
      <c r="R109" s="5" t="str">
        <f ca="1"/>
        <v/>
      </c>
      <c r="S109" s="5" t="str">
        <f ca="1"/>
        <v/>
      </c>
      <c r="T109" s="5" t="str">
        <f ca="1"/>
        <v/>
      </c>
      <c r="U109" s="5" t="str">
        <f ca="1"/>
        <v/>
      </c>
      <c r="V109" s="5" t="str">
        <f ca="1"/>
        <v/>
      </c>
      <c r="W109" t="str">
        <f ca="1"/>
        <v/>
      </c>
      <c r="X109">
        <f ca="1"/>
        <v>0</v>
      </c>
      <c r="Y109">
        <f ca="1"/>
        <v>0</v>
      </c>
      <c r="Z109" t="str">
        <f ca="1"/>
        <v/>
      </c>
    </row>
    <row r="110" spans="3:26" ht="16.149999999999999" customHeight="1" x14ac:dyDescent="0.25">
      <c r="C110" s="11" t="str">
        <f t="shared" ca="1" si="2"/>
        <v>3025_Awareness Kurzberatung Energie, Schwerpunktberatung, Kurzberatung</v>
      </c>
      <c r="D110" s="5">
        <f ca="1"/>
        <v>105</v>
      </c>
      <c r="E110" s="5">
        <f ca="1"/>
        <v>3025</v>
      </c>
      <c r="F110" s="5" t="str">
        <f ca="1"/>
        <v>x</v>
      </c>
      <c r="G110" s="5" t="str">
        <f ca="1"/>
        <v>Awareness Kurzberatung Energie, Schwerpunktberatung, Kurzberatung</v>
      </c>
      <c r="H110" s="5" t="str">
        <f ca="1"/>
        <v>Thomas Blei e.U.</v>
      </c>
      <c r="I110" s="5" t="str">
        <f ca="1"/>
        <v>Thomas</v>
      </c>
      <c r="J110" s="5" t="str">
        <f ca="1"/>
        <v>Blei</v>
      </c>
      <c r="K110" s="5" t="str">
        <f ca="1"/>
        <v/>
      </c>
      <c r="L110" s="5">
        <f ca="1"/>
        <v>0</v>
      </c>
      <c r="M110" s="5">
        <f ca="1"/>
        <v>2091</v>
      </c>
      <c r="N110" s="5" t="str">
        <f ca="1"/>
        <v>Langau</v>
      </c>
      <c r="O110" s="5" t="str">
        <f ca="1"/>
        <v>Langau</v>
      </c>
      <c r="P110" s="5">
        <f ca="1"/>
        <v>52</v>
      </c>
      <c r="Q110" s="5" t="str">
        <f ca="1"/>
        <v/>
      </c>
      <c r="R110" s="5" t="str">
        <f ca="1"/>
        <v/>
      </c>
      <c r="S110" s="5" t="str">
        <f ca="1"/>
        <v/>
      </c>
      <c r="T110" s="5" t="str">
        <f ca="1"/>
        <v/>
      </c>
      <c r="U110" s="5" t="str">
        <f ca="1"/>
        <v/>
      </c>
      <c r="V110" s="5" t="str">
        <f ca="1"/>
        <v/>
      </c>
      <c r="W110" t="str">
        <f ca="1"/>
        <v/>
      </c>
      <c r="X110">
        <f ca="1"/>
        <v>0</v>
      </c>
      <c r="Y110">
        <f ca="1"/>
        <v>0</v>
      </c>
      <c r="Z110" t="str">
        <f ca="1"/>
        <v/>
      </c>
    </row>
    <row r="111" spans="3:26" ht="16.149999999999999" customHeight="1" x14ac:dyDescent="0.25">
      <c r="C111" s="11" t="str">
        <f t="shared" ca="1" si="2"/>
        <v>3026_Awareness Kurzberatung Energie</v>
      </c>
      <c r="D111" s="5">
        <f ca="1"/>
        <v>106</v>
      </c>
      <c r="E111" s="5">
        <f ca="1"/>
        <v>3026</v>
      </c>
      <c r="F111" s="5" t="str">
        <f ca="1"/>
        <v>x</v>
      </c>
      <c r="G111" s="5" t="str">
        <f ca="1"/>
        <v>Awareness Kurzberatung Energie</v>
      </c>
      <c r="H111" s="5" t="str">
        <f ca="1"/>
        <v>Marktgemeinde Rastenfeld</v>
      </c>
      <c r="I111" s="5" t="str">
        <f ca="1"/>
        <v>Gerhard</v>
      </c>
      <c r="J111" s="5" t="str">
        <f ca="1"/>
        <v>Wandl</v>
      </c>
      <c r="K111" s="5" t="str">
        <f ca="1"/>
        <v/>
      </c>
      <c r="L111" s="5">
        <f ca="1"/>
        <v>0</v>
      </c>
      <c r="M111" s="5">
        <f ca="1"/>
        <v>3532</v>
      </c>
      <c r="N111" s="5" t="str">
        <f ca="1"/>
        <v>Rastenfeld</v>
      </c>
      <c r="O111" s="5" t="str">
        <f ca="1"/>
        <v>Rastenfeld</v>
      </c>
      <c r="P111" s="5">
        <f ca="1"/>
        <v>88</v>
      </c>
      <c r="Q111" s="5" t="str">
        <f ca="1"/>
        <v/>
      </c>
      <c r="R111" s="5" t="str">
        <f ca="1"/>
        <v/>
      </c>
      <c r="S111" s="5" t="str">
        <f ca="1"/>
        <v/>
      </c>
      <c r="T111" s="5" t="str">
        <f ca="1"/>
        <v/>
      </c>
      <c r="U111" s="5" t="str">
        <f ca="1"/>
        <v/>
      </c>
      <c r="V111" s="5" t="str">
        <f ca="1"/>
        <v/>
      </c>
      <c r="W111" t="str">
        <f ca="1"/>
        <v/>
      </c>
      <c r="X111">
        <f ca="1"/>
        <v>0</v>
      </c>
      <c r="Y111">
        <f ca="1"/>
        <v>0</v>
      </c>
      <c r="Z111" t="str">
        <f ca="1"/>
        <v/>
      </c>
    </row>
    <row r="112" spans="3:26" ht="16.149999999999999" customHeight="1" x14ac:dyDescent="0.25">
      <c r="C112" s="11" t="str">
        <f t="shared" ca="1" si="2"/>
        <v>3029_Awareness Kurzberatung Energie, Schwerpunktberatung</v>
      </c>
      <c r="D112" s="5">
        <f ca="1"/>
        <v>107</v>
      </c>
      <c r="E112" s="5">
        <f ca="1"/>
        <v>3029</v>
      </c>
      <c r="F112" s="5" t="str">
        <f ca="1"/>
        <v>x</v>
      </c>
      <c r="G112" s="5" t="str">
        <f ca="1"/>
        <v>Awareness Kurzberatung Energie, Schwerpunktberatung</v>
      </c>
      <c r="H112" s="5" t="str">
        <f ca="1"/>
        <v>Nordgeister e. U. Getränkehandel</v>
      </c>
      <c r="I112" s="5" t="str">
        <f ca="1"/>
        <v>Kerim</v>
      </c>
      <c r="J112" s="5" t="str">
        <f ca="1"/>
        <v>El Behi</v>
      </c>
      <c r="K112" s="5" t="str">
        <f ca="1"/>
        <v/>
      </c>
      <c r="L112" s="5" t="str">
        <f ca="1"/>
        <v>office@nordgeister.at</v>
      </c>
      <c r="M112" s="5">
        <f ca="1"/>
        <v>3851</v>
      </c>
      <c r="N112" s="5" t="str">
        <f ca="1"/>
        <v>Kautzen</v>
      </c>
      <c r="O112" s="5" t="str">
        <f ca="1"/>
        <v>Hauptplatz</v>
      </c>
      <c r="P112" s="5">
        <f ca="1"/>
        <v>6</v>
      </c>
      <c r="Q112" s="5" t="str">
        <f ca="1"/>
        <v/>
      </c>
      <c r="R112" s="5" t="str">
        <f ca="1"/>
        <v/>
      </c>
      <c r="S112" s="5" t="str">
        <f ca="1"/>
        <v/>
      </c>
      <c r="T112" s="5" t="str">
        <f ca="1"/>
        <v/>
      </c>
      <c r="U112" s="5" t="str">
        <f ca="1"/>
        <v/>
      </c>
      <c r="V112" s="5" t="str">
        <f ca="1"/>
        <v/>
      </c>
      <c r="W112" t="str">
        <f ca="1"/>
        <v/>
      </c>
      <c r="X112">
        <f ca="1"/>
        <v>0</v>
      </c>
      <c r="Y112">
        <f ca="1"/>
        <v>0</v>
      </c>
      <c r="Z112" t="str">
        <f ca="1"/>
        <v/>
      </c>
    </row>
    <row r="113" spans="3:26" ht="16.149999999999999" customHeight="1" x14ac:dyDescent="0.25">
      <c r="C113" s="11" t="str">
        <f t="shared" ca="1" si="2"/>
        <v>3030_Awareness Kurzberatung Energie</v>
      </c>
      <c r="D113" s="5">
        <f ca="1"/>
        <v>108</v>
      </c>
      <c r="E113" s="5">
        <f ca="1"/>
        <v>3030</v>
      </c>
      <c r="F113" s="5" t="str">
        <f ca="1"/>
        <v>x</v>
      </c>
      <c r="G113" s="5" t="str">
        <f ca="1"/>
        <v>Awareness Kurzberatung Energie</v>
      </c>
      <c r="H113" s="5" t="str">
        <f ca="1"/>
        <v>Blumenhaus Tutschek</v>
      </c>
      <c r="I113" s="5" t="str">
        <f ca="1"/>
        <v>Siegfried</v>
      </c>
      <c r="J113" s="5" t="str">
        <f ca="1"/>
        <v>Tutschek</v>
      </c>
      <c r="K113" s="5" t="str">
        <f ca="1"/>
        <v/>
      </c>
      <c r="L113" s="5">
        <f ca="1"/>
        <v>0</v>
      </c>
      <c r="M113" s="5">
        <f ca="1"/>
        <v>3730</v>
      </c>
      <c r="N113" s="5" t="str">
        <f ca="1"/>
        <v>Eggenburg</v>
      </c>
      <c r="O113" s="5" t="str">
        <f ca="1"/>
        <v>Pulkauerstraße</v>
      </c>
      <c r="P113" s="5">
        <f ca="1"/>
        <v>42</v>
      </c>
      <c r="Q113" s="5" t="str">
        <f ca="1"/>
        <v/>
      </c>
      <c r="R113" s="5" t="str">
        <f ca="1"/>
        <v/>
      </c>
      <c r="S113" s="5" t="str">
        <f ca="1"/>
        <v/>
      </c>
      <c r="T113" s="5" t="str">
        <f ca="1"/>
        <v/>
      </c>
      <c r="U113" s="5" t="str">
        <f ca="1"/>
        <v/>
      </c>
      <c r="V113" s="5" t="str">
        <f ca="1"/>
        <v/>
      </c>
      <c r="W113" t="str">
        <f ca="1"/>
        <v/>
      </c>
      <c r="X113">
        <f ca="1"/>
        <v>0</v>
      </c>
      <c r="Y113">
        <f ca="1"/>
        <v>0</v>
      </c>
      <c r="Z113" t="str">
        <f ca="1"/>
        <v/>
      </c>
    </row>
    <row r="114" spans="3:26" ht="16.149999999999999" customHeight="1" x14ac:dyDescent="0.25">
      <c r="C114" s="11" t="str">
        <f t="shared" ca="1" si="2"/>
        <v>3032_Awareness Kurzberatung Energie, Schwerpunktberatung, Umsetzungs - Schwerpunktberatung PV</v>
      </c>
      <c r="D114" s="5">
        <f ca="1"/>
        <v>109</v>
      </c>
      <c r="E114" s="5">
        <f ca="1"/>
        <v>3032</v>
      </c>
      <c r="F114" s="5" t="str">
        <f ca="1"/>
        <v>x</v>
      </c>
      <c r="G114" s="5" t="str">
        <f ca="1"/>
        <v>Awareness Kurzberatung Energie, Schwerpunktberatung, Umsetzungs - Schwerpunktberatung PV</v>
      </c>
      <c r="H114" s="5" t="str">
        <f ca="1"/>
        <v>KFZ - Landtechnik Miksche</v>
      </c>
      <c r="I114" s="5" t="str">
        <f ca="1"/>
        <v>Edwin</v>
      </c>
      <c r="J114" s="5" t="str">
        <f ca="1"/>
        <v>Miksche</v>
      </c>
      <c r="K114" s="5" t="str">
        <f ca="1"/>
        <v/>
      </c>
      <c r="L114" s="5">
        <f ca="1"/>
        <v>0</v>
      </c>
      <c r="M114" s="5">
        <f ca="1"/>
        <v>3843</v>
      </c>
      <c r="N114" s="5" t="str">
        <f ca="1"/>
        <v>Dobersberg</v>
      </c>
      <c r="O114" s="5" t="str">
        <f ca="1"/>
        <v>Kirchenstraße</v>
      </c>
      <c r="P114" s="5">
        <f ca="1"/>
        <v>1</v>
      </c>
      <c r="Q114" s="5" t="str">
        <f ca="1"/>
        <v/>
      </c>
      <c r="R114" s="5" t="str">
        <f ca="1"/>
        <v/>
      </c>
      <c r="S114" s="5" t="str">
        <f ca="1"/>
        <v/>
      </c>
      <c r="T114" s="5" t="str">
        <f ca="1"/>
        <v/>
      </c>
      <c r="U114" s="5" t="str">
        <f ca="1"/>
        <v/>
      </c>
      <c r="V114" s="5" t="str">
        <f ca="1"/>
        <v/>
      </c>
      <c r="W114" t="str">
        <f ca="1"/>
        <v/>
      </c>
      <c r="X114">
        <f ca="1"/>
        <v>0</v>
      </c>
      <c r="Y114">
        <f ca="1"/>
        <v>0</v>
      </c>
      <c r="Z114" t="str">
        <f ca="1"/>
        <v/>
      </c>
    </row>
    <row r="115" spans="3:26" ht="16.149999999999999" customHeight="1" x14ac:dyDescent="0.25">
      <c r="C115" s="11" t="str">
        <f t="shared" ca="1" si="2"/>
        <v>3037_Awareness Kurzberatung Energie</v>
      </c>
      <c r="D115" s="5">
        <f ca="1"/>
        <v>110</v>
      </c>
      <c r="E115" s="5">
        <f ca="1"/>
        <v>3037</v>
      </c>
      <c r="F115" s="5" t="str">
        <f ca="1"/>
        <v>x</v>
      </c>
      <c r="G115" s="5" t="str">
        <f ca="1"/>
        <v>Awareness Kurzberatung Energie</v>
      </c>
      <c r="H115" s="5" t="str">
        <f ca="1"/>
        <v>TEST - FUCHS GmbH</v>
      </c>
      <c r="I115" s="5" t="str">
        <f ca="1"/>
        <v>Daniel</v>
      </c>
      <c r="J115" s="5" t="str">
        <f ca="1"/>
        <v>Neubauer</v>
      </c>
      <c r="K115" s="5" t="str">
        <f ca="1"/>
        <v/>
      </c>
      <c r="L115" s="5">
        <f ca="1"/>
        <v>0</v>
      </c>
      <c r="M115" s="5">
        <f ca="1"/>
        <v>3812</v>
      </c>
      <c r="N115" s="5" t="str">
        <f ca="1"/>
        <v>Groß - Siegharts</v>
      </c>
      <c r="O115" s="5" t="str">
        <f ca="1"/>
        <v>Test Fuchs Straße</v>
      </c>
      <c r="P115" s="5">
        <f ca="1"/>
        <v>1</v>
      </c>
      <c r="Q115" s="5" t="str">
        <f ca="1"/>
        <v/>
      </c>
      <c r="R115" s="5" t="str">
        <f ca="1"/>
        <v/>
      </c>
      <c r="S115" s="5" t="str">
        <f ca="1"/>
        <v/>
      </c>
      <c r="T115" s="5" t="str">
        <f ca="1"/>
        <v/>
      </c>
      <c r="U115" s="5" t="str">
        <f ca="1"/>
        <v/>
      </c>
      <c r="V115" s="5" t="str">
        <f ca="1"/>
        <v/>
      </c>
      <c r="W115" t="str">
        <f ca="1"/>
        <v/>
      </c>
      <c r="X115">
        <f ca="1"/>
        <v>0</v>
      </c>
      <c r="Y115">
        <f ca="1"/>
        <v>0</v>
      </c>
      <c r="Z115" t="str">
        <f ca="1"/>
        <v/>
      </c>
    </row>
    <row r="116" spans="3:26" ht="16.149999999999999" customHeight="1" x14ac:dyDescent="0.25">
      <c r="C116" s="11" t="str">
        <f t="shared" ca="1" si="2"/>
        <v>3038_Awareness Kurzberatung Energie</v>
      </c>
      <c r="D116" s="5">
        <f ca="1"/>
        <v>111</v>
      </c>
      <c r="E116" s="5">
        <f ca="1"/>
        <v>3038</v>
      </c>
      <c r="F116" s="5" t="str">
        <f ca="1"/>
        <v>x</v>
      </c>
      <c r="G116" s="5" t="str">
        <f ca="1"/>
        <v>Awareness Kurzberatung Energie</v>
      </c>
      <c r="H116" s="5" t="str">
        <f ca="1"/>
        <v>Transporte allarm</v>
      </c>
      <c r="I116" s="5">
        <f ca="1"/>
        <v>0</v>
      </c>
      <c r="J116" s="5">
        <f ca="1"/>
        <v>0</v>
      </c>
      <c r="K116" s="5" t="str">
        <f ca="1"/>
        <v/>
      </c>
      <c r="L116" s="5">
        <f ca="1"/>
        <v>0</v>
      </c>
      <c r="M116" s="5">
        <f ca="1"/>
        <v>3595</v>
      </c>
      <c r="N116" s="5" t="str">
        <f ca="1"/>
        <v>Brunn an der Wild</v>
      </c>
      <c r="O116" s="5" t="str">
        <f ca="1"/>
        <v>Sankt Marein</v>
      </c>
      <c r="P116" s="5">
        <f ca="1"/>
        <v>38</v>
      </c>
      <c r="Q116" s="5" t="str">
        <f ca="1"/>
        <v/>
      </c>
      <c r="R116" s="5" t="str">
        <f ca="1"/>
        <v/>
      </c>
      <c r="S116" s="5" t="str">
        <f ca="1"/>
        <v/>
      </c>
      <c r="T116" s="5" t="str">
        <f ca="1"/>
        <v/>
      </c>
      <c r="U116" s="5" t="str">
        <f ca="1"/>
        <v/>
      </c>
      <c r="V116" s="5" t="str">
        <f ca="1"/>
        <v/>
      </c>
      <c r="W116" t="str">
        <f ca="1"/>
        <v/>
      </c>
      <c r="X116">
        <f ca="1"/>
        <v>0</v>
      </c>
      <c r="Y116">
        <f ca="1"/>
        <v>0</v>
      </c>
      <c r="Z116" t="str">
        <f ca="1"/>
        <v/>
      </c>
    </row>
    <row r="117" spans="3:26" ht="16.149999999999999" customHeight="1" x14ac:dyDescent="0.25">
      <c r="C117" s="11" t="str">
        <f t="shared" ca="1" si="2"/>
        <v>3041_Kurzberatung Hilfe PV Anlage inkl. Wirtschaftlichkitsrg. Mögliche Förderungen</v>
      </c>
      <c r="D117" s="5">
        <f ca="1"/>
        <v>112</v>
      </c>
      <c r="E117" s="5">
        <f ca="1"/>
        <v>3041</v>
      </c>
      <c r="F117" s="5" t="str">
        <f ca="1"/>
        <v>x</v>
      </c>
      <c r="G117" s="5" t="str">
        <f ca="1"/>
        <v>Kurzberatung Hilfe PV Anlage inkl. Wirtschaftlichkitsrg. Mögliche Förderungen</v>
      </c>
      <c r="H117" s="5" t="str">
        <f ca="1"/>
        <v>ARTE Hotel GmbH</v>
      </c>
      <c r="I117" s="5" t="str">
        <f ca="1"/>
        <v>Markus</v>
      </c>
      <c r="J117" s="5" t="str">
        <f ca="1"/>
        <v>Hann</v>
      </c>
      <c r="K117" s="5" t="str">
        <f ca="1"/>
        <v/>
      </c>
      <c r="L117" s="5">
        <f ca="1"/>
        <v>0</v>
      </c>
      <c r="M117" s="5">
        <f ca="1"/>
        <v>3910</v>
      </c>
      <c r="N117" s="5" t="str">
        <f ca="1"/>
        <v>Zwettl</v>
      </c>
      <c r="O117" s="5" t="str">
        <f ca="1"/>
        <v>Almweg</v>
      </c>
      <c r="P117" s="5">
        <f ca="1"/>
        <v>1</v>
      </c>
      <c r="Q117" s="5" t="str">
        <f ca="1"/>
        <v/>
      </c>
      <c r="R117" s="5" t="str">
        <f ca="1"/>
        <v/>
      </c>
      <c r="S117" s="5" t="str">
        <f ca="1"/>
        <v/>
      </c>
      <c r="T117" s="5" t="str">
        <f ca="1"/>
        <v/>
      </c>
      <c r="U117" s="5" t="str">
        <f ca="1"/>
        <v/>
      </c>
      <c r="V117" s="5" t="str">
        <f ca="1"/>
        <v/>
      </c>
      <c r="W117" t="str">
        <f ca="1"/>
        <v/>
      </c>
      <c r="X117">
        <f ca="1"/>
        <v>0</v>
      </c>
      <c r="Y117">
        <f ca="1"/>
        <v>0</v>
      </c>
      <c r="Z117" t="str">
        <f ca="1"/>
        <v/>
      </c>
    </row>
    <row r="118" spans="3:26" ht="16.149999999999999" customHeight="1" x14ac:dyDescent="0.25">
      <c r="C118" s="11" t="str">
        <f t="shared" ca="1" si="2"/>
        <v>3042_Kurzberatung PV Anlage, mögliche Förderungen, Schwerpunktberatung</v>
      </c>
      <c r="D118" s="5">
        <f ca="1"/>
        <v>113</v>
      </c>
      <c r="E118" s="5">
        <f ca="1"/>
        <v>3042</v>
      </c>
      <c r="F118" s="5" t="str">
        <f ca="1"/>
        <v>x</v>
      </c>
      <c r="G118" s="5" t="str">
        <f ca="1"/>
        <v>Kurzberatung PV Anlage, mögliche Förderungen, Schwerpunktberatung</v>
      </c>
      <c r="H118" s="5" t="str">
        <f ca="1"/>
        <v>Handl GmbH</v>
      </c>
      <c r="I118" s="5" t="str">
        <f ca="1"/>
        <v>Lambert</v>
      </c>
      <c r="J118" s="5" t="str">
        <f ca="1"/>
        <v>Handl</v>
      </c>
      <c r="K118" s="5" t="str">
        <f ca="1"/>
        <v/>
      </c>
      <c r="L118" s="5">
        <f ca="1"/>
        <v>0</v>
      </c>
      <c r="M118" s="5">
        <f ca="1"/>
        <v>3843</v>
      </c>
      <c r="N118" s="5" t="str">
        <f ca="1"/>
        <v>Dobersberg</v>
      </c>
      <c r="O118" s="5" t="str">
        <f ca="1"/>
        <v>Waldkirchner Straße</v>
      </c>
      <c r="P118" s="5">
        <f ca="1"/>
        <v>2</v>
      </c>
      <c r="Q118" s="5" t="str">
        <f ca="1"/>
        <v/>
      </c>
      <c r="R118" s="5" t="str">
        <f ca="1"/>
        <v/>
      </c>
      <c r="S118" s="5" t="str">
        <f ca="1"/>
        <v/>
      </c>
      <c r="T118" s="5" t="str">
        <f ca="1"/>
        <v/>
      </c>
      <c r="U118" s="5" t="str">
        <f ca="1"/>
        <v/>
      </c>
      <c r="V118" s="5" t="str">
        <f ca="1"/>
        <v/>
      </c>
      <c r="W118" t="str">
        <f ca="1"/>
        <v/>
      </c>
      <c r="X118">
        <f ca="1"/>
        <v>0</v>
      </c>
      <c r="Y118">
        <f ca="1"/>
        <v>0</v>
      </c>
      <c r="Z118" t="str">
        <f ca="1"/>
        <v/>
      </c>
    </row>
    <row r="119" spans="3:26" ht="16.149999999999999" customHeight="1" x14ac:dyDescent="0.25">
      <c r="C119" s="11" t="str">
        <f t="shared" ca="1" si="2"/>
        <v>3043_Kurzberatung Planung PV Anlage, Überschussstrom Heizungsunterstützung</v>
      </c>
      <c r="D119" s="5">
        <f ca="1"/>
        <v>114</v>
      </c>
      <c r="E119" s="5">
        <f ca="1"/>
        <v>3043</v>
      </c>
      <c r="F119" s="5" t="str">
        <f ca="1"/>
        <v>x</v>
      </c>
      <c r="G119" s="5" t="str">
        <f ca="1"/>
        <v>Kurzberatung Planung PV Anlage, Überschussstrom Heizungsunterstützung</v>
      </c>
      <c r="H119" s="5" t="str">
        <f ca="1"/>
        <v>Trisko GmbH</v>
      </c>
      <c r="I119" s="5" t="str">
        <f ca="1"/>
        <v>Stefan</v>
      </c>
      <c r="J119" s="5" t="str">
        <f ca="1"/>
        <v>Trisko</v>
      </c>
      <c r="K119" s="5" t="str">
        <f ca="1"/>
        <v/>
      </c>
      <c r="L119" s="5">
        <f ca="1"/>
        <v>0</v>
      </c>
      <c r="M119" s="5">
        <f ca="1"/>
        <v>3902</v>
      </c>
      <c r="N119" s="5" t="str">
        <f ca="1"/>
        <v>Vitis</v>
      </c>
      <c r="O119" s="5" t="str">
        <f ca="1"/>
        <v>Kleingloms</v>
      </c>
      <c r="P119" s="5">
        <f ca="1"/>
        <v>19</v>
      </c>
      <c r="Q119" s="5" t="str">
        <f ca="1"/>
        <v/>
      </c>
      <c r="R119" s="5" t="str">
        <f ca="1"/>
        <v/>
      </c>
      <c r="S119" s="5" t="str">
        <f ca="1"/>
        <v/>
      </c>
      <c r="T119" s="5" t="str">
        <f ca="1"/>
        <v/>
      </c>
      <c r="U119" s="5" t="str">
        <f ca="1"/>
        <v/>
      </c>
      <c r="V119" s="5" t="str">
        <f ca="1"/>
        <v/>
      </c>
      <c r="W119" t="str">
        <f ca="1"/>
        <v/>
      </c>
      <c r="X119">
        <f ca="1"/>
        <v>0</v>
      </c>
      <c r="Y119">
        <f ca="1"/>
        <v>0</v>
      </c>
      <c r="Z119" t="str">
        <f ca="1"/>
        <v/>
      </c>
    </row>
    <row r="120" spans="3:26" ht="16.149999999999999" customHeight="1" x14ac:dyDescent="0.25">
      <c r="C120" s="11" t="str">
        <f t="shared" ca="1" si="2"/>
        <v>3045_Kurzberatung Grobplanung PV Anlage</v>
      </c>
      <c r="D120" s="5">
        <f ca="1"/>
        <v>115</v>
      </c>
      <c r="E120" s="5">
        <f ca="1"/>
        <v>3045</v>
      </c>
      <c r="F120" s="5" t="str">
        <f ca="1"/>
        <v>x</v>
      </c>
      <c r="G120" s="5" t="str">
        <f ca="1"/>
        <v>Kurzberatung Grobplanung PV Anlage</v>
      </c>
      <c r="H120" s="5" t="str">
        <f ca="1"/>
        <v>Wurmhof Thaller</v>
      </c>
      <c r="I120" s="5" t="str">
        <f ca="1"/>
        <v>Gaby, Wolfgang</v>
      </c>
      <c r="J120" s="5" t="str">
        <f ca="1"/>
        <v>Thaller</v>
      </c>
      <c r="K120" s="5" t="str">
        <f ca="1"/>
        <v/>
      </c>
      <c r="L120" s="5">
        <f ca="1"/>
        <v>0</v>
      </c>
      <c r="M120" s="5">
        <f ca="1"/>
        <v>3910</v>
      </c>
      <c r="N120" s="5" t="str">
        <f ca="1"/>
        <v>Zwettl</v>
      </c>
      <c r="O120" s="5" t="str">
        <f ca="1"/>
        <v>Oberhof</v>
      </c>
      <c r="P120" s="5">
        <f ca="1"/>
        <v>28</v>
      </c>
      <c r="Q120" s="5" t="str">
        <f ca="1"/>
        <v/>
      </c>
      <c r="R120" s="5" t="str">
        <f ca="1"/>
        <v/>
      </c>
      <c r="S120" s="5" t="str">
        <f ca="1"/>
        <v/>
      </c>
      <c r="T120" s="5" t="str">
        <f ca="1"/>
        <v/>
      </c>
      <c r="U120" s="5" t="str">
        <f ca="1"/>
        <v/>
      </c>
      <c r="V120" s="5" t="str">
        <f ca="1"/>
        <v/>
      </c>
      <c r="W120" t="str">
        <f ca="1"/>
        <v/>
      </c>
      <c r="X120">
        <f ca="1"/>
        <v>0</v>
      </c>
      <c r="Y120">
        <f ca="1"/>
        <v>0</v>
      </c>
      <c r="Z120" t="str">
        <f ca="1"/>
        <v/>
      </c>
    </row>
    <row r="121" spans="3:26" ht="16.149999999999999" customHeight="1" x14ac:dyDescent="0.25">
      <c r="C121" s="11" t="str">
        <f t="shared" ca="1" si="2"/>
        <v>3046_Kurzberatung</v>
      </c>
      <c r="D121" s="5">
        <f ca="1"/>
        <v>116</v>
      </c>
      <c r="E121" s="5">
        <f ca="1"/>
        <v>3046</v>
      </c>
      <c r="F121" s="5" t="str">
        <f ca="1"/>
        <v>x</v>
      </c>
      <c r="G121" s="5" t="str">
        <f ca="1"/>
        <v>Kurzberatung</v>
      </c>
      <c r="H121" s="5" t="str">
        <f ca="1"/>
        <v>Gesundheitshotel Klosterberg GmbH</v>
      </c>
      <c r="I121" s="5" t="str">
        <f ca="1"/>
        <v>Karl</v>
      </c>
      <c r="J121" s="5" t="str">
        <f ca="1"/>
        <v>Laister</v>
      </c>
      <c r="K121" s="5" t="str">
        <f ca="1"/>
        <v/>
      </c>
      <c r="L121" s="5">
        <f ca="1"/>
        <v>0</v>
      </c>
      <c r="M121" s="5">
        <f ca="1"/>
        <v>3921</v>
      </c>
      <c r="N121" s="5" t="str">
        <f ca="1"/>
        <v>Langschlag</v>
      </c>
      <c r="O121" s="5" t="str">
        <f ca="1"/>
        <v>Am Berg</v>
      </c>
      <c r="P121" s="5">
        <f ca="1"/>
        <v>170</v>
      </c>
      <c r="Q121" s="5" t="str">
        <f ca="1"/>
        <v/>
      </c>
      <c r="R121" s="5" t="str">
        <f ca="1"/>
        <v/>
      </c>
      <c r="S121" s="5" t="str">
        <f ca="1"/>
        <v/>
      </c>
      <c r="T121" s="5" t="str">
        <f ca="1"/>
        <v/>
      </c>
      <c r="U121" s="5" t="str">
        <f ca="1"/>
        <v/>
      </c>
      <c r="V121" s="5" t="str">
        <f ca="1"/>
        <v/>
      </c>
      <c r="W121" t="str">
        <f ca="1"/>
        <v/>
      </c>
      <c r="X121">
        <f ca="1"/>
        <v>0</v>
      </c>
      <c r="Y121">
        <f ca="1"/>
        <v>0</v>
      </c>
      <c r="Z121" t="str">
        <f ca="1"/>
        <v/>
      </c>
    </row>
    <row r="122" spans="3:26" ht="16.149999999999999" customHeight="1" x14ac:dyDescent="0.25">
      <c r="C122" s="11" t="str">
        <f t="shared" ca="1" si="2"/>
        <v>3047_Kurzberatung, Umsetzungsschwerpunktberatung</v>
      </c>
      <c r="D122" s="5">
        <f ca="1"/>
        <v>117</v>
      </c>
      <c r="E122" s="5">
        <f ca="1"/>
        <v>3047</v>
      </c>
      <c r="F122" s="5" t="str">
        <f ca="1"/>
        <v>x</v>
      </c>
      <c r="G122" s="5" t="str">
        <f ca="1"/>
        <v>Kurzberatung, Umsetzungsschwerpunktberatung</v>
      </c>
      <c r="H122" s="5" t="str">
        <f ca="1"/>
        <v>Stadthotel Waidhofen an der Thaya GmbH &amp; Co KG</v>
      </c>
      <c r="I122" s="5" t="str">
        <f ca="1"/>
        <v>Eduard</v>
      </c>
      <c r="J122" s="5" t="str">
        <f ca="1"/>
        <v>Halmschlager</v>
      </c>
      <c r="K122" s="5" t="str">
        <f ca="1"/>
        <v/>
      </c>
      <c r="L122" s="5">
        <f ca="1"/>
        <v>0</v>
      </c>
      <c r="M122" s="5">
        <f ca="1"/>
        <v>3830</v>
      </c>
      <c r="N122" s="5" t="str">
        <f ca="1"/>
        <v>Waidhofen an der Thaya</v>
      </c>
      <c r="O122" s="5" t="str">
        <f ca="1"/>
        <v>Hauptplatz</v>
      </c>
      <c r="P122" s="5">
        <f ca="1"/>
        <v>25</v>
      </c>
      <c r="Q122" s="5" t="str">
        <f ca="1"/>
        <v/>
      </c>
      <c r="R122" s="5" t="str">
        <f ca="1"/>
        <v/>
      </c>
      <c r="S122" s="5" t="str">
        <f ca="1"/>
        <v/>
      </c>
      <c r="T122" s="5" t="str">
        <f ca="1"/>
        <v/>
      </c>
      <c r="U122" s="5" t="str">
        <f ca="1"/>
        <v/>
      </c>
      <c r="V122" s="5" t="str">
        <f ca="1"/>
        <v/>
      </c>
      <c r="W122" t="str">
        <f ca="1"/>
        <v/>
      </c>
      <c r="X122">
        <f ca="1"/>
        <v>0</v>
      </c>
      <c r="Y122">
        <f ca="1"/>
        <v>0</v>
      </c>
      <c r="Z122" t="str">
        <f ca="1"/>
        <v/>
      </c>
    </row>
    <row r="123" spans="3:26" ht="16.149999999999999" customHeight="1" x14ac:dyDescent="0.25">
      <c r="C123" s="11" t="e">
        <f t="shared" ca="1" si="2"/>
        <v>#VALUE!</v>
      </c>
      <c r="D123" s="5">
        <f ca="1"/>
        <v>118</v>
      </c>
      <c r="E123" s="5">
        <f ca="1"/>
        <v>3050</v>
      </c>
      <c r="F123" s="5" t="str">
        <f ca="1"/>
        <v>x</v>
      </c>
      <c r="G123" s="5" t="str">
        <f ca="1"/>
        <v>Kurzberatung Grobplanung PV Anlage, Kurzberatung E- Mobilität, Schwerpunktberatung PV, Energieeffizienter Neubau, Schwerpunktberatung Neubau SPA, Bereich, Umsetzungs- Schwerpunktberatung Photovoltaik &amp; Speicher, Einsparmaßnahmen Strom</v>
      </c>
      <c r="H123" s="5" t="str">
        <f ca="1"/>
        <v>C &amp; G Gastgewerbe GmbH</v>
      </c>
      <c r="I123" s="5" t="str">
        <f ca="1"/>
        <v>Hunor</v>
      </c>
      <c r="J123" s="5" t="str">
        <f ca="1"/>
        <v>Ince</v>
      </c>
      <c r="K123" s="5" t="str">
        <f ca="1"/>
        <v/>
      </c>
      <c r="L123" s="5">
        <f ca="1"/>
        <v>0</v>
      </c>
      <c r="M123" s="5">
        <f ca="1"/>
        <v>3532</v>
      </c>
      <c r="N123" s="5" t="str">
        <f ca="1"/>
        <v>Rastenfeld</v>
      </c>
      <c r="O123" s="5" t="str">
        <f ca="1"/>
        <v>Peygarten-Ottenstein</v>
      </c>
      <c r="P123" s="5">
        <f ca="1"/>
        <v>69</v>
      </c>
      <c r="Q123" s="5" t="str">
        <f ca="1"/>
        <v/>
      </c>
      <c r="R123" s="5" t="str">
        <f ca="1"/>
        <v/>
      </c>
      <c r="S123" s="5" t="str">
        <f ca="1"/>
        <v/>
      </c>
      <c r="T123" s="5" t="str">
        <f ca="1"/>
        <v/>
      </c>
      <c r="U123" s="5" t="str">
        <f ca="1"/>
        <v/>
      </c>
      <c r="V123" s="5" t="str">
        <f ca="1"/>
        <v/>
      </c>
      <c r="W123" t="str">
        <f ca="1"/>
        <v/>
      </c>
      <c r="X123">
        <f ca="1"/>
        <v>0</v>
      </c>
      <c r="Y123">
        <f ca="1"/>
        <v>0</v>
      </c>
      <c r="Z123" t="str">
        <f ca="1"/>
        <v/>
      </c>
    </row>
    <row r="124" spans="3:26" ht="16.149999999999999" customHeight="1" x14ac:dyDescent="0.25">
      <c r="C124" s="11" t="str">
        <f t="shared" ca="1" si="2"/>
        <v>3054_Kurzberatung, Schwerpunktberatung PV Anlage, Heizungsumstellung</v>
      </c>
      <c r="D124" s="5">
        <f ca="1"/>
        <v>119</v>
      </c>
      <c r="E124" s="5">
        <f ca="1"/>
        <v>3054</v>
      </c>
      <c r="F124" s="5" t="str">
        <f ca="1"/>
        <v>x</v>
      </c>
      <c r="G124" s="5" t="str">
        <f ca="1"/>
        <v>Kurzberatung, Schwerpunktberatung PV Anlage, Heizungsumstellung</v>
      </c>
      <c r="H124" s="5" t="str">
        <f ca="1"/>
        <v>Schober Martin Mag.</v>
      </c>
      <c r="I124" s="5" t="str">
        <f ca="1"/>
        <v>Martin</v>
      </c>
      <c r="J124" s="5" t="str">
        <f ca="1"/>
        <v>Schober</v>
      </c>
      <c r="K124" s="5" t="str">
        <f ca="1"/>
        <v>02982 / 2007711</v>
      </c>
      <c r="L124" s="5">
        <f ca="1"/>
        <v>0</v>
      </c>
      <c r="M124" s="5">
        <f ca="1"/>
        <v>3580</v>
      </c>
      <c r="N124" s="5" t="str">
        <f ca="1"/>
        <v>Horn</v>
      </c>
      <c r="O124" s="5" t="str">
        <f ca="1"/>
        <v>Josef - Höbarth - Gasse</v>
      </c>
      <c r="P124" s="5">
        <f ca="1"/>
        <v>21</v>
      </c>
      <c r="Q124" s="5" t="str">
        <f ca="1"/>
        <v/>
      </c>
      <c r="R124" s="5" t="str">
        <f ca="1"/>
        <v/>
      </c>
      <c r="S124" s="5" t="str">
        <f ca="1"/>
        <v/>
      </c>
      <c r="T124" s="5" t="str">
        <f ca="1"/>
        <v/>
      </c>
      <c r="U124" s="5" t="str">
        <f ca="1"/>
        <v/>
      </c>
      <c r="V124" s="5" t="str">
        <f ca="1"/>
        <v/>
      </c>
      <c r="W124" t="str">
        <f ca="1"/>
        <v/>
      </c>
      <c r="X124">
        <f ca="1"/>
        <v>0</v>
      </c>
      <c r="Y124">
        <f ca="1"/>
        <v>0</v>
      </c>
      <c r="Z124" t="str">
        <f ca="1"/>
        <v/>
      </c>
    </row>
    <row r="125" spans="3:26" ht="16.149999999999999" customHeight="1" x14ac:dyDescent="0.25">
      <c r="C125" s="11" t="str">
        <f t="shared" ca="1" si="2"/>
        <v>3055_Umsetzungs- Schwerpunktberatung (PV)</v>
      </c>
      <c r="D125" s="5">
        <f ca="1"/>
        <v>120</v>
      </c>
      <c r="E125" s="5">
        <f ca="1"/>
        <v>3055</v>
      </c>
      <c r="F125" s="5" t="str">
        <f ca="1"/>
        <v>x</v>
      </c>
      <c r="G125" s="5" t="str">
        <f ca="1"/>
        <v>Umsetzungs- Schwerpunktberatung (PV)</v>
      </c>
      <c r="H125" s="5" t="str">
        <f ca="1"/>
        <v>Raiffeisenbank</v>
      </c>
      <c r="I125" s="5" t="str">
        <f ca="1"/>
        <v>Daniel</v>
      </c>
      <c r="J125" s="5" t="str">
        <f ca="1"/>
        <v>Silberbauer</v>
      </c>
      <c r="K125" s="5" t="str">
        <f ca="1"/>
        <v/>
      </c>
      <c r="L125" s="5">
        <f ca="1"/>
        <v>0</v>
      </c>
      <c r="M125" s="5">
        <f ca="1"/>
        <v>3910</v>
      </c>
      <c r="N125" s="5" t="str">
        <f ca="1"/>
        <v>Zwettl</v>
      </c>
      <c r="O125" s="5" t="str">
        <f ca="1"/>
        <v>Landstraße</v>
      </c>
      <c r="P125" s="5">
        <f ca="1"/>
        <v>23</v>
      </c>
      <c r="Q125" s="5" t="str">
        <f ca="1"/>
        <v/>
      </c>
      <c r="R125" s="5" t="str">
        <f ca="1"/>
        <v/>
      </c>
      <c r="S125" s="5" t="str">
        <f ca="1"/>
        <v/>
      </c>
      <c r="T125" s="5" t="str">
        <f ca="1"/>
        <v/>
      </c>
      <c r="U125" s="5" t="str">
        <f ca="1"/>
        <v/>
      </c>
      <c r="V125" s="5" t="str">
        <f ca="1"/>
        <v/>
      </c>
      <c r="W125" t="str">
        <f ca="1"/>
        <v/>
      </c>
      <c r="X125">
        <f ca="1"/>
        <v>0</v>
      </c>
      <c r="Y125">
        <f ca="1"/>
        <v>0</v>
      </c>
      <c r="Z125" t="str">
        <f ca="1"/>
        <v/>
      </c>
    </row>
    <row r="126" spans="3:26" ht="16.149999999999999" customHeight="1" x14ac:dyDescent="0.25">
      <c r="C126" s="11" t="str">
        <f t="shared" ca="1" si="2"/>
        <v>3057_Kurzberatung d Potenzialanalyse für die _x000D_
Solarstromnutzung und Speicherung</v>
      </c>
      <c r="D126" s="5">
        <f ca="1"/>
        <v>121</v>
      </c>
      <c r="E126" s="5">
        <f ca="1"/>
        <v>3057</v>
      </c>
      <c r="F126" s="5" t="str">
        <f ca="1"/>
        <v>x</v>
      </c>
      <c r="G126" s="5" t="str">
        <f ca="1"/>
        <v>Kurzberatung d Potenzialanalyse für die _x000D_
Solarstromnutzung und Speicherung</v>
      </c>
      <c r="H126" s="5" t="str">
        <f ca="1"/>
        <v>Lugauer GmbH</v>
      </c>
      <c r="I126" s="5" t="str">
        <f ca="1"/>
        <v>Franz</v>
      </c>
      <c r="J126" s="5" t="str">
        <f ca="1"/>
        <v>Lugauer</v>
      </c>
      <c r="K126" s="5" t="str">
        <f ca="1"/>
        <v/>
      </c>
      <c r="L126" s="5">
        <f ca="1"/>
        <v>0</v>
      </c>
      <c r="M126" s="5">
        <f ca="1"/>
        <v>3910</v>
      </c>
      <c r="N126" s="5" t="str">
        <f ca="1"/>
        <v>Zwettl</v>
      </c>
      <c r="O126" s="5" t="str">
        <f ca="1"/>
        <v>Oberhof</v>
      </c>
      <c r="P126" s="5">
        <f ca="1"/>
        <v>11</v>
      </c>
      <c r="Q126" s="5" t="str">
        <f ca="1"/>
        <v/>
      </c>
      <c r="R126" s="5" t="str">
        <f ca="1"/>
        <v/>
      </c>
      <c r="S126" s="5" t="str">
        <f ca="1"/>
        <v/>
      </c>
      <c r="T126" s="5" t="str">
        <f ca="1"/>
        <v/>
      </c>
      <c r="U126" s="5" t="str">
        <f ca="1"/>
        <v/>
      </c>
      <c r="V126" s="5" t="str">
        <f ca="1"/>
        <v/>
      </c>
      <c r="W126" t="str">
        <f ca="1"/>
        <v/>
      </c>
      <c r="X126">
        <f ca="1"/>
        <v>0</v>
      </c>
      <c r="Y126">
        <f ca="1"/>
        <v>0</v>
      </c>
      <c r="Z126" t="str">
        <f ca="1"/>
        <v/>
      </c>
    </row>
    <row r="127" spans="3:26" ht="16.149999999999999" customHeight="1" x14ac:dyDescent="0.25">
      <c r="C127" s="11" t="str">
        <f t="shared" ca="1" si="2"/>
        <v>3058_Kurzberatung, E- Mobilität, Umsetzungs- Schwerpunktberatung Energie, Schwerpunktberatung</v>
      </c>
      <c r="D127" s="5">
        <f ca="1"/>
        <v>122</v>
      </c>
      <c r="E127" s="5">
        <f ca="1"/>
        <v>3058</v>
      </c>
      <c r="F127" s="5" t="str">
        <f ca="1"/>
        <v>x</v>
      </c>
      <c r="G127" s="5" t="str">
        <f ca="1"/>
        <v>Kurzberatung, E- Mobilität, Umsetzungs- Schwerpunktberatung Energie, Schwerpunktberatung</v>
      </c>
      <c r="H127" s="5" t="str">
        <f ca="1"/>
        <v>VTW GmbH</v>
      </c>
      <c r="I127" s="5" t="str">
        <f ca="1"/>
        <v>Manfred</v>
      </c>
      <c r="J127" s="5" t="str">
        <f ca="1"/>
        <v>Schinko</v>
      </c>
      <c r="K127" s="5" t="str">
        <f ca="1"/>
        <v/>
      </c>
      <c r="L127" s="5">
        <f ca="1"/>
        <v>0</v>
      </c>
      <c r="M127" s="5">
        <f ca="1"/>
        <v>3902</v>
      </c>
      <c r="N127" s="5" t="str">
        <f ca="1"/>
        <v>Vitis</v>
      </c>
      <c r="O127" s="5" t="str">
        <f ca="1"/>
        <v>Europastraße</v>
      </c>
      <c r="P127" s="5">
        <f ca="1"/>
        <v>19</v>
      </c>
      <c r="Q127" s="5" t="str">
        <f ca="1"/>
        <v/>
      </c>
      <c r="R127" s="5" t="str">
        <f ca="1"/>
        <v/>
      </c>
      <c r="S127" s="5" t="str">
        <f ca="1"/>
        <v/>
      </c>
      <c r="T127" s="5" t="str">
        <f ca="1"/>
        <v/>
      </c>
      <c r="U127" s="5" t="str">
        <f ca="1"/>
        <v/>
      </c>
      <c r="V127" s="5" t="str">
        <f ca="1"/>
        <v/>
      </c>
      <c r="W127" t="str">
        <f ca="1"/>
        <v/>
      </c>
      <c r="X127">
        <f ca="1"/>
        <v>0</v>
      </c>
      <c r="Y127">
        <f ca="1"/>
        <v>0</v>
      </c>
      <c r="Z127" t="str">
        <f ca="1"/>
        <v/>
      </c>
    </row>
    <row r="128" spans="3:26" ht="16.149999999999999" customHeight="1" x14ac:dyDescent="0.25">
      <c r="C128" s="11" t="str">
        <f t="shared" ca="1" si="2"/>
        <v>3059_Kurzberatung Energieeffizienzsteigerung bei der Energieversorgung, Umsetzungs- Schwerpunktberatung Energie, Umsetzungs- Schwerpunktberatung Energie</v>
      </c>
      <c r="D128" s="5">
        <f ca="1"/>
        <v>123</v>
      </c>
      <c r="E128" s="5">
        <f ca="1"/>
        <v>3059</v>
      </c>
      <c r="F128" s="5" t="str">
        <f ca="1"/>
        <v>x</v>
      </c>
      <c r="G128" s="5" t="str">
        <f ca="1"/>
        <v>Kurzberatung Energieeffizienzsteigerung bei der Energieversorgung, Umsetzungs- Schwerpunktberatung Energie, Umsetzungs- Schwerpunktberatung Energie</v>
      </c>
      <c r="H128" s="5" t="str">
        <f ca="1"/>
        <v>Malerei Bauer Andreas</v>
      </c>
      <c r="I128" s="5" t="str">
        <f ca="1"/>
        <v>Andreas</v>
      </c>
      <c r="J128" s="5" t="str">
        <f ca="1"/>
        <v>Bauer</v>
      </c>
      <c r="K128" s="5" t="str">
        <f ca="1"/>
        <v/>
      </c>
      <c r="L128" s="5">
        <f ca="1"/>
        <v>0</v>
      </c>
      <c r="M128" s="5">
        <f ca="1"/>
        <v>3580</v>
      </c>
      <c r="N128" s="5" t="str">
        <f ca="1"/>
        <v>Horn</v>
      </c>
      <c r="O128" s="5" t="str">
        <f ca="1"/>
        <v>Frauenhofner Straße</v>
      </c>
      <c r="P128" s="5">
        <f ca="1"/>
        <v>9</v>
      </c>
      <c r="Q128" s="5" t="str">
        <f ca="1"/>
        <v/>
      </c>
      <c r="R128" s="5" t="str">
        <f ca="1"/>
        <v/>
      </c>
      <c r="S128" s="5" t="str">
        <f ca="1"/>
        <v/>
      </c>
      <c r="T128" s="5" t="str">
        <f ca="1"/>
        <v/>
      </c>
      <c r="U128" s="5" t="str">
        <f ca="1"/>
        <v/>
      </c>
      <c r="V128" s="5" t="str">
        <f ca="1"/>
        <v/>
      </c>
      <c r="W128" t="str">
        <f ca="1"/>
        <v/>
      </c>
      <c r="X128">
        <f ca="1"/>
        <v>0</v>
      </c>
      <c r="Y128">
        <f ca="1"/>
        <v>0</v>
      </c>
      <c r="Z128" t="str">
        <f ca="1"/>
        <v/>
      </c>
    </row>
    <row r="129" spans="3:26" ht="16.149999999999999" customHeight="1" x14ac:dyDescent="0.25">
      <c r="C129" s="11" t="str">
        <f t="shared" ca="1" si="2"/>
        <v>3061_Kurzberatung Energieeffizienzsteigerung, Solarstromnutzung, E - Mobilität, Umsetzungs- Schwerpunktberatung Energie</v>
      </c>
      <c r="D129" s="5">
        <f ca="1"/>
        <v>124</v>
      </c>
      <c r="E129" s="5">
        <f ca="1"/>
        <v>3061</v>
      </c>
      <c r="F129" s="5" t="str">
        <f ca="1"/>
        <v>x</v>
      </c>
      <c r="G129" s="5" t="str">
        <f ca="1"/>
        <v>Kurzberatung Energieeffizienzsteigerung, Solarstromnutzung, E - Mobilität, Umsetzungs- Schwerpunktberatung Energie</v>
      </c>
      <c r="H129" s="5" t="str">
        <f ca="1"/>
        <v>Glas Lunzer</v>
      </c>
      <c r="I129" s="5" t="str">
        <f ca="1"/>
        <v>Leopold</v>
      </c>
      <c r="J129" s="5" t="str">
        <f ca="1"/>
        <v>Lunzer</v>
      </c>
      <c r="K129" s="5" t="str">
        <f ca="1"/>
        <v/>
      </c>
      <c r="L129" s="5">
        <f ca="1"/>
        <v>0</v>
      </c>
      <c r="M129" s="5">
        <f ca="1"/>
        <v>3580</v>
      </c>
      <c r="N129" s="5" t="str">
        <f ca="1"/>
        <v>Horn</v>
      </c>
      <c r="O129" s="5" t="str">
        <f ca="1"/>
        <v>Breiteneicher Straße</v>
      </c>
      <c r="P129" s="5">
        <f ca="1"/>
        <v>9</v>
      </c>
      <c r="Q129" s="5" t="str">
        <f ca="1"/>
        <v/>
      </c>
      <c r="R129" s="5" t="str">
        <f ca="1"/>
        <v/>
      </c>
      <c r="S129" s="5" t="str">
        <f ca="1"/>
        <v/>
      </c>
      <c r="T129" s="5" t="str">
        <f ca="1"/>
        <v/>
      </c>
      <c r="U129" s="5" t="str">
        <f ca="1"/>
        <v/>
      </c>
      <c r="V129" s="5" t="str">
        <f ca="1"/>
        <v/>
      </c>
      <c r="W129" t="str">
        <f ca="1"/>
        <v/>
      </c>
      <c r="X129">
        <f ca="1"/>
        <v>0</v>
      </c>
      <c r="Y129">
        <f ca="1"/>
        <v>0</v>
      </c>
      <c r="Z129" t="str">
        <f ca="1"/>
        <v/>
      </c>
    </row>
    <row r="130" spans="3:26" ht="16.149999999999999" customHeight="1" x14ac:dyDescent="0.25">
      <c r="C130" s="11" t="str">
        <f t="shared" ca="1" si="2"/>
        <v>3062_Kurzberatung, E - Mobilität</v>
      </c>
      <c r="D130" s="5">
        <f ca="1"/>
        <v>125</v>
      </c>
      <c r="E130" s="5">
        <f ca="1"/>
        <v>3062</v>
      </c>
      <c r="F130" s="5" t="str">
        <f ca="1"/>
        <v>x</v>
      </c>
      <c r="G130" s="5" t="str">
        <f ca="1"/>
        <v>Kurzberatung, E - Mobilität</v>
      </c>
      <c r="H130" s="5" t="str">
        <f ca="1"/>
        <v>Roßnagl Christian</v>
      </c>
      <c r="I130" s="5" t="str">
        <f ca="1"/>
        <v>Christian</v>
      </c>
      <c r="J130" s="5" t="str">
        <f ca="1"/>
        <v>Roßnagl</v>
      </c>
      <c r="K130" s="5" t="str">
        <f ca="1"/>
        <v/>
      </c>
      <c r="L130" s="5">
        <f ca="1"/>
        <v>0</v>
      </c>
      <c r="M130" s="5">
        <f ca="1"/>
        <v>3580</v>
      </c>
      <c r="N130" s="5" t="str">
        <f ca="1"/>
        <v>St. Bernhard - Frauenhofen</v>
      </c>
      <c r="O130" s="5" t="str">
        <f ca="1"/>
        <v>Groß Burgstall</v>
      </c>
      <c r="P130" s="5">
        <f ca="1"/>
        <v>34</v>
      </c>
      <c r="Q130" s="5" t="str">
        <f ca="1"/>
        <v/>
      </c>
      <c r="R130" s="5" t="str">
        <f ca="1"/>
        <v/>
      </c>
      <c r="S130" s="5" t="str">
        <f ca="1"/>
        <v/>
      </c>
      <c r="T130" s="5" t="str">
        <f ca="1"/>
        <v/>
      </c>
      <c r="U130" s="5" t="str">
        <f ca="1"/>
        <v/>
      </c>
      <c r="V130" s="5" t="str">
        <f ca="1"/>
        <v/>
      </c>
      <c r="W130" t="str">
        <f ca="1"/>
        <v/>
      </c>
      <c r="X130">
        <f ca="1"/>
        <v>0</v>
      </c>
      <c r="Y130">
        <f ca="1"/>
        <v>0</v>
      </c>
      <c r="Z130" t="str">
        <f ca="1"/>
        <v/>
      </c>
    </row>
    <row r="131" spans="3:26" ht="16.149999999999999" customHeight="1" x14ac:dyDescent="0.25">
      <c r="C131" s="11" t="str">
        <f t="shared" ca="1" si="2"/>
        <v>3063_Awareness Kurzberatung Energie, Kurzberatung Neubau und Grobauslegung der PV Anlage,  Umsetzungs- Schwerpunktberatung Energie PV _x000D_
PV Anlage</v>
      </c>
      <c r="D131" s="5">
        <f ca="1"/>
        <v>126</v>
      </c>
      <c r="E131" s="5">
        <f ca="1"/>
        <v>3063</v>
      </c>
      <c r="F131" s="5" t="str">
        <f ca="1"/>
        <v>x</v>
      </c>
      <c r="G131" s="5" t="str">
        <f ca="1"/>
        <v>Awareness Kurzberatung Energie, Kurzberatung Neubau und Grobauslegung der PV Anlage,  Umsetzungs- Schwerpunktberatung Energie PV _x000D_
PV Anlage</v>
      </c>
      <c r="H131" s="5" t="str">
        <f ca="1"/>
        <v>Theater - und Feriendorf Königsleitn GmbH</v>
      </c>
      <c r="I131" s="5" t="str">
        <f ca="1"/>
        <v>Zeno</v>
      </c>
      <c r="J131" s="5" t="str">
        <f ca="1"/>
        <v>Stanek</v>
      </c>
      <c r="K131" s="5" t="str">
        <f ca="1"/>
        <v/>
      </c>
      <c r="L131" s="5">
        <f ca="1"/>
        <v>0</v>
      </c>
      <c r="M131" s="5">
        <f ca="1"/>
        <v>3874</v>
      </c>
      <c r="N131" s="5" t="str">
        <f ca="1"/>
        <v>Litschau</v>
      </c>
      <c r="O131" s="5" t="str">
        <f ca="1"/>
        <v>Buchenstraße</v>
      </c>
      <c r="P131" s="5">
        <f ca="1"/>
        <v>1</v>
      </c>
      <c r="Q131" s="5" t="str">
        <f ca="1"/>
        <v/>
      </c>
      <c r="R131" s="5" t="str">
        <f ca="1"/>
        <v/>
      </c>
      <c r="S131" s="5" t="str">
        <f ca="1"/>
        <v/>
      </c>
      <c r="T131" s="5" t="str">
        <f ca="1"/>
        <v/>
      </c>
      <c r="U131" s="5" t="str">
        <f ca="1"/>
        <v/>
      </c>
      <c r="V131" s="5" t="str">
        <f ca="1"/>
        <v/>
      </c>
      <c r="W131" t="str">
        <f ca="1"/>
        <v/>
      </c>
      <c r="X131">
        <f ca="1"/>
        <v>0</v>
      </c>
      <c r="Y131">
        <f ca="1"/>
        <v>0</v>
      </c>
      <c r="Z131" t="str">
        <f ca="1"/>
        <v/>
      </c>
    </row>
    <row r="132" spans="3:26" ht="16.149999999999999" customHeight="1" x14ac:dyDescent="0.25">
      <c r="C132" s="11" t="str">
        <f t="shared" ca="1" si="2"/>
        <v>3067_Awareness Kurzberatung Energie, Umsetzungs- Schwerpunktberatung Energie</v>
      </c>
      <c r="D132" s="5">
        <f ca="1"/>
        <v>127</v>
      </c>
      <c r="E132" s="5">
        <f ca="1"/>
        <v>3067</v>
      </c>
      <c r="F132" s="5" t="str">
        <f ca="1"/>
        <v>x</v>
      </c>
      <c r="G132" s="5" t="str">
        <f ca="1"/>
        <v>Awareness Kurzberatung Energie, Umsetzungs- Schwerpunktberatung Energie</v>
      </c>
      <c r="H132" s="5" t="str">
        <f ca="1"/>
        <v>Hager</v>
      </c>
      <c r="I132" s="5" t="str">
        <f ca="1"/>
        <v>Otmar</v>
      </c>
      <c r="J132" s="5" t="str">
        <f ca="1"/>
        <v>Koller</v>
      </c>
      <c r="K132" s="5" t="str">
        <f ca="1"/>
        <v/>
      </c>
      <c r="L132" s="5">
        <f ca="1"/>
        <v>0</v>
      </c>
      <c r="M132" s="5">
        <f ca="1"/>
        <v>3851</v>
      </c>
      <c r="N132" s="5" t="str">
        <f ca="1"/>
        <v>Kautzen</v>
      </c>
      <c r="O132" s="5" t="str">
        <f ca="1"/>
        <v>Pleßberg</v>
      </c>
      <c r="P132" s="5">
        <f ca="1"/>
        <v>58</v>
      </c>
      <c r="Q132" s="5" t="str">
        <f ca="1"/>
        <v/>
      </c>
      <c r="R132" s="5" t="str">
        <f ca="1"/>
        <v/>
      </c>
      <c r="S132" s="5" t="str">
        <f ca="1"/>
        <v/>
      </c>
      <c r="T132" s="5" t="str">
        <f ca="1"/>
        <v/>
      </c>
      <c r="U132" s="5" t="str">
        <f ca="1"/>
        <v/>
      </c>
      <c r="V132" s="5" t="str">
        <f ca="1"/>
        <v/>
      </c>
      <c r="W132" t="str">
        <f ca="1"/>
        <v/>
      </c>
      <c r="X132">
        <f ca="1"/>
        <v>0</v>
      </c>
      <c r="Y132">
        <f ca="1"/>
        <v>0</v>
      </c>
      <c r="Z132" t="str">
        <f ca="1"/>
        <v/>
      </c>
    </row>
    <row r="133" spans="3:26" ht="16.149999999999999" customHeight="1" x14ac:dyDescent="0.25">
      <c r="C133" s="11" t="str">
        <f t="shared" ca="1" si="2"/>
        <v>3068_Awareness Kurzberatung Energie, Umsetzungs- Schwerpunktberatung Energie</v>
      </c>
      <c r="D133" s="5">
        <f ca="1"/>
        <v>128</v>
      </c>
      <c r="E133" s="5">
        <f ca="1"/>
        <v>3068</v>
      </c>
      <c r="F133" s="5" t="str">
        <f ca="1"/>
        <v>x</v>
      </c>
      <c r="G133" s="5" t="str">
        <f ca="1"/>
        <v>Awareness Kurzberatung Energie, Umsetzungs- Schwerpunktberatung Energie</v>
      </c>
      <c r="H133" s="5" t="str">
        <f ca="1"/>
        <v>Gasthof zur goldenen Rose</v>
      </c>
      <c r="I133" s="5" t="str">
        <f ca="1"/>
        <v>Michael</v>
      </c>
      <c r="J133" s="5" t="str">
        <f ca="1"/>
        <v>Schindler</v>
      </c>
      <c r="K133" s="5" t="str">
        <f ca="1"/>
        <v/>
      </c>
      <c r="L133" s="5">
        <f ca="1"/>
        <v>0</v>
      </c>
      <c r="M133" s="5">
        <f ca="1"/>
        <v>3910</v>
      </c>
      <c r="N133" s="5" t="str">
        <f ca="1"/>
        <v>Zwettl</v>
      </c>
      <c r="O133" s="5" t="str">
        <f ca="1"/>
        <v>Dreifaltigkeitsplatz</v>
      </c>
      <c r="P133" s="5">
        <f ca="1"/>
        <v>3</v>
      </c>
      <c r="Q133" s="5" t="str">
        <f ca="1"/>
        <v/>
      </c>
      <c r="R133" s="5" t="str">
        <f ca="1"/>
        <v/>
      </c>
      <c r="S133" s="5" t="str">
        <f ca="1"/>
        <v/>
      </c>
      <c r="T133" s="5" t="str">
        <f ca="1"/>
        <v/>
      </c>
      <c r="U133" s="5" t="str">
        <f ca="1"/>
        <v/>
      </c>
      <c r="V133" s="5" t="str">
        <f ca="1"/>
        <v/>
      </c>
      <c r="W133" t="str">
        <f ca="1"/>
        <v/>
      </c>
      <c r="X133">
        <f ca="1"/>
        <v>0</v>
      </c>
      <c r="Y133">
        <f ca="1"/>
        <v>0</v>
      </c>
      <c r="Z133" t="str">
        <f ca="1"/>
        <v/>
      </c>
    </row>
    <row r="134" spans="3:26" ht="16.149999999999999" customHeight="1" x14ac:dyDescent="0.25">
      <c r="C134" s="11" t="str">
        <f t="shared" ca="1" si="2"/>
        <v>3070_Awareness Kurzberatung Energie</v>
      </c>
      <c r="D134" s="5">
        <f ca="1"/>
        <v>129</v>
      </c>
      <c r="E134" s="5">
        <f ca="1"/>
        <v>3070</v>
      </c>
      <c r="F134" s="5" t="str">
        <f ca="1"/>
        <v>x</v>
      </c>
      <c r="G134" s="5" t="str">
        <f ca="1"/>
        <v>Awareness Kurzberatung Energie</v>
      </c>
      <c r="H134" s="5" t="str">
        <f ca="1"/>
        <v>Kuben Baugesellschaft m. b. H.</v>
      </c>
      <c r="I134" s="5" t="str">
        <f ca="1"/>
        <v>Johann</v>
      </c>
      <c r="J134" s="5" t="str">
        <f ca="1"/>
        <v>Kuben</v>
      </c>
      <c r="K134" s="5" t="str">
        <f ca="1"/>
        <v/>
      </c>
      <c r="L134" s="5">
        <f ca="1"/>
        <v>0</v>
      </c>
      <c r="M134" s="5">
        <f ca="1"/>
        <v>3874</v>
      </c>
      <c r="N134" s="5" t="str">
        <f ca="1"/>
        <v>Litschau</v>
      </c>
      <c r="O134" s="5" t="str">
        <f ca="1"/>
        <v>Bahnhofstraße</v>
      </c>
      <c r="P134" s="5">
        <f ca="1"/>
        <v>12</v>
      </c>
      <c r="Q134" s="5" t="str">
        <f ca="1"/>
        <v/>
      </c>
      <c r="R134" s="5" t="str">
        <f ca="1"/>
        <v/>
      </c>
      <c r="S134" s="5" t="str">
        <f ca="1"/>
        <v/>
      </c>
      <c r="T134" s="5" t="str">
        <f ca="1"/>
        <v/>
      </c>
      <c r="U134" s="5" t="str">
        <f ca="1"/>
        <v/>
      </c>
      <c r="V134" s="5" t="str">
        <f ca="1"/>
        <v/>
      </c>
      <c r="W134" t="str">
        <f ca="1"/>
        <v/>
      </c>
      <c r="X134">
        <f ca="1"/>
        <v>0</v>
      </c>
      <c r="Y134">
        <f ca="1"/>
        <v>0</v>
      </c>
      <c r="Z134" t="str">
        <f ca="1"/>
        <v/>
      </c>
    </row>
    <row r="135" spans="3:26" ht="16.149999999999999" customHeight="1" x14ac:dyDescent="0.25">
      <c r="C135" s="11" t="str">
        <f t="shared" ref="C135:C185" ca="1" si="3">IF(E135=0,"",HYPERLINK("H:\Projekte\Projekte aktuell\Sonstige Projekte\1139 - ENSET\AP09_Innolab\Akquise\Datenbank &amp; Liste\"&amp;E135&amp;"_"&amp;G135,E135&amp;"_"&amp;G135))</f>
        <v>3071_Awareness Kurzberatung Energie</v>
      </c>
      <c r="D135" s="5">
        <f ca="1"/>
        <v>130</v>
      </c>
      <c r="E135" s="5">
        <f ca="1"/>
        <v>3071</v>
      </c>
      <c r="F135" s="5" t="str">
        <f ca="1"/>
        <v>x</v>
      </c>
      <c r="G135" s="5" t="str">
        <f ca="1"/>
        <v>Awareness Kurzberatung Energie</v>
      </c>
      <c r="H135" s="5" t="str">
        <f ca="1"/>
        <v>Gemeindegasthaus STEFAN Thomas</v>
      </c>
      <c r="I135" s="5" t="str">
        <f ca="1"/>
        <v>Thomas</v>
      </c>
      <c r="J135" s="5" t="str">
        <f ca="1"/>
        <v>Stefan</v>
      </c>
      <c r="K135" s="5" t="str">
        <f ca="1"/>
        <v/>
      </c>
      <c r="L135" s="5">
        <f ca="1"/>
        <v>0</v>
      </c>
      <c r="M135" s="5">
        <f ca="1"/>
        <v>3722</v>
      </c>
      <c r="N135" s="5" t="str">
        <f ca="1"/>
        <v>Straning-Grafenberg</v>
      </c>
      <c r="O135" s="5" t="str">
        <f ca="1"/>
        <v>Straning</v>
      </c>
      <c r="P135" s="5">
        <f ca="1"/>
        <v>39</v>
      </c>
      <c r="Q135" s="5" t="str">
        <f ca="1"/>
        <v/>
      </c>
      <c r="R135" s="5" t="str">
        <f ca="1"/>
        <v/>
      </c>
      <c r="S135" s="5" t="str">
        <f ca="1"/>
        <v/>
      </c>
      <c r="T135" s="5" t="str">
        <f ca="1"/>
        <v/>
      </c>
      <c r="U135" s="5" t="str">
        <f ca="1"/>
        <v/>
      </c>
      <c r="V135" s="5" t="str">
        <f ca="1"/>
        <v/>
      </c>
      <c r="W135" t="str">
        <f ca="1"/>
        <v/>
      </c>
      <c r="X135">
        <f ca="1"/>
        <v>0</v>
      </c>
      <c r="Y135">
        <f ca="1"/>
        <v>0</v>
      </c>
      <c r="Z135" t="str">
        <f ca="1"/>
        <v/>
      </c>
    </row>
    <row r="136" spans="3:26" ht="16.149999999999999" customHeight="1" x14ac:dyDescent="0.25">
      <c r="C136" s="11" t="str">
        <f t="shared" ca="1" si="3"/>
        <v>3081_Kurzberatung</v>
      </c>
      <c r="D136" s="5">
        <f ca="1"/>
        <v>131</v>
      </c>
      <c r="E136" s="5">
        <f ca="1"/>
        <v>3081</v>
      </c>
      <c r="F136" s="5" t="str">
        <f ca="1"/>
        <v>x</v>
      </c>
      <c r="G136" s="5" t="str">
        <f ca="1"/>
        <v>Kurzberatung</v>
      </c>
      <c r="H136" s="5" t="str">
        <f ca="1"/>
        <v>Windhag Betriebs - und Verwlatungs GmbH</v>
      </c>
      <c r="I136" s="5" t="str">
        <f ca="1"/>
        <v>Alexander</v>
      </c>
      <c r="J136" s="5" t="str">
        <f ca="1"/>
        <v>Warringer</v>
      </c>
      <c r="K136" s="5" t="str">
        <f ca="1"/>
        <v/>
      </c>
      <c r="L136" s="5">
        <f ca="1"/>
        <v>0</v>
      </c>
      <c r="M136" s="5">
        <f ca="1"/>
        <v>3594</v>
      </c>
      <c r="N136" s="5" t="str">
        <f ca="1"/>
        <v>Franzen</v>
      </c>
      <c r="O136" s="5" t="str">
        <f ca="1"/>
        <v>Schloss Waldreichs</v>
      </c>
      <c r="P136" s="5">
        <f ca="1"/>
        <v>1</v>
      </c>
      <c r="Q136" s="5" t="str">
        <f ca="1"/>
        <v/>
      </c>
      <c r="R136" s="5" t="str">
        <f ca="1"/>
        <v/>
      </c>
      <c r="S136" s="5" t="str">
        <f ca="1"/>
        <v/>
      </c>
      <c r="T136" s="5" t="str">
        <f ca="1"/>
        <v/>
      </c>
      <c r="U136" s="5" t="str">
        <f ca="1"/>
        <v/>
      </c>
      <c r="V136" s="5" t="str">
        <f ca="1"/>
        <v/>
      </c>
      <c r="W136" t="str">
        <f ca="1"/>
        <v/>
      </c>
      <c r="X136">
        <f ca="1"/>
        <v>0</v>
      </c>
      <c r="Y136">
        <f ca="1"/>
        <v>0</v>
      </c>
      <c r="Z136" t="str">
        <f ca="1"/>
        <v/>
      </c>
    </row>
    <row r="137" spans="3:26" ht="16.149999999999999" customHeight="1" x14ac:dyDescent="0.25">
      <c r="C137" s="11" t="str">
        <f t="shared" ca="1" si="3"/>
        <v>3082_Kurzberatung, Shwerpunktberatung</v>
      </c>
      <c r="D137" s="5">
        <f ca="1"/>
        <v>132</v>
      </c>
      <c r="E137" s="5">
        <f ca="1"/>
        <v>3082</v>
      </c>
      <c r="F137" s="5" t="str">
        <f ca="1"/>
        <v>x</v>
      </c>
      <c r="G137" s="5" t="str">
        <f ca="1"/>
        <v>Kurzberatung, Shwerpunktberatung</v>
      </c>
      <c r="H137" s="5" t="str">
        <f ca="1"/>
        <v>CLA Tech Maschinen - und Fertigungstechnik GmbH</v>
      </c>
      <c r="I137" s="5" t="str">
        <f ca="1"/>
        <v>Margarita</v>
      </c>
      <c r="J137" s="5" t="str">
        <f ca="1"/>
        <v>Altmann</v>
      </c>
      <c r="K137" s="5" t="str">
        <f ca="1"/>
        <v>0650 / 7965035</v>
      </c>
      <c r="L137" s="5" t="str">
        <f ca="1"/>
        <v>m.altmann@cla-tech.at</v>
      </c>
      <c r="M137" s="5">
        <f ca="1"/>
        <v>2042</v>
      </c>
      <c r="N137" s="5" t="str">
        <f ca="1"/>
        <v>Guntersdorf</v>
      </c>
      <c r="O137" s="5" t="str">
        <f ca="1"/>
        <v>Kalladorfer Straße</v>
      </c>
      <c r="P137" s="5">
        <f ca="1"/>
        <v>301</v>
      </c>
      <c r="Q137" s="5" t="str">
        <f ca="1"/>
        <v/>
      </c>
      <c r="R137" s="5" t="str">
        <f ca="1"/>
        <v/>
      </c>
      <c r="S137" s="5" t="str">
        <f ca="1"/>
        <v/>
      </c>
      <c r="T137" s="5" t="str">
        <f ca="1"/>
        <v/>
      </c>
      <c r="U137" s="5" t="str">
        <f ca="1"/>
        <v/>
      </c>
      <c r="V137" s="5" t="str">
        <f ca="1"/>
        <v/>
      </c>
      <c r="W137" t="str">
        <f ca="1"/>
        <v/>
      </c>
      <c r="X137">
        <f ca="1"/>
        <v>0</v>
      </c>
      <c r="Y137">
        <f ca="1"/>
        <v>0</v>
      </c>
      <c r="Z137" t="str">
        <f ca="1"/>
        <v/>
      </c>
    </row>
    <row r="138" spans="3:26" ht="16.149999999999999" customHeight="1" x14ac:dyDescent="0.25">
      <c r="C138" s="11" t="str">
        <f t="shared" ca="1" si="3"/>
        <v>3084_Kurzberatung, Schwerpunktberatung, Umsetungsschwerpunktberatung</v>
      </c>
      <c r="D138" s="5">
        <f ca="1"/>
        <v>133</v>
      </c>
      <c r="E138" s="5">
        <f ca="1"/>
        <v>3084</v>
      </c>
      <c r="F138" s="5" t="str">
        <f ca="1"/>
        <v>x</v>
      </c>
      <c r="G138" s="5" t="str">
        <f ca="1"/>
        <v>Kurzberatung, Schwerpunktberatung, Umsetungsschwerpunktberatung</v>
      </c>
      <c r="H138" s="5" t="str">
        <f ca="1"/>
        <v>MR - CT Diagnosezentrum Horn Breitenseher GmbH</v>
      </c>
      <c r="I138" s="5" t="str">
        <f ca="1"/>
        <v>Tanja</v>
      </c>
      <c r="J138" s="5" t="str">
        <f ca="1"/>
        <v>Waltinger</v>
      </c>
      <c r="K138" s="5" t="str">
        <f ca="1"/>
        <v/>
      </c>
      <c r="L138" s="5">
        <f ca="1"/>
        <v>0</v>
      </c>
      <c r="M138" s="5">
        <f ca="1"/>
        <v>3580</v>
      </c>
      <c r="N138" s="5" t="str">
        <f ca="1"/>
        <v>Horn</v>
      </c>
      <c r="O138" s="5" t="str">
        <f ca="1"/>
        <v>Spitalgasse</v>
      </c>
      <c r="P138" s="5">
        <f ca="1"/>
        <v>10</v>
      </c>
      <c r="Q138" s="5" t="str">
        <f ca="1"/>
        <v/>
      </c>
      <c r="R138" s="5" t="str">
        <f ca="1"/>
        <v/>
      </c>
      <c r="S138" s="5" t="str">
        <f ca="1"/>
        <v/>
      </c>
      <c r="T138" s="5" t="str">
        <f ca="1"/>
        <v/>
      </c>
      <c r="U138" s="5" t="str">
        <f ca="1"/>
        <v/>
      </c>
      <c r="V138" s="5" t="str">
        <f ca="1"/>
        <v/>
      </c>
      <c r="W138" t="str">
        <f ca="1"/>
        <v/>
      </c>
      <c r="X138">
        <f ca="1"/>
        <v>0</v>
      </c>
      <c r="Y138">
        <f ca="1"/>
        <v>0</v>
      </c>
      <c r="Z138" t="str">
        <f ca="1"/>
        <v/>
      </c>
    </row>
    <row r="139" spans="3:26" ht="16.149999999999999" customHeight="1" x14ac:dyDescent="0.25">
      <c r="C139" s="11" t="str">
        <f t="shared" ca="1" si="3"/>
        <v>3085_Awareness Kurzberatung Energie, Umsetzungs- Schwerpunktberatung</v>
      </c>
      <c r="D139" s="5">
        <f ca="1"/>
        <v>134</v>
      </c>
      <c r="E139" s="5">
        <f ca="1"/>
        <v>3085</v>
      </c>
      <c r="F139" s="5" t="str">
        <f ca="1"/>
        <v>x</v>
      </c>
      <c r="G139" s="5" t="str">
        <f ca="1"/>
        <v>Awareness Kurzberatung Energie, Umsetzungs- Schwerpunktberatung</v>
      </c>
      <c r="H139" s="5" t="str">
        <f ca="1"/>
        <v>Schrenk GmbH</v>
      </c>
      <c r="I139" s="5">
        <f ca="1"/>
        <v>0</v>
      </c>
      <c r="J139" s="5">
        <f ca="1"/>
        <v>0</v>
      </c>
      <c r="K139" s="5" t="str">
        <f ca="1"/>
        <v/>
      </c>
      <c r="L139" s="5">
        <f ca="1"/>
        <v>0</v>
      </c>
      <c r="M139" s="5">
        <f ca="1"/>
        <v>3902</v>
      </c>
      <c r="N139" s="5" t="str">
        <f ca="1"/>
        <v>Vitis</v>
      </c>
      <c r="O139" s="5" t="str">
        <f ca="1"/>
        <v>Raiffeisenstraße</v>
      </c>
      <c r="P139" s="5">
        <f ca="1"/>
        <v>30</v>
      </c>
      <c r="Q139" s="5" t="str">
        <f ca="1"/>
        <v/>
      </c>
      <c r="R139" s="5" t="str">
        <f ca="1"/>
        <v/>
      </c>
      <c r="S139" s="5" t="str">
        <f ca="1"/>
        <v/>
      </c>
      <c r="T139" s="5" t="str">
        <f ca="1"/>
        <v/>
      </c>
      <c r="U139" s="5" t="str">
        <f ca="1"/>
        <v/>
      </c>
      <c r="V139" s="5" t="str">
        <f ca="1"/>
        <v/>
      </c>
      <c r="W139" t="str">
        <f ca="1"/>
        <v/>
      </c>
      <c r="X139">
        <f ca="1"/>
        <v>0</v>
      </c>
      <c r="Y139">
        <f ca="1"/>
        <v>0</v>
      </c>
      <c r="Z139" t="str">
        <f ca="1"/>
        <v/>
      </c>
    </row>
    <row r="140" spans="3:26" ht="16.149999999999999" customHeight="1" x14ac:dyDescent="0.25">
      <c r="C140" s="11" t="str">
        <f t="shared" ca="1" si="3"/>
        <v>3086_Awareness Kurzberatung Energie, Umsetzungs- Schwerpunktberatung (PV)</v>
      </c>
      <c r="D140" s="5">
        <f ca="1"/>
        <v>135</v>
      </c>
      <c r="E140" s="5">
        <f ca="1"/>
        <v>3086</v>
      </c>
      <c r="F140" s="5" t="str">
        <f ca="1"/>
        <v>x</v>
      </c>
      <c r="G140" s="5" t="str">
        <f ca="1"/>
        <v>Awareness Kurzberatung Energie, Umsetzungs- Schwerpunktberatung (PV)</v>
      </c>
      <c r="H140" s="5" t="str">
        <f ca="1"/>
        <v>Bäckerei Linsbauer KG</v>
      </c>
      <c r="I140" s="5">
        <f ca="1"/>
        <v>0</v>
      </c>
      <c r="J140" s="5">
        <f ca="1"/>
        <v>0</v>
      </c>
      <c r="K140" s="5" t="str">
        <f ca="1"/>
        <v/>
      </c>
      <c r="L140" s="5">
        <f ca="1"/>
        <v>0</v>
      </c>
      <c r="M140" s="5">
        <f ca="1"/>
        <v>2095</v>
      </c>
      <c r="N140" s="5" t="str">
        <f ca="1"/>
        <v>Drosendorf</v>
      </c>
      <c r="O140" s="5" t="str">
        <f ca="1"/>
        <v>Hauptplatz</v>
      </c>
      <c r="P140" s="5">
        <f ca="1"/>
        <v>23</v>
      </c>
      <c r="Q140" s="5" t="str">
        <f ca="1"/>
        <v/>
      </c>
      <c r="R140" s="5" t="str">
        <f ca="1"/>
        <v/>
      </c>
      <c r="S140" s="5" t="str">
        <f ca="1"/>
        <v/>
      </c>
      <c r="T140" s="5" t="str">
        <f ca="1"/>
        <v/>
      </c>
      <c r="U140" s="5" t="str">
        <f ca="1"/>
        <v/>
      </c>
      <c r="V140" s="5" t="str">
        <f ca="1"/>
        <v/>
      </c>
      <c r="W140" t="str">
        <f ca="1"/>
        <v/>
      </c>
      <c r="X140">
        <f ca="1"/>
        <v>0</v>
      </c>
      <c r="Y140">
        <f ca="1"/>
        <v>0</v>
      </c>
      <c r="Z140" t="str">
        <f ca="1"/>
        <v/>
      </c>
    </row>
    <row r="141" spans="3:26" ht="16.149999999999999" customHeight="1" x14ac:dyDescent="0.25">
      <c r="C141" s="11" t="str">
        <f t="shared" ca="1" si="3"/>
        <v>3087_Kurzberatung</v>
      </c>
      <c r="D141" s="5">
        <f ca="1"/>
        <v>136</v>
      </c>
      <c r="E141" s="5">
        <f ca="1"/>
        <v>3087</v>
      </c>
      <c r="F141" s="5" t="str">
        <f ca="1"/>
        <v>x</v>
      </c>
      <c r="G141" s="5" t="str">
        <f ca="1"/>
        <v>Kurzberatung</v>
      </c>
      <c r="H141" s="5" t="str">
        <f ca="1"/>
        <v>Hofer Media GmbH &amp; Co KG</v>
      </c>
      <c r="I141" s="5" t="str">
        <f ca="1"/>
        <v>Günther</v>
      </c>
      <c r="J141" s="5" t="str">
        <f ca="1"/>
        <v>Hofer</v>
      </c>
      <c r="K141" s="5" t="str">
        <f ca="1"/>
        <v/>
      </c>
      <c r="L141" s="5">
        <f ca="1"/>
        <v>0</v>
      </c>
      <c r="M141" s="5">
        <f ca="1"/>
        <v>2070</v>
      </c>
      <c r="N141" s="5" t="str">
        <f ca="1"/>
        <v>Retz</v>
      </c>
      <c r="O141" s="5" t="str">
        <f ca="1"/>
        <v>Im Stadtfeld</v>
      </c>
      <c r="P141" s="5">
        <f ca="1"/>
        <v>3</v>
      </c>
      <c r="Q141" s="5" t="str">
        <f ca="1"/>
        <v/>
      </c>
      <c r="R141" s="5" t="str">
        <f ca="1"/>
        <v/>
      </c>
      <c r="S141" s="5" t="str">
        <f ca="1"/>
        <v/>
      </c>
      <c r="T141" s="5" t="str">
        <f ca="1"/>
        <v/>
      </c>
      <c r="U141" s="5" t="str">
        <f ca="1"/>
        <v/>
      </c>
      <c r="V141" s="5" t="str">
        <f ca="1"/>
        <v/>
      </c>
      <c r="W141" t="str">
        <f ca="1"/>
        <v/>
      </c>
      <c r="X141">
        <f ca="1"/>
        <v>0</v>
      </c>
      <c r="Y141">
        <f ca="1"/>
        <v>0</v>
      </c>
      <c r="Z141" t="str">
        <f ca="1"/>
        <v/>
      </c>
    </row>
    <row r="142" spans="3:26" ht="16.149999999999999" customHeight="1" x14ac:dyDescent="0.25">
      <c r="C142" s="11" t="str">
        <f t="shared" ca="1" si="3"/>
        <v>3088_Awareness Kurzberatung Energie, Umsetzungs- Schwerpunktberatung (PV)</v>
      </c>
      <c r="D142" s="5">
        <f ca="1"/>
        <v>137</v>
      </c>
      <c r="E142" s="5">
        <f ca="1"/>
        <v>3088</v>
      </c>
      <c r="F142" s="5" t="str">
        <f ca="1"/>
        <v>x</v>
      </c>
      <c r="G142" s="5" t="str">
        <f ca="1"/>
        <v>Awareness Kurzberatung Energie, Umsetzungs- Schwerpunktberatung (PV)</v>
      </c>
      <c r="H142" s="5" t="str">
        <f ca="1"/>
        <v>Fahrschule Pfeifer</v>
      </c>
      <c r="I142" s="5" t="str">
        <f ca="1"/>
        <v>Petra</v>
      </c>
      <c r="J142" s="5" t="str">
        <f ca="1"/>
        <v>Stohmayer - Pfeifer</v>
      </c>
      <c r="K142" s="5" t="str">
        <f ca="1"/>
        <v/>
      </c>
      <c r="L142" s="5">
        <f ca="1"/>
        <v>0</v>
      </c>
      <c r="M142" s="5">
        <f ca="1"/>
        <v>3580</v>
      </c>
      <c r="N142" s="5" t="str">
        <f ca="1"/>
        <v>Horn</v>
      </c>
      <c r="O142" s="5" t="str">
        <f ca="1"/>
        <v>Stadtgraben</v>
      </c>
      <c r="P142" s="5">
        <f ca="1"/>
        <v>32</v>
      </c>
      <c r="Q142" s="5" t="str">
        <f ca="1"/>
        <v/>
      </c>
      <c r="R142" s="5" t="str">
        <f ca="1"/>
        <v/>
      </c>
      <c r="S142" s="5" t="str">
        <f ca="1"/>
        <v/>
      </c>
      <c r="T142" s="5" t="str">
        <f ca="1"/>
        <v/>
      </c>
      <c r="U142" s="5" t="str">
        <f ca="1"/>
        <v/>
      </c>
      <c r="V142" s="5" t="str">
        <f ca="1"/>
        <v/>
      </c>
      <c r="W142" t="str">
        <f ca="1"/>
        <v/>
      </c>
      <c r="X142">
        <f ca="1"/>
        <v>0</v>
      </c>
      <c r="Y142">
        <f ca="1"/>
        <v>0</v>
      </c>
      <c r="Z142" t="str">
        <f ca="1"/>
        <v/>
      </c>
    </row>
    <row r="143" spans="3:26" ht="16.149999999999999" customHeight="1" x14ac:dyDescent="0.25">
      <c r="C143" s="11" t="str">
        <f t="shared" ca="1" si="3"/>
        <v>3089_Awareness Kurzberatung, Umsetzungs - Schwerpunktberatung PV</v>
      </c>
      <c r="D143" s="5">
        <f ca="1"/>
        <v>138</v>
      </c>
      <c r="E143" s="5">
        <f ca="1"/>
        <v>3089</v>
      </c>
      <c r="F143" s="5" t="str">
        <f ca="1"/>
        <v>x</v>
      </c>
      <c r="G143" s="5" t="str">
        <f ca="1"/>
        <v>Awareness Kurzberatung, Umsetzungs - Schwerpunktberatung PV</v>
      </c>
      <c r="H143" s="5" t="str">
        <f ca="1"/>
        <v>Hundlinger Bürotechnik u. Handels Ges. mbH &amp; Co. KG.</v>
      </c>
      <c r="I143" s="5" t="str">
        <f ca="1"/>
        <v>Harald</v>
      </c>
      <c r="J143" s="5" t="str">
        <f ca="1"/>
        <v>Hundlinger</v>
      </c>
      <c r="K143" s="5" t="str">
        <f ca="1"/>
        <v/>
      </c>
      <c r="L143" s="5">
        <f ca="1"/>
        <v>0</v>
      </c>
      <c r="M143" s="5">
        <f ca="1"/>
        <v>3580</v>
      </c>
      <c r="N143" s="5" t="str">
        <f ca="1"/>
        <v>Horn</v>
      </c>
      <c r="O143" s="5" t="str">
        <f ca="1"/>
        <v>Wilhelm Miklas - Platz</v>
      </c>
      <c r="P143" s="5">
        <f ca="1"/>
        <v>1</v>
      </c>
      <c r="Q143" s="5" t="str">
        <f ca="1"/>
        <v/>
      </c>
      <c r="R143" s="5" t="str">
        <f ca="1"/>
        <v/>
      </c>
      <c r="S143" s="5" t="str">
        <f ca="1"/>
        <v/>
      </c>
      <c r="T143" s="5" t="str">
        <f ca="1"/>
        <v/>
      </c>
      <c r="U143" s="5" t="str">
        <f ca="1"/>
        <v/>
      </c>
      <c r="V143" s="5" t="str">
        <f ca="1"/>
        <v/>
      </c>
      <c r="W143" t="str">
        <f ca="1"/>
        <v/>
      </c>
      <c r="X143">
        <f ca="1"/>
        <v>0</v>
      </c>
      <c r="Y143">
        <f ca="1"/>
        <v>0</v>
      </c>
      <c r="Z143" t="str">
        <f ca="1"/>
        <v/>
      </c>
    </row>
    <row r="144" spans="3:26" ht="16.149999999999999" customHeight="1" x14ac:dyDescent="0.25">
      <c r="C144" s="11" t="str">
        <f t="shared" ca="1" si="3"/>
        <v>3092_Awareness Kurzberatung, Umsetzungs - Schwerpunktberatung PV, Heizungsumstellung</v>
      </c>
      <c r="D144" s="5">
        <f ca="1"/>
        <v>139</v>
      </c>
      <c r="E144" s="5">
        <f ca="1"/>
        <v>3092</v>
      </c>
      <c r="F144" s="5" t="str">
        <f ca="1"/>
        <v>x</v>
      </c>
      <c r="G144" s="5" t="str">
        <f ca="1"/>
        <v>Awareness Kurzberatung, Umsetzungs - Schwerpunktberatung PV, Heizungsumstellung</v>
      </c>
      <c r="H144" s="5" t="str">
        <f ca="1"/>
        <v>Handarbeiten Elisabeth Maurer</v>
      </c>
      <c r="I144" s="5" t="str">
        <f ca="1"/>
        <v>Elisabeth</v>
      </c>
      <c r="J144" s="5" t="str">
        <f ca="1"/>
        <v>Maurer</v>
      </c>
      <c r="K144" s="5" t="str">
        <f ca="1"/>
        <v/>
      </c>
      <c r="L144" s="5">
        <f ca="1"/>
        <v>0</v>
      </c>
      <c r="M144" s="5">
        <f ca="1"/>
        <v>3580</v>
      </c>
      <c r="N144" s="5" t="str">
        <f ca="1"/>
        <v>Horn</v>
      </c>
      <c r="O144" s="5" t="str">
        <f ca="1"/>
        <v>Wilhelm Miklas - Platz</v>
      </c>
      <c r="P144" s="5">
        <f ca="1"/>
        <v>3</v>
      </c>
      <c r="Q144" s="5" t="str">
        <f ca="1"/>
        <v/>
      </c>
      <c r="R144" s="5" t="str">
        <f ca="1"/>
        <v/>
      </c>
      <c r="S144" s="5" t="str">
        <f ca="1"/>
        <v/>
      </c>
      <c r="T144" s="5" t="str">
        <f ca="1"/>
        <v/>
      </c>
      <c r="U144" s="5" t="str">
        <f ca="1"/>
        <v/>
      </c>
      <c r="V144" s="5" t="str">
        <f ca="1"/>
        <v/>
      </c>
      <c r="W144" t="str">
        <f ca="1"/>
        <v/>
      </c>
      <c r="X144">
        <f ca="1"/>
        <v>0</v>
      </c>
      <c r="Y144">
        <f ca="1"/>
        <v>0</v>
      </c>
      <c r="Z144" t="str">
        <f ca="1"/>
        <v/>
      </c>
    </row>
    <row r="145" spans="3:26" ht="16.149999999999999" customHeight="1" x14ac:dyDescent="0.25">
      <c r="C145" s="11" t="str">
        <f t="shared" ca="1" si="3"/>
        <v>3094_Awareness Kurzberatung, Umsetzungs - Schwerpunktberatung PV</v>
      </c>
      <c r="D145" s="5">
        <f ca="1"/>
        <v>140</v>
      </c>
      <c r="E145" s="5">
        <f ca="1"/>
        <v>3094</v>
      </c>
      <c r="F145" s="5" t="str">
        <f ca="1"/>
        <v>x</v>
      </c>
      <c r="G145" s="5" t="str">
        <f ca="1"/>
        <v>Awareness Kurzberatung, Umsetzungs - Schwerpunktberatung PV</v>
      </c>
      <c r="H145" s="5" t="str">
        <f ca="1"/>
        <v>Ganser Dach GmbH</v>
      </c>
      <c r="I145" s="5" t="str">
        <f ca="1"/>
        <v>Thomas</v>
      </c>
      <c r="J145" s="5" t="str">
        <f ca="1"/>
        <v>Etzler</v>
      </c>
      <c r="K145" s="5" t="str">
        <f ca="1"/>
        <v/>
      </c>
      <c r="L145" s="5">
        <f ca="1"/>
        <v>0</v>
      </c>
      <c r="M145" s="5">
        <f ca="1"/>
        <v>3800</v>
      </c>
      <c r="N145" s="5" t="str">
        <f ca="1"/>
        <v>Göprfitz an der Wild</v>
      </c>
      <c r="O145" s="5" t="str">
        <f ca="1"/>
        <v>Merkenbrechts</v>
      </c>
      <c r="P145" s="5">
        <f ca="1"/>
        <v>49</v>
      </c>
      <c r="Q145" s="5" t="str">
        <f ca="1"/>
        <v/>
      </c>
      <c r="R145" s="5" t="str">
        <f ca="1"/>
        <v/>
      </c>
      <c r="S145" s="5" t="str">
        <f ca="1"/>
        <v/>
      </c>
      <c r="T145" s="5" t="str">
        <f ca="1"/>
        <v/>
      </c>
      <c r="U145" s="5" t="str">
        <f ca="1"/>
        <v/>
      </c>
      <c r="V145" s="5" t="str">
        <f ca="1"/>
        <v/>
      </c>
      <c r="W145" t="str">
        <f ca="1"/>
        <v/>
      </c>
      <c r="X145">
        <f ca="1"/>
        <v>0</v>
      </c>
      <c r="Y145">
        <f ca="1"/>
        <v>0</v>
      </c>
      <c r="Z145" t="str">
        <f ca="1"/>
        <v/>
      </c>
    </row>
    <row r="146" spans="3:26" ht="16.149999999999999" customHeight="1" x14ac:dyDescent="0.25">
      <c r="C146" s="11" t="str">
        <f t="shared" ca="1" si="3"/>
        <v>3095_Awareness Kurzberatung, Umsetzungs - Schwerpunktberatung PV</v>
      </c>
      <c r="D146" s="5">
        <f ca="1"/>
        <v>141</v>
      </c>
      <c r="E146" s="5">
        <f ca="1"/>
        <v>3095</v>
      </c>
      <c r="F146" s="5" t="str">
        <f ca="1"/>
        <v>x</v>
      </c>
      <c r="G146" s="5" t="str">
        <f ca="1"/>
        <v>Awareness Kurzberatung, Umsetzungs - Schwerpunktberatung PV</v>
      </c>
      <c r="H146" s="5" t="str">
        <f ca="1"/>
        <v>Dachdeckerei Pfieffer</v>
      </c>
      <c r="I146" s="5" t="str">
        <f ca="1"/>
        <v>Margit</v>
      </c>
      <c r="J146" s="5" t="str">
        <f ca="1"/>
        <v>Koller - Pfeiffer</v>
      </c>
      <c r="K146" s="5" t="str">
        <f ca="1"/>
        <v/>
      </c>
      <c r="L146" s="5">
        <f ca="1"/>
        <v>0</v>
      </c>
      <c r="M146" s="5">
        <f ca="1"/>
        <v>3830</v>
      </c>
      <c r="N146" s="5" t="str">
        <f ca="1"/>
        <v>Waidhofen an der Thaya</v>
      </c>
      <c r="O146" s="5" t="str">
        <f ca="1"/>
        <v>Am Stadtteich</v>
      </c>
      <c r="P146" s="5">
        <f ca="1"/>
        <v>14</v>
      </c>
      <c r="Q146" s="5" t="str">
        <f ca="1"/>
        <v/>
      </c>
      <c r="R146" s="5" t="str">
        <f ca="1"/>
        <v/>
      </c>
      <c r="S146" s="5" t="str">
        <f ca="1"/>
        <v/>
      </c>
      <c r="T146" s="5" t="str">
        <f ca="1"/>
        <v/>
      </c>
      <c r="U146" s="5" t="str">
        <f ca="1"/>
        <v/>
      </c>
      <c r="V146" s="5" t="str">
        <f ca="1"/>
        <v/>
      </c>
      <c r="W146" t="str">
        <f ca="1"/>
        <v/>
      </c>
      <c r="X146">
        <f ca="1"/>
        <v>0</v>
      </c>
      <c r="Y146">
        <f ca="1"/>
        <v>0</v>
      </c>
      <c r="Z146" t="str">
        <f ca="1"/>
        <v/>
      </c>
    </row>
    <row r="147" spans="3:26" ht="16.149999999999999" customHeight="1" x14ac:dyDescent="0.25">
      <c r="C147" s="11" t="str">
        <f t="shared" ca="1" si="3"/>
        <v>3096_Umsetzungs - Schwerpunktberatung PV</v>
      </c>
      <c r="D147" s="5">
        <f ca="1"/>
        <v>142</v>
      </c>
      <c r="E147" s="5">
        <f ca="1"/>
        <v>3096</v>
      </c>
      <c r="F147" s="5" t="str">
        <f ca="1"/>
        <v>x</v>
      </c>
      <c r="G147" s="5" t="str">
        <f ca="1"/>
        <v>Umsetzungs - Schwerpunktberatung PV</v>
      </c>
      <c r="H147" s="5" t="str">
        <f ca="1"/>
        <v>Widhalm Landtechnik GmbH</v>
      </c>
      <c r="I147" s="5" t="str">
        <f ca="1"/>
        <v>Chritoph</v>
      </c>
      <c r="J147" s="5" t="str">
        <f ca="1"/>
        <v>Widhalm</v>
      </c>
      <c r="K147" s="5" t="str">
        <f ca="1"/>
        <v/>
      </c>
      <c r="L147" s="5">
        <f ca="1"/>
        <v>0</v>
      </c>
      <c r="M147" s="5">
        <f ca="1"/>
        <v>3800</v>
      </c>
      <c r="N147" s="5" t="str">
        <f ca="1"/>
        <v>Göpfritz an der Wild</v>
      </c>
      <c r="O147" s="5" t="str">
        <f ca="1"/>
        <v>Hauptstraße</v>
      </c>
      <c r="P147" s="5">
        <f ca="1"/>
        <v>77</v>
      </c>
      <c r="Q147" s="5" t="str">
        <f ca="1"/>
        <v/>
      </c>
      <c r="R147" s="5" t="str">
        <f ca="1"/>
        <v/>
      </c>
      <c r="S147" s="5" t="str">
        <f ca="1"/>
        <v/>
      </c>
      <c r="T147" s="5" t="str">
        <f ca="1"/>
        <v/>
      </c>
      <c r="U147" s="5" t="str">
        <f ca="1"/>
        <v/>
      </c>
      <c r="V147" s="5" t="str">
        <f ca="1"/>
        <v/>
      </c>
      <c r="W147" t="str">
        <f ca="1"/>
        <v/>
      </c>
      <c r="X147">
        <f ca="1"/>
        <v>0</v>
      </c>
      <c r="Y147">
        <f ca="1"/>
        <v>0</v>
      </c>
      <c r="Z147" t="str">
        <f ca="1"/>
        <v/>
      </c>
    </row>
    <row r="148" spans="3:26" ht="16.149999999999999" customHeight="1" x14ac:dyDescent="0.25">
      <c r="C148" s="11" t="str">
        <f t="shared" ca="1" si="3"/>
        <v>3098_Kurzberatung, Schwerpunktberatung PV Anlage mit Speicher, Schwerpunktberatung  E - Mobilität Ladestellen Car - Sharing</v>
      </c>
      <c r="D148" s="5">
        <f ca="1"/>
        <v>143</v>
      </c>
      <c r="E148" s="5">
        <f ca="1"/>
        <v>3098</v>
      </c>
      <c r="F148" s="5" t="str">
        <f ca="1"/>
        <v>x</v>
      </c>
      <c r="G148" s="5" t="str">
        <f ca="1"/>
        <v>Kurzberatung, Schwerpunktberatung PV Anlage mit Speicher, Schwerpunktberatung  E - Mobilität Ladestellen Car - Sharing</v>
      </c>
      <c r="H148" s="5" t="str">
        <f ca="1"/>
        <v>Immobilienverwaltung Grafenegg GmbH</v>
      </c>
      <c r="I148" s="5" t="str">
        <f ca="1"/>
        <v>Gerald</v>
      </c>
      <c r="J148" s="5" t="str">
        <f ca="1"/>
        <v>Türk</v>
      </c>
      <c r="K148" s="5" t="str">
        <f ca="1"/>
        <v/>
      </c>
      <c r="L148" s="5">
        <f ca="1"/>
        <v>0</v>
      </c>
      <c r="M148" s="5">
        <f ca="1"/>
        <v>3485</v>
      </c>
      <c r="N148" s="5" t="str">
        <f ca="1"/>
        <v>Grafenegg</v>
      </c>
      <c r="O148" s="5" t="str">
        <f ca="1"/>
        <v>Grafenegg</v>
      </c>
      <c r="P148" s="5">
        <f ca="1"/>
        <v>4</v>
      </c>
      <c r="Q148" s="5" t="str">
        <f ca="1"/>
        <v/>
      </c>
      <c r="R148" s="5" t="str">
        <f ca="1"/>
        <v/>
      </c>
      <c r="S148" s="5" t="str">
        <f ca="1"/>
        <v/>
      </c>
      <c r="T148" s="5" t="str">
        <f ca="1"/>
        <v/>
      </c>
      <c r="U148" s="5" t="str">
        <f ca="1"/>
        <v/>
      </c>
      <c r="V148" s="5" t="str">
        <f ca="1"/>
        <v/>
      </c>
      <c r="W148" t="str">
        <f ca="1"/>
        <v/>
      </c>
      <c r="X148">
        <f ca="1"/>
        <v>0</v>
      </c>
      <c r="Y148">
        <f ca="1"/>
        <v>0</v>
      </c>
      <c r="Z148" t="str">
        <f ca="1"/>
        <v/>
      </c>
    </row>
    <row r="149" spans="3:26" ht="16.149999999999999" customHeight="1" x14ac:dyDescent="0.25">
      <c r="C149" s="11" t="str">
        <f t="shared" ca="1" si="3"/>
        <v>3102_Kurzberatung</v>
      </c>
      <c r="D149" s="5">
        <f ca="1"/>
        <v>144</v>
      </c>
      <c r="E149" s="5">
        <f ca="1"/>
        <v>3102</v>
      </c>
      <c r="F149" s="5" t="str">
        <f ca="1"/>
        <v>x</v>
      </c>
      <c r="G149" s="5" t="str">
        <f ca="1"/>
        <v>Kurzberatung</v>
      </c>
      <c r="H149" s="5" t="str">
        <f ca="1"/>
        <v>Zimmerei &amp; Holzbau GmbH</v>
      </c>
      <c r="I149" s="5" t="str">
        <f ca="1"/>
        <v>Erwin</v>
      </c>
      <c r="J149" s="5" t="str">
        <f ca="1"/>
        <v>Steiner</v>
      </c>
      <c r="K149" s="5" t="str">
        <f ca="1"/>
        <v>02987 / 24224</v>
      </c>
      <c r="L149" s="5" t="str">
        <f ca="1"/>
        <v>office@waldholzbauen.at</v>
      </c>
      <c r="M149" s="5">
        <f ca="1"/>
        <v>3572</v>
      </c>
      <c r="N149" s="5" t="str">
        <f ca="1"/>
        <v>St. Leonhard</v>
      </c>
      <c r="O149" s="5" t="str">
        <f ca="1"/>
        <v>Untertautendorferamt</v>
      </c>
      <c r="P149" s="5">
        <f ca="1"/>
        <v>4</v>
      </c>
      <c r="Q149" s="5" t="str">
        <f ca="1"/>
        <v/>
      </c>
      <c r="R149" s="5" t="str">
        <f ca="1"/>
        <v/>
      </c>
      <c r="S149" s="5" t="str">
        <f ca="1"/>
        <v/>
      </c>
      <c r="T149" s="5" t="str">
        <f ca="1"/>
        <v/>
      </c>
      <c r="U149" s="5" t="str">
        <f ca="1"/>
        <v/>
      </c>
      <c r="V149" s="5" t="str">
        <f ca="1"/>
        <v/>
      </c>
      <c r="W149" t="str">
        <f ca="1"/>
        <v/>
      </c>
      <c r="X149">
        <f ca="1"/>
        <v>0</v>
      </c>
      <c r="Y149">
        <f ca="1"/>
        <v>0</v>
      </c>
      <c r="Z149" t="str">
        <f ca="1"/>
        <v/>
      </c>
    </row>
    <row r="150" spans="3:26" ht="16.149999999999999" customHeight="1" x14ac:dyDescent="0.25">
      <c r="C150" s="11" t="str">
        <f t="shared" ca="1" si="3"/>
        <v>3105_Kurzberatung</v>
      </c>
      <c r="D150" s="5">
        <f ca="1"/>
        <v>145</v>
      </c>
      <c r="E150" s="5">
        <f ca="1"/>
        <v>3105</v>
      </c>
      <c r="F150" s="5" t="str">
        <f ca="1"/>
        <v>x</v>
      </c>
      <c r="G150" s="5" t="str">
        <f ca="1"/>
        <v>Kurzberatung</v>
      </c>
      <c r="H150" s="5" t="str">
        <f ca="1"/>
        <v>Wingelhofer &amp; Söhne GmbH</v>
      </c>
      <c r="I150" s="5" t="str">
        <f ca="1"/>
        <v>Rene</v>
      </c>
      <c r="J150" s="5" t="str">
        <f ca="1"/>
        <v>Wingelhofer</v>
      </c>
      <c r="K150" s="5" t="str">
        <f ca="1"/>
        <v/>
      </c>
      <c r="L150" s="5">
        <f ca="1"/>
        <v>0</v>
      </c>
      <c r="M150" s="5">
        <f ca="1"/>
        <v>2084</v>
      </c>
      <c r="N150" s="5" t="str">
        <f ca="1"/>
        <v>Weitersfeld</v>
      </c>
      <c r="O150" s="5" t="str">
        <f ca="1"/>
        <v>Starrein</v>
      </c>
      <c r="P150" s="5">
        <f ca="1"/>
        <v>55</v>
      </c>
      <c r="Q150" s="5" t="str">
        <f ca="1"/>
        <v/>
      </c>
      <c r="R150" s="5" t="str">
        <f ca="1"/>
        <v/>
      </c>
      <c r="S150" s="5" t="str">
        <f ca="1"/>
        <v/>
      </c>
      <c r="T150" s="5" t="str">
        <f ca="1"/>
        <v/>
      </c>
      <c r="U150" s="5" t="str">
        <f ca="1"/>
        <v/>
      </c>
      <c r="V150" s="5" t="str">
        <f ca="1"/>
        <v/>
      </c>
      <c r="W150" t="str">
        <f ca="1"/>
        <v/>
      </c>
      <c r="X150">
        <f ca="1"/>
        <v>0</v>
      </c>
      <c r="Y150">
        <f ca="1"/>
        <v>0</v>
      </c>
      <c r="Z150" t="str">
        <f ca="1"/>
        <v/>
      </c>
    </row>
    <row r="151" spans="3:26" ht="16.149999999999999" customHeight="1" x14ac:dyDescent="0.25">
      <c r="C151" s="11" t="str">
        <f t="shared" ca="1" si="3"/>
        <v>3107_Kurzberatung</v>
      </c>
      <c r="D151" s="5">
        <f ca="1"/>
        <v>146</v>
      </c>
      <c r="E151" s="5">
        <f ca="1"/>
        <v>3107</v>
      </c>
      <c r="F151" s="5" t="str">
        <f ca="1"/>
        <v>x</v>
      </c>
      <c r="G151" s="5" t="str">
        <f ca="1"/>
        <v>Kurzberatung</v>
      </c>
      <c r="H151" s="5" t="str">
        <f ca="1"/>
        <v>Hausgnost GmbH</v>
      </c>
      <c r="I151" s="5" t="str">
        <f ca="1"/>
        <v>Manfred</v>
      </c>
      <c r="J151" s="5" t="str">
        <f ca="1"/>
        <v>Hausgnost</v>
      </c>
      <c r="K151" s="5" t="str">
        <f ca="1"/>
        <v/>
      </c>
      <c r="L151" s="5">
        <f ca="1"/>
        <v>0</v>
      </c>
      <c r="M151" s="5">
        <f ca="1"/>
        <v>2042</v>
      </c>
      <c r="N151" s="5" t="str">
        <f ca="1"/>
        <v>Guntersdorf</v>
      </c>
      <c r="O151" s="5" t="str">
        <f ca="1"/>
        <v>Guntersdorf</v>
      </c>
      <c r="P151" s="5">
        <f ca="1"/>
        <v>110</v>
      </c>
      <c r="Q151" s="5" t="str">
        <f ca="1"/>
        <v/>
      </c>
      <c r="R151" s="5" t="str">
        <f ca="1"/>
        <v/>
      </c>
      <c r="S151" s="5" t="str">
        <f ca="1"/>
        <v/>
      </c>
      <c r="T151" s="5" t="str">
        <f ca="1"/>
        <v/>
      </c>
      <c r="U151" s="5" t="str">
        <f ca="1"/>
        <v/>
      </c>
      <c r="V151" s="5" t="str">
        <f ca="1"/>
        <v/>
      </c>
      <c r="W151" t="str">
        <f ca="1"/>
        <v/>
      </c>
      <c r="X151">
        <f ca="1"/>
        <v>0</v>
      </c>
      <c r="Y151">
        <f ca="1"/>
        <v>0</v>
      </c>
      <c r="Z151" t="str">
        <f ca="1"/>
        <v/>
      </c>
    </row>
    <row r="152" spans="3:26" ht="16.149999999999999" customHeight="1" x14ac:dyDescent="0.25">
      <c r="C152" s="11" t="str">
        <f t="shared" ca="1" si="3"/>
        <v>3113_Kurzberatung, Schwerpunktberatung PV</v>
      </c>
      <c r="D152" s="5">
        <f ca="1"/>
        <v>147</v>
      </c>
      <c r="E152" s="5">
        <f ca="1"/>
        <v>3113</v>
      </c>
      <c r="F152" s="5" t="str">
        <f ca="1"/>
        <v>x</v>
      </c>
      <c r="G152" s="5" t="str">
        <f ca="1"/>
        <v>Kurzberatung, Schwerpunktberatung PV</v>
      </c>
      <c r="H152" s="5" t="str">
        <f ca="1"/>
        <v>AWS - Förderbegleitung Erich Kolm</v>
      </c>
      <c r="I152" s="5" t="str">
        <f ca="1"/>
        <v>Erich und Elfried</v>
      </c>
      <c r="J152" s="5" t="str">
        <f ca="1"/>
        <v>Kolm</v>
      </c>
      <c r="K152" s="5" t="str">
        <f ca="1"/>
        <v/>
      </c>
      <c r="L152" s="5">
        <f ca="1"/>
        <v>0</v>
      </c>
      <c r="M152" s="5">
        <f ca="1"/>
        <v>3910</v>
      </c>
      <c r="N152" s="5" t="str">
        <f ca="1"/>
        <v>Zwettl</v>
      </c>
      <c r="O152" s="5" t="str">
        <f ca="1"/>
        <v>Reichers</v>
      </c>
      <c r="P152" s="5">
        <f ca="1"/>
        <v>2</v>
      </c>
      <c r="Q152" s="5" t="str">
        <f ca="1"/>
        <v/>
      </c>
      <c r="R152" s="5" t="str">
        <f ca="1"/>
        <v/>
      </c>
      <c r="S152" s="5" t="str">
        <f ca="1"/>
        <v/>
      </c>
      <c r="T152" s="5" t="str">
        <f ca="1"/>
        <v/>
      </c>
      <c r="U152" s="5" t="str">
        <f ca="1"/>
        <v/>
      </c>
      <c r="V152" s="5" t="str">
        <f ca="1"/>
        <v/>
      </c>
      <c r="W152" t="str">
        <f ca="1"/>
        <v/>
      </c>
      <c r="X152">
        <f ca="1"/>
        <v>0</v>
      </c>
      <c r="Y152">
        <f ca="1"/>
        <v>0</v>
      </c>
      <c r="Z152" t="str">
        <f ca="1"/>
        <v/>
      </c>
    </row>
    <row r="153" spans="3:26" ht="16.149999999999999" customHeight="1" x14ac:dyDescent="0.25">
      <c r="C153" s="11" t="str">
        <f t="shared" ca="1" si="3"/>
        <v>3116_Umsetzungs - Schwerpunktberatung</v>
      </c>
      <c r="D153" s="5">
        <f ca="1"/>
        <v>148</v>
      </c>
      <c r="E153" s="5">
        <f ca="1"/>
        <v>3116</v>
      </c>
      <c r="F153" s="5" t="str">
        <f ca="1"/>
        <v>x</v>
      </c>
      <c r="G153" s="5" t="str">
        <f ca="1"/>
        <v>Umsetzungs - Schwerpunktberatung</v>
      </c>
      <c r="H153" s="5" t="str">
        <f ca="1"/>
        <v>Ableidinger</v>
      </c>
      <c r="I153" s="5" t="str">
        <f ca="1"/>
        <v>Johann</v>
      </c>
      <c r="J153" s="5" t="str">
        <f ca="1"/>
        <v>Ableidinger</v>
      </c>
      <c r="K153" s="5" t="str">
        <f ca="1"/>
        <v/>
      </c>
      <c r="L153" s="5">
        <f ca="1"/>
        <v>0</v>
      </c>
      <c r="M153" s="5">
        <f ca="1"/>
        <v>3944</v>
      </c>
      <c r="N153" s="5" t="str">
        <f ca="1"/>
        <v>Schrems</v>
      </c>
      <c r="O153" s="5" t="str">
        <f ca="1"/>
        <v>Langschwarza</v>
      </c>
      <c r="P153" s="5">
        <f ca="1"/>
        <v>24</v>
      </c>
      <c r="Q153" s="5" t="str">
        <f ca="1"/>
        <v/>
      </c>
      <c r="R153" s="5" t="str">
        <f ca="1"/>
        <v/>
      </c>
      <c r="S153" s="5" t="str">
        <f ca="1"/>
        <v/>
      </c>
      <c r="T153" s="5" t="str">
        <f ca="1"/>
        <v/>
      </c>
      <c r="U153" s="5" t="str">
        <f ca="1"/>
        <v/>
      </c>
      <c r="V153" s="5" t="str">
        <f ca="1"/>
        <v/>
      </c>
      <c r="W153" t="str">
        <f ca="1"/>
        <v/>
      </c>
      <c r="X153">
        <f ca="1"/>
        <v>0</v>
      </c>
      <c r="Y153">
        <f ca="1"/>
        <v>0</v>
      </c>
      <c r="Z153" t="str">
        <f ca="1"/>
        <v/>
      </c>
    </row>
    <row r="154" spans="3:26" ht="16.149999999999999" customHeight="1" x14ac:dyDescent="0.25">
      <c r="C154" s="11" t="str">
        <f t="shared" ca="1" si="3"/>
        <v>3119_Awareness Kurzberatung, Umsetzungs - Schwerpunktberatung PV - Anlage</v>
      </c>
      <c r="D154" s="5">
        <f ca="1"/>
        <v>149</v>
      </c>
      <c r="E154" s="5">
        <f ca="1"/>
        <v>3119</v>
      </c>
      <c r="F154" s="5" t="str">
        <f ca="1"/>
        <v>x</v>
      </c>
      <c r="G154" s="5" t="str">
        <f ca="1"/>
        <v>Awareness Kurzberatung, Umsetzungs - Schwerpunktberatung PV - Anlage</v>
      </c>
      <c r="H154" s="5" t="str">
        <f ca="1"/>
        <v>Brodesser Daniela</v>
      </c>
      <c r="I154" s="5" t="str">
        <f ca="1"/>
        <v>Daniela</v>
      </c>
      <c r="J154" s="5" t="str">
        <f ca="1"/>
        <v>Brodesser</v>
      </c>
      <c r="K154" s="5" t="str">
        <f ca="1"/>
        <v/>
      </c>
      <c r="L154" s="5">
        <f ca="1"/>
        <v>0</v>
      </c>
      <c r="M154" s="5">
        <f ca="1"/>
        <v>3572</v>
      </c>
      <c r="N154" s="5" t="str">
        <f ca="1"/>
        <v>St. Leonhard am Hornerwald</v>
      </c>
      <c r="O154" s="5" t="str">
        <f ca="1"/>
        <v>Wolfshoferamt</v>
      </c>
      <c r="P154" s="5">
        <f ca="1"/>
        <v>74</v>
      </c>
      <c r="Q154" s="5" t="str">
        <f ca="1"/>
        <v/>
      </c>
      <c r="R154" s="5" t="str">
        <f ca="1"/>
        <v/>
      </c>
      <c r="S154" s="5" t="str">
        <f ca="1"/>
        <v/>
      </c>
      <c r="T154" s="5" t="str">
        <f ca="1"/>
        <v/>
      </c>
      <c r="U154" s="5" t="str">
        <f ca="1"/>
        <v/>
      </c>
      <c r="V154" s="5" t="str">
        <f ca="1"/>
        <v/>
      </c>
      <c r="W154" t="str">
        <f ca="1"/>
        <v/>
      </c>
      <c r="X154">
        <f ca="1"/>
        <v>0</v>
      </c>
      <c r="Y154">
        <f ca="1"/>
        <v>0</v>
      </c>
      <c r="Z154" t="str">
        <f ca="1"/>
        <v/>
      </c>
    </row>
    <row r="155" spans="3:26" ht="16.149999999999999" customHeight="1" x14ac:dyDescent="0.25">
      <c r="C155" s="11" t="str">
        <f t="shared" ca="1" si="3"/>
        <v>3120_Umsetzungs - Schwerpunktberatung Heizungsumstellung</v>
      </c>
      <c r="D155" s="5">
        <f ca="1"/>
        <v>150</v>
      </c>
      <c r="E155" s="5">
        <f ca="1"/>
        <v>3120</v>
      </c>
      <c r="F155" s="5" t="str">
        <f ca="1"/>
        <v>x</v>
      </c>
      <c r="G155" s="5" t="str">
        <f ca="1"/>
        <v>Umsetzungs - Schwerpunktberatung Heizungsumstellung</v>
      </c>
      <c r="H155" s="5" t="str">
        <f ca="1"/>
        <v>Pfaller Bettina</v>
      </c>
      <c r="I155" s="5" t="str">
        <f ca="1"/>
        <v>Bettina</v>
      </c>
      <c r="J155" s="5" t="str">
        <f ca="1"/>
        <v>Pfaller</v>
      </c>
      <c r="K155" s="5" t="str">
        <f ca="1"/>
        <v/>
      </c>
      <c r="L155" s="5">
        <f ca="1"/>
        <v>0</v>
      </c>
      <c r="M155" s="5">
        <f ca="1"/>
        <v>3580</v>
      </c>
      <c r="N155" s="5" t="str">
        <f ca="1"/>
        <v>Horn</v>
      </c>
      <c r="O155" s="5" t="str">
        <f ca="1"/>
        <v>Prager Straße</v>
      </c>
      <c r="P155" s="5">
        <f ca="1"/>
        <v>7</v>
      </c>
      <c r="Q155" s="5" t="str">
        <f ca="1"/>
        <v/>
      </c>
      <c r="R155" s="5" t="str">
        <f ca="1"/>
        <v/>
      </c>
      <c r="S155" s="5" t="str">
        <f ca="1"/>
        <v/>
      </c>
      <c r="T155" s="5" t="str">
        <f ca="1"/>
        <v/>
      </c>
      <c r="U155" s="5" t="str">
        <f ca="1"/>
        <v/>
      </c>
      <c r="V155" s="5" t="str">
        <f ca="1"/>
        <v/>
      </c>
      <c r="W155" t="str">
        <f ca="1"/>
        <v/>
      </c>
      <c r="X155">
        <f ca="1"/>
        <v>0</v>
      </c>
      <c r="Y155">
        <f ca="1"/>
        <v>0</v>
      </c>
      <c r="Z155" t="str">
        <f ca="1"/>
        <v/>
      </c>
    </row>
    <row r="156" spans="3:26" ht="16.149999999999999" customHeight="1" x14ac:dyDescent="0.25">
      <c r="C156" s="11" t="str">
        <f t="shared" ca="1" si="3"/>
        <v>3121_Awareness Kurzberatung, Umsetzungs - Schwerpunktberatung PV + Stromspeicher</v>
      </c>
      <c r="D156" s="5">
        <f ca="1"/>
        <v>151</v>
      </c>
      <c r="E156" s="5">
        <f ca="1"/>
        <v>3121</v>
      </c>
      <c r="F156" s="5" t="str">
        <f ca="1"/>
        <v>x</v>
      </c>
      <c r="G156" s="5" t="str">
        <f ca="1"/>
        <v>Awareness Kurzberatung, Umsetzungs - Schwerpunktberatung PV + Stromspeicher</v>
      </c>
      <c r="H156" s="5" t="str">
        <f ca="1"/>
        <v>Maier Markus</v>
      </c>
      <c r="I156" s="5" t="str">
        <f ca="1"/>
        <v>Markus</v>
      </c>
      <c r="J156" s="5" t="str">
        <f ca="1"/>
        <v>Maier</v>
      </c>
      <c r="K156" s="5" t="str">
        <f ca="1"/>
        <v/>
      </c>
      <c r="L156" s="5">
        <f ca="1"/>
        <v>0</v>
      </c>
      <c r="M156" s="5">
        <f ca="1"/>
        <v>3580</v>
      </c>
      <c r="N156" s="5" t="str">
        <f ca="1"/>
        <v>Rosenburg - Mold</v>
      </c>
      <c r="O156" s="5" t="str">
        <f ca="1"/>
        <v>Mörtersdorf</v>
      </c>
      <c r="P156" s="5">
        <f ca="1"/>
        <v>12</v>
      </c>
      <c r="Q156" s="5" t="str">
        <f ca="1"/>
        <v/>
      </c>
      <c r="R156" s="5" t="str">
        <f ca="1"/>
        <v/>
      </c>
      <c r="S156" s="5" t="str">
        <f ca="1"/>
        <v/>
      </c>
      <c r="T156" s="5" t="str">
        <f ca="1"/>
        <v/>
      </c>
      <c r="U156" s="5" t="str">
        <f ca="1"/>
        <v/>
      </c>
      <c r="V156" s="5" t="str">
        <f ca="1"/>
        <v/>
      </c>
      <c r="W156" t="str">
        <f ca="1"/>
        <v/>
      </c>
      <c r="X156">
        <f ca="1"/>
        <v>0</v>
      </c>
      <c r="Y156">
        <f ca="1"/>
        <v>0</v>
      </c>
      <c r="Z156" t="str">
        <f ca="1"/>
        <v/>
      </c>
    </row>
    <row r="157" spans="3:26" ht="16.149999999999999" customHeight="1" x14ac:dyDescent="0.25">
      <c r="C157" s="11" t="str">
        <f t="shared" ca="1" si="3"/>
        <v>3123_Kurzberatung</v>
      </c>
      <c r="D157" s="5">
        <f ca="1"/>
        <v>152</v>
      </c>
      <c r="E157" s="5">
        <f ca="1"/>
        <v>3123</v>
      </c>
      <c r="F157" s="5" t="str">
        <f ca="1"/>
        <v>x</v>
      </c>
      <c r="G157" s="5" t="str">
        <f ca="1"/>
        <v>Kurzberatung</v>
      </c>
      <c r="H157" s="5" t="str">
        <f ca="1"/>
        <v>Hasutechnik Petz Dominik</v>
      </c>
      <c r="I157" s="5" t="str">
        <f ca="1"/>
        <v>Dominik</v>
      </c>
      <c r="J157" s="5" t="str">
        <f ca="1"/>
        <v>Petz</v>
      </c>
      <c r="K157" s="5" t="str">
        <f ca="1"/>
        <v/>
      </c>
      <c r="L157" s="5">
        <f ca="1"/>
        <v>0</v>
      </c>
      <c r="M157" s="5">
        <f ca="1"/>
        <v>2061</v>
      </c>
      <c r="N157" s="5" t="str">
        <f ca="1"/>
        <v>Hadres</v>
      </c>
      <c r="O157" s="5" t="str">
        <f ca="1"/>
        <v>Obritz</v>
      </c>
      <c r="P157" s="5">
        <f ca="1"/>
        <v>57</v>
      </c>
      <c r="Q157" s="5" t="str">
        <f ca="1"/>
        <v/>
      </c>
      <c r="R157" s="5" t="str">
        <f ca="1"/>
        <v/>
      </c>
      <c r="S157" s="5" t="str">
        <f ca="1"/>
        <v/>
      </c>
      <c r="T157" s="5" t="str">
        <f ca="1"/>
        <v/>
      </c>
      <c r="U157" s="5" t="str">
        <f ca="1"/>
        <v/>
      </c>
      <c r="V157" s="5" t="str">
        <f ca="1"/>
        <v/>
      </c>
      <c r="W157" t="str">
        <f ca="1"/>
        <v/>
      </c>
      <c r="X157">
        <f ca="1"/>
        <v>0</v>
      </c>
      <c r="Y157">
        <f ca="1"/>
        <v>0</v>
      </c>
      <c r="Z157" t="str">
        <f ca="1"/>
        <v/>
      </c>
    </row>
    <row r="158" spans="3:26" ht="16.149999999999999" customHeight="1" x14ac:dyDescent="0.25">
      <c r="C158" s="11" t="str">
        <f t="shared" ca="1" si="3"/>
        <v>3125_Kurzberatung</v>
      </c>
      <c r="D158" s="5">
        <f ca="1"/>
        <v>153</v>
      </c>
      <c r="E158" s="5">
        <f ca="1"/>
        <v>3125</v>
      </c>
      <c r="F158" s="5" t="str">
        <f ca="1"/>
        <v>x</v>
      </c>
      <c r="G158" s="5" t="str">
        <f ca="1"/>
        <v>Kurzberatung</v>
      </c>
      <c r="H158" s="5" t="str">
        <f ca="1"/>
        <v>VSZ GmbH</v>
      </c>
      <c r="I158" s="5" t="str">
        <f ca="1"/>
        <v>Franz</v>
      </c>
      <c r="J158" s="5" t="str">
        <f ca="1"/>
        <v>Weiß</v>
      </c>
      <c r="K158" s="5" t="str">
        <f ca="1"/>
        <v/>
      </c>
      <c r="L158" s="5">
        <f ca="1"/>
        <v>0</v>
      </c>
      <c r="M158" s="5">
        <f ca="1"/>
        <v>3500</v>
      </c>
      <c r="N158" s="5" t="str">
        <f ca="1"/>
        <v>Krems an der Donau</v>
      </c>
      <c r="O158" s="5" t="str">
        <f ca="1"/>
        <v>Magnesitstraße</v>
      </c>
      <c r="P158" s="5">
        <f ca="1"/>
        <v>10</v>
      </c>
      <c r="Q158" s="5" t="str">
        <f ca="1"/>
        <v/>
      </c>
      <c r="R158" s="5" t="str">
        <f ca="1"/>
        <v/>
      </c>
      <c r="S158" s="5" t="str">
        <f ca="1"/>
        <v/>
      </c>
      <c r="T158" s="5" t="str">
        <f ca="1"/>
        <v/>
      </c>
      <c r="U158" s="5" t="str">
        <f ca="1"/>
        <v/>
      </c>
      <c r="V158" s="5" t="str">
        <f ca="1"/>
        <v/>
      </c>
      <c r="W158" t="str">
        <f ca="1"/>
        <v/>
      </c>
      <c r="X158">
        <f ca="1"/>
        <v>0</v>
      </c>
      <c r="Y158">
        <f ca="1"/>
        <v>0</v>
      </c>
      <c r="Z158" t="str">
        <f ca="1"/>
        <v/>
      </c>
    </row>
    <row r="159" spans="3:26" ht="16.149999999999999" customHeight="1" x14ac:dyDescent="0.25">
      <c r="C159" s="11" t="str">
        <f t="shared" ca="1" si="3"/>
        <v>3126_Kurzberatung</v>
      </c>
      <c r="D159" s="5">
        <f ca="1"/>
        <v>154</v>
      </c>
      <c r="E159" s="5">
        <f ca="1"/>
        <v>3126</v>
      </c>
      <c r="F159" s="5" t="str">
        <f ca="1"/>
        <v>x</v>
      </c>
      <c r="G159" s="5" t="str">
        <f ca="1"/>
        <v>Kurzberatung</v>
      </c>
      <c r="H159" s="5" t="str">
        <f ca="1"/>
        <v>Gasthaus zum Rene</v>
      </c>
      <c r="I159" s="5" t="str">
        <f ca="1"/>
        <v>Rene</v>
      </c>
      <c r="J159" s="5" t="str">
        <f ca="1"/>
        <v>Lebersorger</v>
      </c>
      <c r="K159" s="5" t="str">
        <f ca="1"/>
        <v/>
      </c>
      <c r="L159" s="5">
        <f ca="1"/>
        <v>0</v>
      </c>
      <c r="M159" s="5">
        <f ca="1"/>
        <v>3812</v>
      </c>
      <c r="N159" s="5" t="str">
        <f ca="1"/>
        <v>Groß - Siegharts</v>
      </c>
      <c r="O159" s="5" t="str">
        <f ca="1"/>
        <v>Fabrikenstraße</v>
      </c>
      <c r="P159" s="5">
        <f ca="1"/>
        <v>4</v>
      </c>
      <c r="Q159" s="5" t="str">
        <f ca="1"/>
        <v/>
      </c>
      <c r="R159" s="5" t="str">
        <f ca="1"/>
        <v/>
      </c>
      <c r="S159" s="5" t="str">
        <f ca="1"/>
        <v/>
      </c>
      <c r="T159" s="5" t="str">
        <f ca="1"/>
        <v/>
      </c>
      <c r="U159" s="5" t="str">
        <f ca="1"/>
        <v/>
      </c>
      <c r="V159" s="5" t="str">
        <f ca="1"/>
        <v/>
      </c>
      <c r="W159" t="str">
        <f ca="1"/>
        <v/>
      </c>
      <c r="X159">
        <f ca="1"/>
        <v>0</v>
      </c>
      <c r="Y159">
        <f ca="1"/>
        <v>0</v>
      </c>
      <c r="Z159" t="str">
        <f ca="1"/>
        <v/>
      </c>
    </row>
    <row r="160" spans="3:26" ht="16.149999999999999" customHeight="1" x14ac:dyDescent="0.25">
      <c r="C160" s="11" t="str">
        <f t="shared" ca="1" si="3"/>
        <v>3127_Kurzberatung</v>
      </c>
      <c r="D160" s="5">
        <f ca="1"/>
        <v>155</v>
      </c>
      <c r="E160" s="5">
        <f ca="1"/>
        <v>3127</v>
      </c>
      <c r="F160" s="5" t="str">
        <f ca="1"/>
        <v>x</v>
      </c>
      <c r="G160" s="5" t="str">
        <f ca="1"/>
        <v>Kurzberatung</v>
      </c>
      <c r="H160" s="5" t="str">
        <f ca="1"/>
        <v>NÖ Festival und Kino GmbH</v>
      </c>
      <c r="I160" s="5" t="str">
        <f ca="1"/>
        <v>Ernst</v>
      </c>
      <c r="J160" s="5" t="str">
        <f ca="1"/>
        <v>Steindl</v>
      </c>
      <c r="K160" s="5" t="str">
        <f ca="1"/>
        <v/>
      </c>
      <c r="L160" s="5">
        <f ca="1"/>
        <v>0</v>
      </c>
      <c r="M160" s="5">
        <f ca="1"/>
        <v>3500</v>
      </c>
      <c r="N160" s="5" t="str">
        <f ca="1"/>
        <v>Krems an der Donau</v>
      </c>
      <c r="O160" s="5" t="str">
        <f ca="1"/>
        <v>Dr.-Karl-Dorrek-Straße</v>
      </c>
      <c r="P160" s="5">
        <f ca="1"/>
        <v>30</v>
      </c>
      <c r="Q160" s="5" t="str">
        <f ca="1"/>
        <v/>
      </c>
      <c r="R160" s="5" t="str">
        <f ca="1"/>
        <v/>
      </c>
      <c r="S160" s="5" t="str">
        <f ca="1"/>
        <v/>
      </c>
      <c r="T160" s="5" t="str">
        <f ca="1"/>
        <v/>
      </c>
      <c r="U160" s="5" t="str">
        <f ca="1"/>
        <v/>
      </c>
      <c r="V160" s="5" t="str">
        <f ca="1"/>
        <v/>
      </c>
      <c r="W160" t="str">
        <f ca="1"/>
        <v/>
      </c>
      <c r="X160">
        <f ca="1"/>
        <v>0</v>
      </c>
      <c r="Y160">
        <f ca="1"/>
        <v>0</v>
      </c>
      <c r="Z160" t="str">
        <f ca="1"/>
        <v/>
      </c>
    </row>
    <row r="161" spans="3:26" ht="16.149999999999999" customHeight="1" x14ac:dyDescent="0.25">
      <c r="C161" s="11" t="str">
        <f t="shared" ca="1" si="3"/>
        <v>3128_Kurzberatung</v>
      </c>
      <c r="D161" s="5">
        <f ca="1"/>
        <v>156</v>
      </c>
      <c r="E161" s="5">
        <f ca="1"/>
        <v>3128</v>
      </c>
      <c r="F161" s="5" t="str">
        <f ca="1"/>
        <v>x</v>
      </c>
      <c r="G161" s="5" t="str">
        <f ca="1"/>
        <v>Kurzberatung</v>
      </c>
      <c r="H161" s="5" t="str">
        <f ca="1"/>
        <v>Bruckner Fenster und Türen GmbH</v>
      </c>
      <c r="I161" s="5" t="str">
        <f ca="1"/>
        <v>Wolfgang</v>
      </c>
      <c r="J161" s="5" t="str">
        <f ca="1"/>
        <v>Bruckner</v>
      </c>
      <c r="K161" s="5" t="str">
        <f ca="1"/>
        <v/>
      </c>
      <c r="L161" s="5">
        <f ca="1"/>
        <v>0</v>
      </c>
      <c r="M161" s="5">
        <f ca="1"/>
        <v>3920</v>
      </c>
      <c r="N161" s="5" t="str">
        <f ca="1"/>
        <v>Groß Gerungs</v>
      </c>
      <c r="O161" s="5" t="str">
        <f ca="1"/>
        <v>Ober Rosenauerwald</v>
      </c>
      <c r="P161" s="5">
        <f ca="1"/>
        <v>15</v>
      </c>
      <c r="Q161" s="5" t="str">
        <f ca="1"/>
        <v/>
      </c>
      <c r="R161" s="5" t="str">
        <f ca="1"/>
        <v/>
      </c>
      <c r="S161" s="5" t="str">
        <f ca="1"/>
        <v/>
      </c>
      <c r="T161" s="5" t="str">
        <f ca="1"/>
        <v/>
      </c>
      <c r="U161" s="5" t="str">
        <f ca="1"/>
        <v/>
      </c>
      <c r="V161" s="5" t="str">
        <f ca="1"/>
        <v/>
      </c>
      <c r="W161" t="str">
        <f ca="1"/>
        <v/>
      </c>
      <c r="X161">
        <f ca="1"/>
        <v>0</v>
      </c>
      <c r="Y161">
        <f ca="1"/>
        <v>0</v>
      </c>
      <c r="Z161" t="str">
        <f ca="1"/>
        <v/>
      </c>
    </row>
    <row r="162" spans="3:26" ht="16.149999999999999" customHeight="1" x14ac:dyDescent="0.25">
      <c r="C162" s="11" t="str">
        <f t="shared" ca="1" si="3"/>
        <v>3129_Kurzberatung</v>
      </c>
      <c r="D162" s="5">
        <f ca="1"/>
        <v>157</v>
      </c>
      <c r="E162" s="5">
        <f ca="1"/>
        <v>3129</v>
      </c>
      <c r="F162" s="5" t="str">
        <f ca="1"/>
        <v>x</v>
      </c>
      <c r="G162" s="5" t="str">
        <f ca="1"/>
        <v>Kurzberatung</v>
      </c>
      <c r="H162" s="5" t="str">
        <f ca="1"/>
        <v>Kunstmeile Krems Betriebs GmbH</v>
      </c>
      <c r="I162" s="5" t="str">
        <f ca="1"/>
        <v>Martin</v>
      </c>
      <c r="J162" s="5" t="str">
        <f ca="1"/>
        <v>Maurer</v>
      </c>
      <c r="K162" s="5" t="str">
        <f ca="1"/>
        <v/>
      </c>
      <c r="L162" s="5">
        <f ca="1"/>
        <v>0</v>
      </c>
      <c r="M162" s="5">
        <f ca="1"/>
        <v>3500</v>
      </c>
      <c r="N162" s="5" t="str">
        <f ca="1"/>
        <v>Krems an der Donau</v>
      </c>
      <c r="O162" s="5" t="str">
        <f ca="1"/>
        <v>Museumsplatz</v>
      </c>
      <c r="P162" s="5">
        <f ca="1"/>
        <v>5</v>
      </c>
      <c r="Q162" s="5" t="str">
        <f ca="1"/>
        <v/>
      </c>
      <c r="R162" s="5" t="str">
        <f ca="1"/>
        <v/>
      </c>
      <c r="S162" s="5" t="str">
        <f ca="1"/>
        <v/>
      </c>
      <c r="T162" s="5" t="str">
        <f ca="1"/>
        <v/>
      </c>
      <c r="U162" s="5" t="str">
        <f ca="1"/>
        <v/>
      </c>
      <c r="V162" s="5" t="str">
        <f ca="1"/>
        <v/>
      </c>
      <c r="W162" t="str">
        <f ca="1"/>
        <v/>
      </c>
      <c r="X162">
        <f ca="1"/>
        <v>0</v>
      </c>
      <c r="Y162">
        <f ca="1"/>
        <v>0</v>
      </c>
      <c r="Z162" t="str">
        <f ca="1"/>
        <v/>
      </c>
    </row>
    <row r="163" spans="3:26" ht="16.149999999999999" customHeight="1" x14ac:dyDescent="0.25">
      <c r="C163" s="11" t="str">
        <f t="shared" ca="1" si="3"/>
        <v>3130_Kurzberatung EE / betriebliche Energieeffizienz, Maßnahmen zur Energieeinsparung, PV, Heizungsumstellung</v>
      </c>
      <c r="D163" s="5">
        <f ca="1"/>
        <v>158</v>
      </c>
      <c r="E163" s="5">
        <f ca="1"/>
        <v>3130</v>
      </c>
      <c r="F163" s="5" t="str">
        <f ca="1"/>
        <v>x</v>
      </c>
      <c r="G163" s="5" t="str">
        <f ca="1"/>
        <v>Kurzberatung EE / betriebliche Energieeffizienz, Maßnahmen zur Energieeinsparung, PV, Heizungsumstellung</v>
      </c>
      <c r="H163" s="5" t="str">
        <f ca="1"/>
        <v>Florian Kainz</v>
      </c>
      <c r="I163" s="5" t="str">
        <f ca="1"/>
        <v>Florian</v>
      </c>
      <c r="J163" s="5" t="str">
        <f ca="1"/>
        <v>Kainz</v>
      </c>
      <c r="K163" s="5" t="str">
        <f ca="1"/>
        <v/>
      </c>
      <c r="L163" s="5">
        <f ca="1"/>
        <v>0</v>
      </c>
      <c r="M163" s="5">
        <f ca="1"/>
        <v>3830</v>
      </c>
      <c r="N163" s="5" t="str">
        <f ca="1"/>
        <v>Waidhofen an der Thaya</v>
      </c>
      <c r="O163" s="5" t="str">
        <f ca="1"/>
        <v>Heidenreichsteinerstraße</v>
      </c>
      <c r="P163" s="5">
        <f ca="1"/>
        <v>57</v>
      </c>
      <c r="Q163" s="5" t="str">
        <f ca="1"/>
        <v/>
      </c>
      <c r="R163" s="5" t="str">
        <f ca="1"/>
        <v/>
      </c>
      <c r="S163" s="5" t="str">
        <f ca="1"/>
        <v/>
      </c>
      <c r="T163" s="5" t="str">
        <f ca="1"/>
        <v/>
      </c>
      <c r="U163" s="5" t="str">
        <f ca="1"/>
        <v/>
      </c>
      <c r="V163" s="5" t="str">
        <f ca="1"/>
        <v/>
      </c>
      <c r="W163" t="str">
        <f ca="1"/>
        <v/>
      </c>
      <c r="X163">
        <f ca="1"/>
        <v>0</v>
      </c>
      <c r="Y163">
        <f ca="1"/>
        <v>0</v>
      </c>
      <c r="Z163" t="str">
        <f ca="1"/>
        <v/>
      </c>
    </row>
    <row r="164" spans="3:26" ht="16.149999999999999" customHeight="1" x14ac:dyDescent="0.25">
      <c r="C164" s="11" t="str">
        <f t="shared" ca="1" si="3"/>
        <v>3132_Kurzberatung</v>
      </c>
      <c r="D164" s="5">
        <f ca="1"/>
        <v>159</v>
      </c>
      <c r="E164" s="5">
        <f ca="1"/>
        <v>3132</v>
      </c>
      <c r="F164" s="5" t="str">
        <f ca="1"/>
        <v>x</v>
      </c>
      <c r="G164" s="5" t="str">
        <f ca="1"/>
        <v>Kurzberatung</v>
      </c>
      <c r="H164" s="5" t="str">
        <f ca="1"/>
        <v>Friends Tourisitk GmbH</v>
      </c>
      <c r="I164" s="5" t="str">
        <f ca="1"/>
        <v>Josef</v>
      </c>
      <c r="J164" s="5" t="str">
        <f ca="1"/>
        <v>Astrid</v>
      </c>
      <c r="K164" s="5" t="str">
        <f ca="1"/>
        <v/>
      </c>
      <c r="L164" s="5">
        <f ca="1"/>
        <v>0</v>
      </c>
      <c r="M164" s="5">
        <f ca="1"/>
        <v>3753</v>
      </c>
      <c r="N164" s="5" t="str">
        <f ca="1"/>
        <v>Pernegg</v>
      </c>
      <c r="O164" s="5" t="str">
        <f ca="1"/>
        <v>Pernegg</v>
      </c>
      <c r="P164" s="5">
        <f ca="1"/>
        <v>1</v>
      </c>
      <c r="Q164" s="5" t="str">
        <f ca="1"/>
        <v/>
      </c>
      <c r="R164" s="5" t="str">
        <f ca="1"/>
        <v/>
      </c>
      <c r="S164" s="5" t="str">
        <f ca="1"/>
        <v/>
      </c>
      <c r="T164" s="5" t="str">
        <f ca="1"/>
        <v/>
      </c>
      <c r="U164" s="5" t="str">
        <f ca="1"/>
        <v/>
      </c>
      <c r="V164" s="5" t="str">
        <f ca="1"/>
        <v/>
      </c>
      <c r="W164" t="str">
        <f ca="1"/>
        <v/>
      </c>
      <c r="X164">
        <f ca="1"/>
        <v>0</v>
      </c>
      <c r="Y164">
        <f ca="1"/>
        <v>0</v>
      </c>
      <c r="Z164" t="str">
        <f ca="1"/>
        <v/>
      </c>
    </row>
    <row r="165" spans="3:26" ht="16.149999999999999" customHeight="1" x14ac:dyDescent="0.25">
      <c r="C165" s="11" t="str">
        <f t="shared" ca="1" si="3"/>
        <v>3133_Kurzberatung, Schwerpunktberatung PV - Dachanlage</v>
      </c>
      <c r="D165" s="5">
        <f ca="1"/>
        <v>160</v>
      </c>
      <c r="E165" s="5">
        <f ca="1"/>
        <v>3133</v>
      </c>
      <c r="F165" s="5" t="str">
        <f ca="1"/>
        <v>x</v>
      </c>
      <c r="G165" s="5" t="str">
        <f ca="1"/>
        <v>Kurzberatung, Schwerpunktberatung PV - Dachanlage</v>
      </c>
      <c r="H165" s="5" t="str">
        <f ca="1"/>
        <v>Raiffeisenbank Altmelon</v>
      </c>
      <c r="I165" s="5" t="str">
        <f ca="1"/>
        <v>Christian</v>
      </c>
      <c r="J165" s="5" t="str">
        <f ca="1"/>
        <v>Scharitzer</v>
      </c>
      <c r="K165" s="5" t="str">
        <f ca="1"/>
        <v/>
      </c>
      <c r="L165" s="5">
        <f ca="1"/>
        <v>0</v>
      </c>
      <c r="M165" s="5">
        <f ca="1"/>
        <v>3925</v>
      </c>
      <c r="N165" s="5" t="str">
        <f ca="1"/>
        <v>Altmelon</v>
      </c>
      <c r="O165" s="5" t="str">
        <f ca="1"/>
        <v>Altmelon</v>
      </c>
      <c r="P165" s="5">
        <f ca="1"/>
        <v>77</v>
      </c>
      <c r="Q165" s="5" t="str">
        <f ca="1"/>
        <v/>
      </c>
      <c r="R165" s="5" t="str">
        <f ca="1"/>
        <v/>
      </c>
      <c r="S165" s="5" t="str">
        <f ca="1"/>
        <v/>
      </c>
      <c r="T165" s="5" t="str">
        <f ca="1"/>
        <v/>
      </c>
      <c r="U165" s="5" t="str">
        <f ca="1"/>
        <v/>
      </c>
      <c r="V165" s="5" t="str">
        <f ca="1"/>
        <v/>
      </c>
      <c r="W165" t="str">
        <f ca="1"/>
        <v/>
      </c>
      <c r="X165">
        <f ca="1"/>
        <v>0</v>
      </c>
      <c r="Y165">
        <f ca="1"/>
        <v>0</v>
      </c>
      <c r="Z165" t="str">
        <f ca="1"/>
        <v/>
      </c>
    </row>
    <row r="166" spans="3:26" ht="16.149999999999999" customHeight="1" x14ac:dyDescent="0.25">
      <c r="C166" s="11" t="str">
        <f t="shared" ca="1" si="3"/>
        <v>3135_Kurzberatung, Schwerpunktberatung PV - Anlage und Speicher</v>
      </c>
      <c r="D166" s="5">
        <f ca="1"/>
        <v>161</v>
      </c>
      <c r="E166" s="5">
        <f ca="1"/>
        <v>3135</v>
      </c>
      <c r="F166" s="5" t="str">
        <f ca="1"/>
        <v>x</v>
      </c>
      <c r="G166" s="5" t="str">
        <f ca="1"/>
        <v>Kurzberatung, Schwerpunktberatung PV - Anlage und Speicher</v>
      </c>
      <c r="H166" s="5" t="str">
        <f ca="1"/>
        <v>WMB Weinviertel Museum Betriebs GmbH</v>
      </c>
      <c r="I166" s="5" t="str">
        <f ca="1"/>
        <v>Christoph</v>
      </c>
      <c r="J166" s="5" t="str">
        <f ca="1"/>
        <v>Mayer</v>
      </c>
      <c r="K166" s="5" t="str">
        <f ca="1"/>
        <v/>
      </c>
      <c r="L166" s="5">
        <f ca="1"/>
        <v>0</v>
      </c>
      <c r="M166" s="5">
        <f ca="1"/>
        <v>2130</v>
      </c>
      <c r="N166" s="5" t="str">
        <f ca="1"/>
        <v>Mistelbach</v>
      </c>
      <c r="O166" s="5" t="str">
        <f ca="1"/>
        <v>Waldstraße</v>
      </c>
      <c r="P166" s="5">
        <f ca="1"/>
        <v>44</v>
      </c>
      <c r="Q166" s="5" t="str">
        <f ca="1"/>
        <v/>
      </c>
      <c r="R166" s="5" t="str">
        <f ca="1"/>
        <v/>
      </c>
      <c r="S166" s="5" t="str">
        <f ca="1"/>
        <v/>
      </c>
      <c r="T166" s="5" t="str">
        <f ca="1"/>
        <v/>
      </c>
      <c r="U166" s="5" t="str">
        <f ca="1"/>
        <v/>
      </c>
      <c r="V166" s="5" t="str">
        <f ca="1"/>
        <v/>
      </c>
      <c r="W166" t="str">
        <f ca="1"/>
        <v/>
      </c>
      <c r="X166">
        <f ca="1"/>
        <v>0</v>
      </c>
      <c r="Y166">
        <f ca="1"/>
        <v>0</v>
      </c>
      <c r="Z166" t="str">
        <f ca="1"/>
        <v/>
      </c>
    </row>
    <row r="167" spans="3:26" ht="16.149999999999999" customHeight="1" x14ac:dyDescent="0.25">
      <c r="C167" s="11" t="str">
        <f t="shared" ca="1" si="3"/>
        <v>3137_Kurzberatung</v>
      </c>
      <c r="D167" s="5">
        <f ca="1"/>
        <v>162</v>
      </c>
      <c r="E167" s="5">
        <f ca="1"/>
        <v>3137</v>
      </c>
      <c r="F167" s="5" t="str">
        <f ca="1"/>
        <v>x</v>
      </c>
      <c r="G167" s="5" t="str">
        <f ca="1"/>
        <v>Kurzberatung</v>
      </c>
      <c r="H167" s="5" t="str">
        <f ca="1"/>
        <v>Martin Brandstetter</v>
      </c>
      <c r="I167" s="5" t="str">
        <f ca="1"/>
        <v>Martin</v>
      </c>
      <c r="J167" s="5" t="str">
        <f ca="1"/>
        <v>Brandstetter</v>
      </c>
      <c r="K167" s="5" t="str">
        <f ca="1"/>
        <v/>
      </c>
      <c r="L167" s="5">
        <f ca="1"/>
        <v>0</v>
      </c>
      <c r="M167" s="5">
        <f ca="1"/>
        <v>3562</v>
      </c>
      <c r="N167" s="5" t="str">
        <f ca="1"/>
        <v>Schönberg am Kamp</v>
      </c>
      <c r="O167" s="5" t="str">
        <f ca="1"/>
        <v>Thürneustift</v>
      </c>
      <c r="P167" s="5">
        <f ca="1"/>
        <v>21</v>
      </c>
      <c r="Q167" s="5" t="str">
        <f ca="1"/>
        <v/>
      </c>
      <c r="R167" s="5" t="str">
        <f ca="1"/>
        <v/>
      </c>
      <c r="S167" s="5" t="str">
        <f ca="1"/>
        <v/>
      </c>
      <c r="T167" s="5" t="str">
        <f ca="1"/>
        <v/>
      </c>
      <c r="U167" s="5" t="str">
        <f ca="1"/>
        <v/>
      </c>
      <c r="V167" s="5" t="str">
        <f ca="1"/>
        <v/>
      </c>
      <c r="W167" t="str">
        <f ca="1"/>
        <v/>
      </c>
      <c r="X167">
        <f ca="1"/>
        <v>0</v>
      </c>
      <c r="Y167">
        <f ca="1"/>
        <v>0</v>
      </c>
      <c r="Z167" t="str">
        <f ca="1"/>
        <v/>
      </c>
    </row>
    <row r="168" spans="3:26" ht="16.149999999999999" customHeight="1" x14ac:dyDescent="0.25">
      <c r="C168" s="11" t="str">
        <f t="shared" ca="1" si="3"/>
        <v>3139_Kurzberatung, Schwerpunktberatung PV Carport, PV 3Dächer</v>
      </c>
      <c r="D168" s="5">
        <f ca="1"/>
        <v>163</v>
      </c>
      <c r="E168" s="5">
        <f ca="1"/>
        <v>3139</v>
      </c>
      <c r="F168" s="5" t="str">
        <f ca="1"/>
        <v>x</v>
      </c>
      <c r="G168" s="5" t="str">
        <f ca="1"/>
        <v>Kurzberatung, Schwerpunktberatung PV Carport, PV 3Dächer</v>
      </c>
      <c r="H168" s="5" t="str">
        <f ca="1"/>
        <v>Benediktinerstift Altenburg</v>
      </c>
      <c r="I168" s="5" t="str">
        <f ca="1"/>
        <v>Florian</v>
      </c>
      <c r="J168" s="5" t="str">
        <f ca="1"/>
        <v>Stadler</v>
      </c>
      <c r="K168" s="5" t="str">
        <f ca="1"/>
        <v/>
      </c>
      <c r="L168" s="5">
        <f ca="1"/>
        <v>0</v>
      </c>
      <c r="M168" s="5">
        <f ca="1"/>
        <v>3591</v>
      </c>
      <c r="N168" s="5" t="str">
        <f ca="1"/>
        <v>Altenburg</v>
      </c>
      <c r="O168" s="5" t="str">
        <f ca="1"/>
        <v>Abt - Placidus - Much - Straße</v>
      </c>
      <c r="P168" s="5">
        <f ca="1"/>
        <v>1</v>
      </c>
      <c r="Q168" s="5" t="str">
        <f ca="1"/>
        <v/>
      </c>
      <c r="R168" s="5" t="str">
        <f ca="1"/>
        <v/>
      </c>
      <c r="S168" s="5" t="str">
        <f ca="1"/>
        <v/>
      </c>
      <c r="T168" s="5" t="str">
        <f ca="1"/>
        <v/>
      </c>
      <c r="U168" s="5" t="str">
        <f ca="1"/>
        <v/>
      </c>
      <c r="V168" s="5" t="str">
        <f ca="1"/>
        <v/>
      </c>
      <c r="W168" t="str">
        <f ca="1"/>
        <v/>
      </c>
      <c r="X168">
        <f ca="1"/>
        <v>0</v>
      </c>
      <c r="Y168">
        <f ca="1"/>
        <v>0</v>
      </c>
      <c r="Z168" t="str">
        <f ca="1"/>
        <v/>
      </c>
    </row>
    <row r="169" spans="3:26" ht="16.149999999999999" customHeight="1" x14ac:dyDescent="0.25">
      <c r="C169" s="11" t="str">
        <f t="shared" ca="1" si="3"/>
        <v>3142_Kurzberatung</v>
      </c>
      <c r="D169" s="5">
        <f ca="1"/>
        <v>164</v>
      </c>
      <c r="E169" s="5">
        <f ca="1"/>
        <v>3142</v>
      </c>
      <c r="F169" s="5" t="str">
        <f ca="1"/>
        <v>x</v>
      </c>
      <c r="G169" s="5" t="str">
        <f ca="1"/>
        <v>Kurzberatung</v>
      </c>
      <c r="H169" s="5" t="str">
        <f ca="1"/>
        <v>Schulmeister GmbH</v>
      </c>
      <c r="I169" s="5" t="str">
        <f ca="1"/>
        <v>Jürgen</v>
      </c>
      <c r="J169" s="5" t="str">
        <f ca="1"/>
        <v>Schulmeister</v>
      </c>
      <c r="K169" s="5" t="str">
        <f ca="1"/>
        <v/>
      </c>
      <c r="L169" s="5">
        <f ca="1"/>
        <v>0</v>
      </c>
      <c r="M169" s="5">
        <f ca="1"/>
        <v>3580</v>
      </c>
      <c r="N169" s="5" t="str">
        <f ca="1"/>
        <v>Horn</v>
      </c>
      <c r="O169" s="5" t="str">
        <f ca="1"/>
        <v>Bahnstraße</v>
      </c>
      <c r="P169" s="5">
        <f ca="1"/>
        <v>7</v>
      </c>
      <c r="Q169" s="5" t="str">
        <f ca="1"/>
        <v/>
      </c>
      <c r="R169" s="5" t="str">
        <f ca="1"/>
        <v/>
      </c>
      <c r="S169" s="5" t="str">
        <f ca="1"/>
        <v/>
      </c>
      <c r="T169" s="5" t="str">
        <f ca="1"/>
        <v/>
      </c>
      <c r="U169" s="5" t="str">
        <f ca="1"/>
        <v/>
      </c>
      <c r="V169" s="5" t="str">
        <f ca="1"/>
        <v/>
      </c>
      <c r="W169" t="str">
        <f ca="1"/>
        <v/>
      </c>
      <c r="X169">
        <f ca="1"/>
        <v>0</v>
      </c>
      <c r="Y169">
        <f ca="1"/>
        <v>0</v>
      </c>
      <c r="Z169" t="str">
        <f ca="1"/>
        <v/>
      </c>
    </row>
    <row r="170" spans="3:26" ht="16.149999999999999" customHeight="1" x14ac:dyDescent="0.25">
      <c r="C170" s="11" t="str">
        <f t="shared" ca="1" si="3"/>
        <v>3144_Schwerpunktberatung PV</v>
      </c>
      <c r="D170" s="5">
        <f ca="1"/>
        <v>165</v>
      </c>
      <c r="E170" s="5">
        <f ca="1"/>
        <v>3144</v>
      </c>
      <c r="F170" s="5" t="str">
        <f ca="1"/>
        <v>x</v>
      </c>
      <c r="G170" s="5" t="str">
        <f ca="1"/>
        <v>Schwerpunktberatung PV</v>
      </c>
      <c r="H170" s="5" t="str">
        <f ca="1"/>
        <v>Leidenfrost - Pool GmbH</v>
      </c>
      <c r="I170" s="5" t="str">
        <f ca="1"/>
        <v>Robert</v>
      </c>
      <c r="J170" s="5" t="str">
        <f ca="1"/>
        <v>Leidenfrost</v>
      </c>
      <c r="K170" s="5" t="str">
        <f ca="1"/>
        <v/>
      </c>
      <c r="L170" s="5">
        <f ca="1"/>
        <v>0</v>
      </c>
      <c r="M170" s="5">
        <f ca="1"/>
        <v>3730</v>
      </c>
      <c r="N170" s="5" t="str">
        <f ca="1"/>
        <v>Eggenburg</v>
      </c>
      <c r="O170" s="5" t="str">
        <f ca="1"/>
        <v>Josef Leidenfrost - Straße</v>
      </c>
      <c r="P170" s="5">
        <f ca="1"/>
        <v>1</v>
      </c>
      <c r="Q170" s="5" t="str">
        <f ca="1"/>
        <v/>
      </c>
      <c r="R170" s="5" t="str">
        <f ca="1"/>
        <v/>
      </c>
      <c r="S170" s="5" t="str">
        <f ca="1"/>
        <v/>
      </c>
      <c r="T170" s="5" t="str">
        <f ca="1"/>
        <v/>
      </c>
      <c r="U170" s="5" t="str">
        <f ca="1"/>
        <v/>
      </c>
      <c r="V170" s="5" t="str">
        <f ca="1"/>
        <v/>
      </c>
      <c r="W170" t="str">
        <f ca="1"/>
        <v/>
      </c>
      <c r="X170">
        <f ca="1"/>
        <v>0</v>
      </c>
      <c r="Y170">
        <f ca="1"/>
        <v>0</v>
      </c>
      <c r="Z170" t="str">
        <f ca="1"/>
        <v/>
      </c>
    </row>
    <row r="171" spans="3:26" ht="16.149999999999999" customHeight="1" x14ac:dyDescent="0.25">
      <c r="C171" s="11" t="str">
        <f t="shared" ca="1" si="3"/>
        <v>3146_Kurzberatung PV, Awareness Kurzberatung</v>
      </c>
      <c r="D171" s="5">
        <f ca="1"/>
        <v>166</v>
      </c>
      <c r="E171" s="5">
        <f ca="1"/>
        <v>3146</v>
      </c>
      <c r="F171" s="5" t="str">
        <f ca="1"/>
        <v>x</v>
      </c>
      <c r="G171" s="5" t="str">
        <f ca="1"/>
        <v>Kurzberatung PV, Awareness Kurzberatung</v>
      </c>
      <c r="H171" s="5" t="str">
        <f ca="1"/>
        <v>Solagranum Gmbh</v>
      </c>
      <c r="I171" s="5" t="str">
        <f ca="1"/>
        <v>Gerhard</v>
      </c>
      <c r="J171" s="5" t="str">
        <f ca="1"/>
        <v>Forster</v>
      </c>
      <c r="K171" s="5" t="str">
        <f ca="1"/>
        <v/>
      </c>
      <c r="L171" s="5">
        <f ca="1"/>
        <v>0</v>
      </c>
      <c r="M171" s="5">
        <f ca="1"/>
        <v>3753</v>
      </c>
      <c r="N171" s="5" t="str">
        <f ca="1"/>
        <v>Geras</v>
      </c>
      <c r="O171" s="5" t="str">
        <f ca="1"/>
        <v>Dallein</v>
      </c>
      <c r="P171" s="5">
        <f ca="1"/>
        <v>58</v>
      </c>
      <c r="Q171" s="5" t="str">
        <f ca="1"/>
        <v/>
      </c>
      <c r="R171" s="5" t="str">
        <f ca="1"/>
        <v/>
      </c>
      <c r="S171" s="5" t="str">
        <f ca="1"/>
        <v/>
      </c>
      <c r="T171" s="5" t="str">
        <f ca="1"/>
        <v/>
      </c>
      <c r="U171" s="5" t="str">
        <f ca="1"/>
        <v/>
      </c>
      <c r="V171" s="5" t="str">
        <f ca="1"/>
        <v/>
      </c>
      <c r="W171" t="str">
        <f ca="1"/>
        <v/>
      </c>
      <c r="X171">
        <f ca="1"/>
        <v>0</v>
      </c>
      <c r="Y171">
        <f ca="1"/>
        <v>0</v>
      </c>
      <c r="Z171" t="str">
        <f ca="1"/>
        <v/>
      </c>
    </row>
    <row r="172" spans="3:26" ht="16.149999999999999" customHeight="1" x14ac:dyDescent="0.25">
      <c r="C172" s="11" t="str">
        <f t="shared" ca="1" si="3"/>
        <v>3147_Kurzberatung, Awareness Kurzberatung</v>
      </c>
      <c r="D172" s="5">
        <f ca="1"/>
        <v>167</v>
      </c>
      <c r="E172" s="5">
        <f ca="1"/>
        <v>3147</v>
      </c>
      <c r="F172" s="5" t="str">
        <f ca="1"/>
        <v>x</v>
      </c>
      <c r="G172" s="5" t="str">
        <f ca="1"/>
        <v>Kurzberatung, Awareness Kurzberatung</v>
      </c>
      <c r="H172" s="5" t="str">
        <f ca="1"/>
        <v>Ruthner Sandra</v>
      </c>
      <c r="I172" s="5" t="str">
        <f ca="1"/>
        <v>Sandra</v>
      </c>
      <c r="J172" s="5" t="str">
        <f ca="1"/>
        <v>Ruthner</v>
      </c>
      <c r="K172" s="5" t="str">
        <f ca="1"/>
        <v/>
      </c>
      <c r="L172" s="5">
        <f ca="1"/>
        <v>0</v>
      </c>
      <c r="M172" s="5">
        <f ca="1"/>
        <v>3822</v>
      </c>
      <c r="N172" s="5" t="str">
        <f ca="1"/>
        <v>Karlstein an der Thaya</v>
      </c>
      <c r="O172" s="5" t="str">
        <f ca="1"/>
        <v>Mühlweg</v>
      </c>
      <c r="P172" s="5">
        <f ca="1"/>
        <v>7</v>
      </c>
      <c r="Q172" s="5" t="str">
        <f ca="1"/>
        <v/>
      </c>
      <c r="R172" s="5" t="str">
        <f ca="1"/>
        <v/>
      </c>
      <c r="S172" s="5" t="str">
        <f ca="1"/>
        <v/>
      </c>
      <c r="T172" s="5" t="str">
        <f ca="1"/>
        <v/>
      </c>
      <c r="U172" s="5" t="str">
        <f ca="1"/>
        <v/>
      </c>
      <c r="V172" s="5" t="str">
        <f ca="1"/>
        <v/>
      </c>
      <c r="W172" t="str">
        <f ca="1"/>
        <v/>
      </c>
      <c r="X172">
        <f ca="1"/>
        <v>0</v>
      </c>
      <c r="Y172">
        <f ca="1"/>
        <v>0</v>
      </c>
      <c r="Z172" t="str">
        <f ca="1"/>
        <v/>
      </c>
    </row>
    <row r="173" spans="3:26" ht="16.149999999999999" customHeight="1" x14ac:dyDescent="0.25">
      <c r="C173" s="11" t="str">
        <f t="shared" ca="1" si="3"/>
        <v>3153_Awareness Kurzberatung Energieeffizienz, EE, Mobilität und Kreislaufwirtschaft</v>
      </c>
      <c r="D173" s="5">
        <f ca="1"/>
        <v>168</v>
      </c>
      <c r="E173" s="5">
        <f ca="1"/>
        <v>3153</v>
      </c>
      <c r="F173" s="5" t="str">
        <f ca="1"/>
        <v>x</v>
      </c>
      <c r="G173" s="5" t="str">
        <f ca="1"/>
        <v>Awareness Kurzberatung Energieeffizienz, EE, Mobilität und Kreislaufwirtschaft</v>
      </c>
      <c r="H173" s="5" t="str">
        <f ca="1"/>
        <v>Georg Wurz</v>
      </c>
      <c r="I173" s="5" t="str">
        <f ca="1"/>
        <v>Georg</v>
      </c>
      <c r="J173" s="5" t="str">
        <f ca="1"/>
        <v>Wurz</v>
      </c>
      <c r="K173" s="5" t="str">
        <f ca="1"/>
        <v/>
      </c>
      <c r="L173" s="5">
        <f ca="1"/>
        <v>0</v>
      </c>
      <c r="M173" s="5">
        <f ca="1"/>
        <v>3860</v>
      </c>
      <c r="N173" s="5" t="str">
        <f ca="1"/>
        <v>Heidenreichstein</v>
      </c>
      <c r="O173" s="5" t="str">
        <f ca="1"/>
        <v>Hinterzeile</v>
      </c>
      <c r="P173" s="5">
        <f ca="1"/>
        <v>6</v>
      </c>
      <c r="Q173" s="5" t="str">
        <f ca="1"/>
        <v/>
      </c>
      <c r="R173" s="5" t="str">
        <f ca="1"/>
        <v/>
      </c>
      <c r="S173" s="5" t="str">
        <f ca="1"/>
        <v/>
      </c>
      <c r="T173" s="5" t="str">
        <f ca="1"/>
        <v/>
      </c>
      <c r="U173" s="5" t="str">
        <f ca="1"/>
        <v/>
      </c>
      <c r="V173" s="5" t="str">
        <f ca="1"/>
        <v/>
      </c>
      <c r="W173" t="str">
        <f ca="1"/>
        <v/>
      </c>
      <c r="X173">
        <f ca="1"/>
        <v>0</v>
      </c>
      <c r="Y173">
        <f ca="1"/>
        <v>0</v>
      </c>
      <c r="Z173" t="str">
        <f ca="1"/>
        <v/>
      </c>
    </row>
    <row r="174" spans="3:26" ht="16.149999999999999" customHeight="1" x14ac:dyDescent="0.25">
      <c r="C174" s="11" t="str">
        <f t="shared" ca="1" si="3"/>
        <v>3154_Umsetzungs - Schwerpunktberatung Energie</v>
      </c>
      <c r="D174" s="5">
        <f ca="1"/>
        <v>169</v>
      </c>
      <c r="E174" s="5">
        <f ca="1"/>
        <v>3154</v>
      </c>
      <c r="F174" s="5" t="str">
        <f ca="1"/>
        <v>x</v>
      </c>
      <c r="G174" s="5" t="str">
        <f ca="1"/>
        <v>Umsetzungs - Schwerpunktberatung Energie</v>
      </c>
      <c r="H174" s="5" t="str">
        <f ca="1"/>
        <v>PUMPENoase Handels GmbH</v>
      </c>
      <c r="I174" s="5">
        <f ca="1"/>
        <v>0</v>
      </c>
      <c r="J174" s="5">
        <f ca="1"/>
        <v>0</v>
      </c>
      <c r="K174" s="5" t="str">
        <f ca="1"/>
        <v/>
      </c>
      <c r="L174" s="5">
        <f ca="1"/>
        <v>0</v>
      </c>
      <c r="M174" s="5">
        <f ca="1"/>
        <v>3902</v>
      </c>
      <c r="N174" s="5" t="str">
        <f ca="1"/>
        <v>Vitis</v>
      </c>
      <c r="O174" s="5" t="str">
        <f ca="1"/>
        <v>Europastraße</v>
      </c>
      <c r="P174" s="5">
        <f ca="1"/>
        <v>19</v>
      </c>
      <c r="Q174" s="5" t="str">
        <f ca="1"/>
        <v/>
      </c>
      <c r="R174" s="5" t="str">
        <f ca="1"/>
        <v/>
      </c>
      <c r="S174" s="5" t="str">
        <f ca="1"/>
        <v/>
      </c>
      <c r="T174" s="5" t="str">
        <f ca="1"/>
        <v/>
      </c>
      <c r="U174" s="5" t="str">
        <f ca="1"/>
        <v/>
      </c>
      <c r="V174" s="5" t="str">
        <f ca="1"/>
        <v/>
      </c>
      <c r="W174" t="str">
        <f ca="1"/>
        <v/>
      </c>
      <c r="X174">
        <f ca="1"/>
        <v>0</v>
      </c>
      <c r="Y174">
        <f ca="1"/>
        <v>0</v>
      </c>
      <c r="Z174" t="str">
        <f ca="1"/>
        <v/>
      </c>
    </row>
    <row r="175" spans="3:26" ht="16.149999999999999" customHeight="1" x14ac:dyDescent="0.25">
      <c r="C175" s="11" t="str">
        <f t="shared" ca="1" si="3"/>
        <v>3155_Awareness Kurzberatung</v>
      </c>
      <c r="D175" s="5">
        <f ca="1"/>
        <v>170</v>
      </c>
      <c r="E175" s="5">
        <f ca="1"/>
        <v>3155</v>
      </c>
      <c r="F175" s="5" t="str">
        <f ca="1"/>
        <v>x</v>
      </c>
      <c r="G175" s="5" t="str">
        <f ca="1"/>
        <v>Awareness Kurzberatung</v>
      </c>
      <c r="H175" s="5" t="str">
        <f ca="1"/>
        <v>FOX Werbegrafik Rathmanner KG</v>
      </c>
      <c r="I175" s="5" t="str">
        <f ca="1"/>
        <v>Andreas</v>
      </c>
      <c r="J175" s="5" t="str">
        <f ca="1"/>
        <v>Rathmanner</v>
      </c>
      <c r="K175" s="5" t="str">
        <f ca="1"/>
        <v/>
      </c>
      <c r="L175" s="5" t="str">
        <f ca="1"/>
        <v>andreas@fox.co.at</v>
      </c>
      <c r="M175" s="5">
        <f ca="1"/>
        <v>3564</v>
      </c>
      <c r="N175" s="5" t="str">
        <f ca="1"/>
        <v>Schönberg am Kamp</v>
      </c>
      <c r="O175" s="5" t="str">
        <f ca="1"/>
        <v>Oberplank</v>
      </c>
      <c r="P175" s="5">
        <f ca="1"/>
        <v>11</v>
      </c>
      <c r="Q175" s="5" t="str">
        <f ca="1"/>
        <v/>
      </c>
      <c r="R175" s="5" t="str">
        <f ca="1"/>
        <v/>
      </c>
      <c r="S175" s="5" t="str">
        <f ca="1"/>
        <v/>
      </c>
      <c r="T175" s="5" t="str">
        <f ca="1"/>
        <v/>
      </c>
      <c r="U175" s="5" t="str">
        <f ca="1"/>
        <v/>
      </c>
      <c r="V175" s="5" t="str">
        <f ca="1"/>
        <v/>
      </c>
      <c r="W175" t="str">
        <f ca="1"/>
        <v/>
      </c>
      <c r="X175">
        <f ca="1"/>
        <v>0</v>
      </c>
      <c r="Y175">
        <f ca="1"/>
        <v>0</v>
      </c>
      <c r="Z175" t="str">
        <f ca="1"/>
        <v/>
      </c>
    </row>
    <row r="176" spans="3:26" ht="16.149999999999999" customHeight="1" x14ac:dyDescent="0.25">
      <c r="C176" s="11" t="str">
        <f t="shared" ca="1" si="3"/>
        <v>3159_Awareness Kurzberatung Energieeffizienz, EE, Mobilität und Kreislaufwirtschaft, Umsetzungs - Schwerpunktberatung Heizung</v>
      </c>
      <c r="D176" s="5">
        <f ca="1"/>
        <v>171</v>
      </c>
      <c r="E176" s="5">
        <f ca="1"/>
        <v>3159</v>
      </c>
      <c r="F176" s="5" t="str">
        <f ca="1"/>
        <v>x</v>
      </c>
      <c r="G176" s="5" t="str">
        <f ca="1"/>
        <v>Awareness Kurzberatung Energieeffizienz, EE, Mobilität und Kreislaufwirtschaft, Umsetzungs - Schwerpunktberatung Heizung</v>
      </c>
      <c r="H176" s="5" t="str">
        <f ca="1"/>
        <v>EXTERSTAHL Handels GmbH</v>
      </c>
      <c r="I176" s="5" t="str">
        <f ca="1"/>
        <v>Bernhard</v>
      </c>
      <c r="J176" s="5" t="str">
        <f ca="1"/>
        <v>Hellerschmid</v>
      </c>
      <c r="K176" s="5" t="str">
        <f ca="1"/>
        <v>0664 / 1642844</v>
      </c>
      <c r="L176" s="5" t="str">
        <f ca="1"/>
        <v>b.hellerschmid@exterstahl.at</v>
      </c>
      <c r="M176" s="5">
        <f ca="1"/>
        <v>3500</v>
      </c>
      <c r="N176" s="5" t="str">
        <f ca="1"/>
        <v>Krems an der Donau</v>
      </c>
      <c r="O176" s="5" t="str">
        <f ca="1"/>
        <v>Dr.-Franz-Wilhelm-Straße</v>
      </c>
      <c r="P176" s="5">
        <f ca="1"/>
        <v>7</v>
      </c>
      <c r="Q176" s="5" t="str">
        <f ca="1"/>
        <v/>
      </c>
      <c r="R176" s="5" t="str">
        <f ca="1"/>
        <v/>
      </c>
      <c r="S176" s="5" t="str">
        <f ca="1"/>
        <v/>
      </c>
      <c r="T176" s="5" t="str">
        <f ca="1"/>
        <v/>
      </c>
      <c r="U176" s="5" t="str">
        <f ca="1"/>
        <v/>
      </c>
      <c r="V176" s="5" t="str">
        <f ca="1"/>
        <v/>
      </c>
      <c r="W176" t="str">
        <f ca="1"/>
        <v/>
      </c>
      <c r="X176">
        <f ca="1"/>
        <v>0</v>
      </c>
      <c r="Y176">
        <f ca="1"/>
        <v>0</v>
      </c>
      <c r="Z176" t="str">
        <f ca="1"/>
        <v/>
      </c>
    </row>
    <row r="177" spans="3:26" ht="16.149999999999999" customHeight="1" x14ac:dyDescent="0.25">
      <c r="C177" s="11" t="str">
        <f t="shared" ca="1" si="3"/>
        <v>3160_Awareness Kurzberatung Energieeffizienz, EE, Mobilität und Kreislaufwirtschaft,</v>
      </c>
      <c r="D177" s="5">
        <f ca="1"/>
        <v>172</v>
      </c>
      <c r="E177" s="5">
        <f ca="1"/>
        <v>3160</v>
      </c>
      <c r="F177" s="5" t="str">
        <f ca="1"/>
        <v>x</v>
      </c>
      <c r="G177" s="5" t="str">
        <f ca="1"/>
        <v>Awareness Kurzberatung Energieeffizienz, EE, Mobilität und Kreislaufwirtschaft,</v>
      </c>
      <c r="H177" s="5" t="str">
        <f ca="1"/>
        <v>Kreativer Holzbau GmbH &amp; Co KG</v>
      </c>
      <c r="I177" s="5" t="str">
        <f ca="1"/>
        <v>Wolfgang</v>
      </c>
      <c r="J177" s="5" t="str">
        <f ca="1"/>
        <v>Kastner</v>
      </c>
      <c r="K177" s="5" t="str">
        <f ca="1"/>
        <v/>
      </c>
      <c r="L177" s="5" t="str">
        <f ca="1"/>
        <v>office@kreativerholzbau.at</v>
      </c>
      <c r="M177" s="5">
        <f ca="1"/>
        <v>3910</v>
      </c>
      <c r="N177" s="5" t="str">
        <f ca="1"/>
        <v>Zwettl</v>
      </c>
      <c r="O177" s="5" t="str">
        <f ca="1"/>
        <v>Moidrams</v>
      </c>
      <c r="P177" s="5">
        <f ca="1"/>
        <v>10</v>
      </c>
      <c r="Q177" s="5" t="str">
        <f ca="1"/>
        <v/>
      </c>
      <c r="R177" s="5" t="str">
        <f ca="1"/>
        <v/>
      </c>
      <c r="S177" s="5" t="str">
        <f ca="1"/>
        <v/>
      </c>
      <c r="T177" s="5" t="str">
        <f ca="1"/>
        <v/>
      </c>
      <c r="U177" s="5" t="str">
        <f ca="1"/>
        <v/>
      </c>
      <c r="V177" s="5" t="str">
        <f ca="1"/>
        <v/>
      </c>
      <c r="W177" t="str">
        <f ca="1"/>
        <v/>
      </c>
      <c r="X177">
        <f ca="1"/>
        <v>0</v>
      </c>
      <c r="Y177">
        <f ca="1"/>
        <v>0</v>
      </c>
      <c r="Z177" t="str">
        <f ca="1"/>
        <v/>
      </c>
    </row>
    <row r="178" spans="3:26" ht="16.149999999999999" customHeight="1" x14ac:dyDescent="0.25">
      <c r="C178" s="11" t="str">
        <f t="shared" ca="1" si="3"/>
        <v>3162_Umsetzungs- Schwerpunktberatung, Awareness Kurzberatung</v>
      </c>
      <c r="D178" s="5">
        <f ca="1"/>
        <v>173</v>
      </c>
      <c r="E178" s="5">
        <f ca="1"/>
        <v>3162</v>
      </c>
      <c r="F178" s="5" t="str">
        <f ca="1"/>
        <v>x</v>
      </c>
      <c r="G178" s="5" t="str">
        <f ca="1"/>
        <v>Umsetzungs- Schwerpunktberatung, Awareness Kurzberatung</v>
      </c>
      <c r="H178" s="5" t="str">
        <f ca="1"/>
        <v>Holzbau Unfried GmbH</v>
      </c>
      <c r="I178" s="5">
        <f ca="1"/>
        <v>0</v>
      </c>
      <c r="J178" s="5">
        <f ca="1"/>
        <v>0</v>
      </c>
      <c r="K178" s="5" t="str">
        <f ca="1"/>
        <v/>
      </c>
      <c r="L178" s="5" t="str">
        <f ca="1"/>
        <v>baminger@holzbau-unfried.at</v>
      </c>
      <c r="M178" s="5">
        <f ca="1"/>
        <v>3571</v>
      </c>
      <c r="N178" s="5" t="str">
        <f ca="1"/>
        <v>Gars am Kamp</v>
      </c>
      <c r="O178" s="5" t="str">
        <f ca="1"/>
        <v>Gewerbestraße</v>
      </c>
      <c r="P178" s="5">
        <f ca="1"/>
        <v>621</v>
      </c>
      <c r="Q178" s="5" t="str">
        <f ca="1"/>
        <v/>
      </c>
      <c r="R178" s="5" t="str">
        <f ca="1"/>
        <v/>
      </c>
      <c r="S178" s="5" t="str">
        <f ca="1"/>
        <v/>
      </c>
      <c r="T178" s="5" t="str">
        <f ca="1"/>
        <v/>
      </c>
      <c r="U178" s="5" t="str">
        <f ca="1"/>
        <v/>
      </c>
      <c r="V178" s="5" t="str">
        <f ca="1"/>
        <v/>
      </c>
      <c r="W178" t="str">
        <f ca="1"/>
        <v/>
      </c>
      <c r="X178">
        <f ca="1"/>
        <v>0</v>
      </c>
      <c r="Y178">
        <f ca="1"/>
        <v>0</v>
      </c>
      <c r="Z178" t="str">
        <f ca="1"/>
        <v/>
      </c>
    </row>
    <row r="179" spans="3:26" ht="16.149999999999999" customHeight="1" x14ac:dyDescent="0.25">
      <c r="C179" s="11" t="str">
        <f t="shared" ca="1" si="3"/>
        <v>3164_Awareness Kurzberatung, Umsetzungs- Schwerpunktberatung PV</v>
      </c>
      <c r="D179" s="5">
        <f ca="1"/>
        <v>174</v>
      </c>
      <c r="E179" s="5">
        <f ca="1"/>
        <v>3164</v>
      </c>
      <c r="F179" s="5" t="str">
        <f ca="1"/>
        <v>x</v>
      </c>
      <c r="G179" s="5" t="str">
        <f ca="1"/>
        <v>Awareness Kurzberatung, Umsetzungs- Schwerpunktberatung PV</v>
      </c>
      <c r="H179" s="5" t="str">
        <f ca="1"/>
        <v>Gesundheitshotel Moorbad Bad Großpertholz GmbH</v>
      </c>
      <c r="I179" s="5" t="str">
        <f ca="1"/>
        <v>Bernadette</v>
      </c>
      <c r="J179" s="5" t="str">
        <f ca="1"/>
        <v>Kitzler</v>
      </c>
      <c r="K179" s="5" t="str">
        <f ca="1"/>
        <v/>
      </c>
      <c r="L179" s="5" t="str">
        <f ca="1"/>
        <v>direktion@moorbad-badgrosspertholz.at</v>
      </c>
      <c r="M179" s="5">
        <f ca="1"/>
        <v>3972</v>
      </c>
      <c r="N179" s="5" t="str">
        <f ca="1"/>
        <v>Bad Großpertholz</v>
      </c>
      <c r="O179" s="5" t="str">
        <f ca="1"/>
        <v>Bad Großpertholz</v>
      </c>
      <c r="P179" s="5">
        <f ca="1"/>
        <v>72</v>
      </c>
      <c r="Q179" s="5" t="str">
        <f ca="1"/>
        <v/>
      </c>
      <c r="R179" s="5" t="str">
        <f ca="1"/>
        <v/>
      </c>
      <c r="S179" s="5" t="str">
        <f ca="1"/>
        <v/>
      </c>
      <c r="T179" s="5" t="str">
        <f ca="1"/>
        <v/>
      </c>
      <c r="U179" s="5" t="str">
        <f ca="1"/>
        <v/>
      </c>
      <c r="V179" s="5" t="str">
        <f ca="1"/>
        <v/>
      </c>
      <c r="W179" t="str">
        <f ca="1"/>
        <v/>
      </c>
      <c r="X179">
        <f ca="1"/>
        <v>0</v>
      </c>
      <c r="Y179">
        <f ca="1"/>
        <v>0</v>
      </c>
      <c r="Z179" t="str">
        <f ca="1"/>
        <v/>
      </c>
    </row>
    <row r="180" spans="3:26" ht="16.149999999999999" customHeight="1" x14ac:dyDescent="0.25">
      <c r="C180" s="11" t="str">
        <f t="shared" ca="1" si="3"/>
        <v>854_Erneuerung Heizanlage und Heizungspumpen, Strommonitoring</v>
      </c>
      <c r="D180" s="5">
        <f ca="1"/>
        <v>175</v>
      </c>
      <c r="E180" s="5">
        <f ca="1"/>
        <v>854</v>
      </c>
      <c r="F180" s="5" t="str">
        <f ca="1"/>
        <v>x</v>
      </c>
      <c r="G180" s="5" t="str">
        <f ca="1"/>
        <v>Erneuerung Heizanlage und Heizungspumpen, Strommonitoring</v>
      </c>
      <c r="H180" s="5" t="str">
        <f ca="1"/>
        <v>Benediktnerstift Altenburg</v>
      </c>
      <c r="I180" s="5" t="str">
        <f ca="1"/>
        <v>Florian</v>
      </c>
      <c r="J180" s="5" t="str">
        <f ca="1"/>
        <v>Stadler</v>
      </c>
      <c r="K180" s="5" t="str">
        <f ca="1"/>
        <v/>
      </c>
      <c r="L180" s="5">
        <f ca="1"/>
        <v>0</v>
      </c>
      <c r="M180" s="5">
        <f ca="1"/>
        <v>3591</v>
      </c>
      <c r="N180" s="5" t="str">
        <f ca="1"/>
        <v>Altenburg</v>
      </c>
      <c r="O180" s="5" t="str">
        <f ca="1"/>
        <v>Abt - Placidus - Much - Straße</v>
      </c>
      <c r="P180" s="5">
        <f ca="1"/>
        <v>1</v>
      </c>
      <c r="Q180" s="5" t="str">
        <f ca="1"/>
        <v/>
      </c>
      <c r="R180" s="5" t="str">
        <f ca="1"/>
        <v/>
      </c>
      <c r="S180" s="5" t="str">
        <f ca="1"/>
        <v/>
      </c>
      <c r="T180" s="5" t="str">
        <f ca="1"/>
        <v/>
      </c>
      <c r="U180" s="5" t="str">
        <f ca="1"/>
        <v/>
      </c>
      <c r="V180" s="5" t="str">
        <f ca="1"/>
        <v/>
      </c>
      <c r="W180" t="str">
        <f ca="1"/>
        <v/>
      </c>
      <c r="X180">
        <f ca="1"/>
        <v>0</v>
      </c>
      <c r="Y180">
        <f ca="1"/>
        <v>0</v>
      </c>
      <c r="Z180" t="str">
        <f ca="1"/>
        <v/>
      </c>
    </row>
    <row r="181" spans="3:26" ht="16.149999999999999" customHeight="1" x14ac:dyDescent="0.25">
      <c r="C181" s="11" t="str">
        <f t="shared" ca="1" si="3"/>
        <v>846_Erneuerung Heizanlage, Installation PV Anlagen</v>
      </c>
      <c r="D181" s="5">
        <f ca="1"/>
        <v>176</v>
      </c>
      <c r="E181" s="5">
        <f ca="1"/>
        <v>846</v>
      </c>
      <c r="F181" s="5" t="str">
        <f ca="1"/>
        <v>x</v>
      </c>
      <c r="G181" s="5" t="str">
        <f ca="1"/>
        <v>Erneuerung Heizanlage, Installation PV Anlagen</v>
      </c>
      <c r="H181" s="5" t="str">
        <f ca="1"/>
        <v>Marktgemeinde Ober - Grafendorf</v>
      </c>
      <c r="I181" s="5" t="str">
        <f ca="1"/>
        <v>Robert</v>
      </c>
      <c r="J181" s="5" t="str">
        <f ca="1"/>
        <v>Lurger</v>
      </c>
      <c r="K181" s="5" t="str">
        <f ca="1"/>
        <v/>
      </c>
      <c r="L181" s="5">
        <f ca="1"/>
        <v>0</v>
      </c>
      <c r="M181" s="5">
        <f ca="1"/>
        <v>3200</v>
      </c>
      <c r="N181" s="5" t="str">
        <f ca="1"/>
        <v>Ober - Grafendorf</v>
      </c>
      <c r="O181" s="5" t="str">
        <f ca="1"/>
        <v>Hauptplatz</v>
      </c>
      <c r="P181" s="5">
        <f ca="1"/>
        <v>2</v>
      </c>
      <c r="Q181" s="5" t="str">
        <f ca="1"/>
        <v/>
      </c>
      <c r="R181" s="5" t="str">
        <f ca="1"/>
        <v/>
      </c>
      <c r="S181" s="5" t="str">
        <f ca="1"/>
        <v/>
      </c>
      <c r="T181" s="5" t="str">
        <f ca="1"/>
        <v/>
      </c>
      <c r="U181" s="5" t="str">
        <f ca="1"/>
        <v/>
      </c>
      <c r="V181" s="5" t="str">
        <f ca="1"/>
        <v/>
      </c>
      <c r="W181" t="str">
        <f ca="1"/>
        <v/>
      </c>
      <c r="X181">
        <f ca="1"/>
        <v>0</v>
      </c>
      <c r="Y181">
        <f ca="1"/>
        <v>0</v>
      </c>
      <c r="Z181" t="str">
        <f ca="1"/>
        <v/>
      </c>
    </row>
    <row r="182" spans="3:26" ht="16.149999999999999" customHeight="1" x14ac:dyDescent="0.25">
      <c r="C182" s="11" t="str">
        <f t="shared" ca="1" si="3"/>
        <v>840_LED - Tasuch, Strommonitoring, Installation PV Anlagen, Thermische Sanierung Gebäude</v>
      </c>
      <c r="D182" s="5">
        <f ca="1"/>
        <v>177</v>
      </c>
      <c r="E182" s="5">
        <f ca="1"/>
        <v>840</v>
      </c>
      <c r="F182" s="5" t="str">
        <f ca="1"/>
        <v>x</v>
      </c>
      <c r="G182" s="5" t="str">
        <f ca="1"/>
        <v>LED - Tasuch, Strommonitoring, Installation PV Anlagen, Thermische Sanierung Gebäude</v>
      </c>
      <c r="H182" s="5" t="str">
        <f ca="1"/>
        <v>Badener Kulturbetriebs - GmbH</v>
      </c>
      <c r="I182" s="5">
        <f ca="1"/>
        <v>0</v>
      </c>
      <c r="J182" s="5">
        <f ca="1"/>
        <v>0</v>
      </c>
      <c r="K182" s="5" t="str">
        <f ca="1"/>
        <v/>
      </c>
      <c r="L182" s="5">
        <f ca="1"/>
        <v>0</v>
      </c>
      <c r="M182" s="5">
        <f ca="1"/>
        <v>2500</v>
      </c>
      <c r="N182" s="5" t="str">
        <f ca="1"/>
        <v>Baden</v>
      </c>
      <c r="O182" s="5" t="str">
        <f ca="1"/>
        <v>Josefsplatz</v>
      </c>
      <c r="P182" s="5">
        <f ca="1"/>
        <v>5</v>
      </c>
      <c r="Q182" s="5" t="str">
        <f ca="1"/>
        <v/>
      </c>
      <c r="R182" s="5" t="str">
        <f ca="1"/>
        <v/>
      </c>
      <c r="S182" s="5" t="str">
        <f ca="1"/>
        <v/>
      </c>
      <c r="T182" s="5" t="str">
        <f ca="1"/>
        <v/>
      </c>
      <c r="U182" s="5" t="str">
        <f ca="1"/>
        <v/>
      </c>
      <c r="V182" s="5" t="str">
        <f ca="1"/>
        <v/>
      </c>
      <c r="W182" t="str">
        <f ca="1"/>
        <v/>
      </c>
      <c r="X182">
        <f ca="1"/>
        <v>0</v>
      </c>
      <c r="Y182">
        <f ca="1"/>
        <v>0</v>
      </c>
      <c r="Z182" t="str">
        <f ca="1"/>
        <v/>
      </c>
    </row>
    <row r="183" spans="3:26" ht="16.149999999999999" customHeight="1" x14ac:dyDescent="0.25">
      <c r="C183" s="11" t="str">
        <f t="shared" ca="1" si="3"/>
        <v>839_Thermische Sanierung Gebäudehülle, Reduktion Energiekosten</v>
      </c>
      <c r="D183" s="5">
        <f ca="1"/>
        <v>178</v>
      </c>
      <c r="E183" s="5">
        <f ca="1"/>
        <v>839</v>
      </c>
      <c r="F183" s="5" t="str">
        <f ca="1"/>
        <v>x</v>
      </c>
      <c r="G183" s="5" t="str">
        <f ca="1"/>
        <v>Thermische Sanierung Gebäudehülle, Reduktion Energiekosten</v>
      </c>
      <c r="H183" s="5" t="str">
        <f ca="1"/>
        <v>aL!VE - Allenszeiger lichtspiel Verein</v>
      </c>
      <c r="I183" s="5" t="str">
        <f ca="1"/>
        <v>Reinhard</v>
      </c>
      <c r="J183" s="5" t="str">
        <f ca="1"/>
        <v>Pölzl</v>
      </c>
      <c r="K183" s="5" t="str">
        <f ca="1"/>
        <v/>
      </c>
      <c r="L183" s="5">
        <f ca="1"/>
        <v>0</v>
      </c>
      <c r="M183" s="5">
        <f ca="1"/>
        <v>3804</v>
      </c>
      <c r="N183" s="5" t="str">
        <f ca="1"/>
        <v>Allensteig</v>
      </c>
      <c r="O183" s="5" t="str">
        <f ca="1"/>
        <v>Dr. Ernst Krennstraße</v>
      </c>
      <c r="P183" s="5">
        <f ca="1"/>
        <v>20</v>
      </c>
      <c r="Q183" s="5" t="str">
        <f ca="1"/>
        <v/>
      </c>
      <c r="R183" s="5" t="str">
        <f ca="1"/>
        <v/>
      </c>
      <c r="S183" s="5" t="str">
        <f ca="1"/>
        <v/>
      </c>
      <c r="T183" s="5" t="str">
        <f ca="1"/>
        <v/>
      </c>
      <c r="U183" s="5" t="str">
        <f ca="1"/>
        <v/>
      </c>
      <c r="V183" s="5" t="str">
        <f ca="1"/>
        <v/>
      </c>
      <c r="W183" t="str">
        <f ca="1"/>
        <v/>
      </c>
      <c r="X183">
        <f ca="1"/>
        <v>0</v>
      </c>
      <c r="Y183">
        <f ca="1"/>
        <v>0</v>
      </c>
      <c r="Z183" t="str">
        <f ca="1"/>
        <v/>
      </c>
    </row>
    <row r="184" spans="3:26" ht="16.149999999999999" customHeight="1" x14ac:dyDescent="0.25">
      <c r="C184" s="11" t="str">
        <f t="shared" ca="1" si="3"/>
        <v>838_Sanierung Geschoßdecke, Fassadensanierung, Erneuerung Heizanlage, Installation PV Anlagen</v>
      </c>
      <c r="D184" s="5">
        <f ca="1"/>
        <v>179</v>
      </c>
      <c r="E184" s="5">
        <f ca="1"/>
        <v>838</v>
      </c>
      <c r="F184" s="5" t="str">
        <f ca="1"/>
        <v>x</v>
      </c>
      <c r="G184" s="5" t="str">
        <f ca="1"/>
        <v>Sanierung Geschoßdecke, Fassadensanierung, Erneuerung Heizanlage, Installation PV Anlagen</v>
      </c>
      <c r="H184" s="5" t="str">
        <f ca="1"/>
        <v>Hofkollektiv Zwetschke - Verein zur Förderung solidarischen und ökologischen Lebens</v>
      </c>
      <c r="I184" s="5" t="str">
        <f ca="1"/>
        <v>Bernhard</v>
      </c>
      <c r="J184" s="5" t="str">
        <f ca="1"/>
        <v>Laner</v>
      </c>
      <c r="K184" s="5" t="str">
        <f ca="1"/>
        <v/>
      </c>
      <c r="L184" s="5">
        <f ca="1"/>
        <v>0</v>
      </c>
      <c r="M184" s="5">
        <f ca="1"/>
        <v>3931</v>
      </c>
      <c r="N184" s="5" t="str">
        <f ca="1"/>
        <v>Schweiggers</v>
      </c>
      <c r="O184" s="5" t="str">
        <f ca="1"/>
        <v>Neggers</v>
      </c>
      <c r="P184" s="5">
        <f ca="1"/>
        <v>10</v>
      </c>
      <c r="Q184" s="5" t="str">
        <f ca="1"/>
        <v/>
      </c>
      <c r="R184" s="5" t="str">
        <f ca="1"/>
        <v/>
      </c>
      <c r="S184" s="5" t="str">
        <f ca="1"/>
        <v/>
      </c>
      <c r="T184" s="5" t="str">
        <f ca="1"/>
        <v/>
      </c>
      <c r="U184" s="5" t="str">
        <f ca="1"/>
        <v/>
      </c>
      <c r="V184" s="5" t="str">
        <f ca="1"/>
        <v/>
      </c>
      <c r="W184" t="str">
        <f ca="1"/>
        <v/>
      </c>
      <c r="X184">
        <f ca="1"/>
        <v>0</v>
      </c>
      <c r="Y184">
        <f ca="1"/>
        <v>0</v>
      </c>
      <c r="Z184" t="str">
        <f ca="1"/>
        <v/>
      </c>
    </row>
    <row r="185" spans="3:26" ht="16.149999999999999" customHeight="1" x14ac:dyDescent="0.25">
      <c r="C185" s="11" t="str">
        <f t="shared" ca="1" si="3"/>
        <v/>
      </c>
      <c r="D185" s="5">
        <f ca="1"/>
        <v>180</v>
      </c>
      <c r="E185" s="5">
        <f ca="1"/>
        <v>0</v>
      </c>
      <c r="F185" s="5" t="str">
        <f ca="1"/>
        <v>x</v>
      </c>
      <c r="G185" s="5" t="str">
        <f ca="1"/>
        <v>Sanierung, Energieeffizienz</v>
      </c>
      <c r="H185" s="5" t="str">
        <f ca="1"/>
        <v>Marktgemeinde Guntersdorf</v>
      </c>
      <c r="I185" s="5">
        <f ca="1"/>
        <v>0</v>
      </c>
      <c r="J185" s="5">
        <f ca="1"/>
        <v>0</v>
      </c>
      <c r="K185" s="5" t="str">
        <f ca="1"/>
        <v/>
      </c>
      <c r="L185" s="5">
        <f ca="1"/>
        <v>0</v>
      </c>
      <c r="M185" s="5">
        <f ca="1"/>
        <v>2042</v>
      </c>
      <c r="N185" s="5" t="str">
        <f ca="1"/>
        <v>Guntersdorf</v>
      </c>
      <c r="O185" s="5" t="str">
        <f ca="1"/>
        <v>Raiffeisen Platz</v>
      </c>
      <c r="P185" s="5">
        <f ca="1"/>
        <v>3</v>
      </c>
      <c r="Q185" s="5" t="str">
        <f ca="1"/>
        <v/>
      </c>
      <c r="R185" s="5" t="str">
        <f ca="1"/>
        <v/>
      </c>
      <c r="S185" s="5" t="str">
        <f ca="1"/>
        <v/>
      </c>
      <c r="T185" s="5" t="str">
        <f ca="1"/>
        <v/>
      </c>
      <c r="U185" s="5" t="str">
        <f ca="1"/>
        <v/>
      </c>
      <c r="V185" s="5" t="str">
        <f ca="1"/>
        <v/>
      </c>
      <c r="W185" t="str">
        <f ca="1"/>
        <v/>
      </c>
      <c r="X185">
        <f ca="1"/>
        <v>0</v>
      </c>
      <c r="Y185">
        <f ca="1"/>
        <v>0</v>
      </c>
      <c r="Z185" t="str">
        <f ca="1"/>
        <v/>
      </c>
    </row>
    <row r="186" spans="3:26" ht="16.149999999999999" customHeight="1" x14ac:dyDescent="0.25">
      <c r="C186" s="12"/>
      <c r="D186" s="5">
        <f ca="1"/>
        <v>181</v>
      </c>
      <c r="E186" s="5">
        <f ca="1"/>
        <v>828</v>
      </c>
      <c r="F186" s="5" t="str">
        <f ca="1"/>
        <v>x</v>
      </c>
      <c r="G186" s="5" t="str">
        <f ca="1"/>
        <v>Gebäudesanierung, Heizungsumstellung</v>
      </c>
      <c r="H186" s="5" t="str">
        <f ca="1"/>
        <v>Marktgemeinde Hohenwarth - Mühlbach</v>
      </c>
      <c r="I186" s="5" t="str">
        <f ca="1"/>
        <v>Martin</v>
      </c>
      <c r="J186" s="5" t="str">
        <f ca="1"/>
        <v>Gudenus</v>
      </c>
      <c r="K186" s="5" t="str">
        <f ca="1"/>
        <v/>
      </c>
      <c r="L186" s="5">
        <f ca="1"/>
        <v>0</v>
      </c>
      <c r="M186" s="5">
        <f ca="1"/>
        <v>3472</v>
      </c>
      <c r="N186" s="5" t="str">
        <f ca="1"/>
        <v>Hohenwarth</v>
      </c>
      <c r="O186" s="5" t="str">
        <f ca="1"/>
        <v>Hauptstraße</v>
      </c>
      <c r="P186" s="5">
        <f ca="1"/>
        <v>25</v>
      </c>
      <c r="Q186" s="5" t="str">
        <f ca="1"/>
        <v/>
      </c>
      <c r="R186" s="5" t="str">
        <f ca="1"/>
        <v/>
      </c>
      <c r="S186" s="5" t="str">
        <f ca="1"/>
        <v/>
      </c>
      <c r="T186" s="5" t="str">
        <f ca="1"/>
        <v/>
      </c>
      <c r="U186" s="5" t="str">
        <f ca="1"/>
        <v/>
      </c>
      <c r="V186" s="5" t="str">
        <f ca="1"/>
        <v/>
      </c>
      <c r="W186" t="str">
        <f ca="1"/>
        <v/>
      </c>
      <c r="X186">
        <f ca="1"/>
        <v>0</v>
      </c>
      <c r="Y186">
        <f ca="1"/>
        <v>0</v>
      </c>
      <c r="Z186" t="str">
        <f ca="1"/>
        <v/>
      </c>
    </row>
    <row r="187" spans="3:26" ht="16.149999999999999" customHeight="1" x14ac:dyDescent="0.25">
      <c r="C187" s="12"/>
      <c r="D187" s="5">
        <f ca="1"/>
        <v>182</v>
      </c>
      <c r="E187" s="5">
        <f ca="1"/>
        <v>819</v>
      </c>
      <c r="F187" s="5" t="str">
        <f ca="1"/>
        <v>x</v>
      </c>
      <c r="G187" s="5">
        <f ca="1"/>
        <v>0</v>
      </c>
      <c r="H187" s="5" t="str">
        <f ca="1"/>
        <v>Arbeitsgemeinschaft Sozialdienst Mostviertel</v>
      </c>
      <c r="I187" s="5" t="str">
        <f ca="1"/>
        <v>Michael</v>
      </c>
      <c r="J187" s="5" t="str">
        <f ca="1"/>
        <v>Burghofer</v>
      </c>
      <c r="K187" s="5" t="str">
        <f ca="1"/>
        <v>0677 / 63771127</v>
      </c>
      <c r="L187" s="5">
        <f ca="1"/>
        <v>0</v>
      </c>
      <c r="M187" s="5">
        <f ca="1"/>
        <v>3300</v>
      </c>
      <c r="N187" s="5" t="str">
        <f ca="1"/>
        <v>Amstetten</v>
      </c>
      <c r="O187" s="5" t="str">
        <f ca="1"/>
        <v>Preinsbacher Straße 39-41</v>
      </c>
      <c r="P187" s="5">
        <f ca="1"/>
        <v>0</v>
      </c>
      <c r="Q187" s="5" t="str">
        <f ca="1"/>
        <v/>
      </c>
      <c r="R187" s="5" t="str">
        <f ca="1"/>
        <v/>
      </c>
      <c r="S187" s="5" t="str">
        <f ca="1"/>
        <v/>
      </c>
      <c r="T187" s="5" t="str">
        <f ca="1"/>
        <v/>
      </c>
      <c r="U187" s="5" t="str">
        <f ca="1"/>
        <v/>
      </c>
      <c r="V187" s="5" t="str">
        <f ca="1"/>
        <v/>
      </c>
      <c r="W187" t="str">
        <f ca="1"/>
        <v/>
      </c>
      <c r="X187">
        <f ca="1"/>
        <v>0</v>
      </c>
      <c r="Y187">
        <f ca="1"/>
        <v>0</v>
      </c>
      <c r="Z187" t="str">
        <f ca="1"/>
        <v/>
      </c>
    </row>
    <row r="188" spans="3:26" ht="16.149999999999999" customHeight="1" x14ac:dyDescent="0.25">
      <c r="C188" s="12"/>
      <c r="D188" s="5">
        <f ca="1"/>
        <v>184</v>
      </c>
      <c r="E188" s="5">
        <f ca="1"/>
        <v>802</v>
      </c>
      <c r="F188" s="5" t="str">
        <f ca="1"/>
        <v>x</v>
      </c>
      <c r="G188" s="5" t="str">
        <f ca="1"/>
        <v>Ökomanagement - Projektberatung PV</v>
      </c>
      <c r="H188" s="5" t="str">
        <f ca="1"/>
        <v>Eggenburg Gemeinde</v>
      </c>
      <c r="I188" s="5" t="str">
        <f ca="1"/>
        <v>Burkhard</v>
      </c>
      <c r="J188" s="5" t="str">
        <f ca="1"/>
        <v>Hammer</v>
      </c>
      <c r="K188" s="5" t="str">
        <f ca="1"/>
        <v/>
      </c>
      <c r="L188" s="5">
        <f ca="1"/>
        <v>0</v>
      </c>
      <c r="M188" s="5">
        <f ca="1"/>
        <v>3730</v>
      </c>
      <c r="N188" s="5" t="str">
        <f ca="1"/>
        <v>Eggenburg</v>
      </c>
      <c r="O188" s="5" t="str">
        <f ca="1"/>
        <v>Kremserstraße</v>
      </c>
      <c r="P188" s="5">
        <f ca="1"/>
        <v>3</v>
      </c>
      <c r="Q188" s="5" t="str">
        <f ca="1"/>
        <v/>
      </c>
      <c r="R188" s="5" t="str">
        <f ca="1"/>
        <v/>
      </c>
      <c r="S188" s="5" t="str">
        <f ca="1"/>
        <v/>
      </c>
      <c r="T188" s="5" t="str">
        <f ca="1"/>
        <v/>
      </c>
      <c r="U188" s="5" t="str">
        <f ca="1"/>
        <v/>
      </c>
      <c r="V188" s="5" t="str">
        <f ca="1"/>
        <v/>
      </c>
      <c r="W188" t="str">
        <f ca="1"/>
        <v/>
      </c>
      <c r="X188">
        <f ca="1"/>
        <v>0</v>
      </c>
      <c r="Y188">
        <f ca="1"/>
        <v>0</v>
      </c>
      <c r="Z188" t="str">
        <f ca="1"/>
        <v/>
      </c>
    </row>
    <row r="189" spans="3:26" ht="16.149999999999999" customHeight="1" x14ac:dyDescent="0.25">
      <c r="C189" s="12"/>
      <c r="D189" s="5">
        <f ca="1"/>
        <v>185</v>
      </c>
      <c r="E189" s="5">
        <f ca="1"/>
        <v>0</v>
      </c>
      <c r="F189" s="5" t="str">
        <f ca="1"/>
        <v>x</v>
      </c>
      <c r="G189" s="5">
        <f ca="1"/>
        <v>0</v>
      </c>
      <c r="H189" s="5" t="str">
        <f ca="1"/>
        <v>Diözese St. Pölten</v>
      </c>
      <c r="I189" s="5">
        <f ca="1"/>
        <v>0</v>
      </c>
      <c r="J189" s="5">
        <f ca="1"/>
        <v>0</v>
      </c>
      <c r="K189" s="5" t="str">
        <f ca="1"/>
        <v>02742 / 324</v>
      </c>
      <c r="L189" s="5">
        <f ca="1"/>
        <v>0</v>
      </c>
      <c r="M189" s="5">
        <f ca="1"/>
        <v>3100</v>
      </c>
      <c r="N189" s="5" t="str">
        <f ca="1"/>
        <v>St. Pölten</v>
      </c>
      <c r="O189" s="5" t="str">
        <f ca="1"/>
        <v>Domplatz</v>
      </c>
      <c r="P189" s="5">
        <f ca="1"/>
        <v>1</v>
      </c>
      <c r="Q189" s="5" t="str">
        <f ca="1"/>
        <v/>
      </c>
      <c r="R189" s="5" t="str">
        <f ca="1"/>
        <v/>
      </c>
      <c r="S189" s="5" t="str">
        <f ca="1"/>
        <v/>
      </c>
      <c r="T189" s="5" t="str">
        <f ca="1"/>
        <v/>
      </c>
      <c r="U189" s="5" t="str">
        <f ca="1"/>
        <v/>
      </c>
      <c r="V189" s="5" t="str">
        <f ca="1"/>
        <v/>
      </c>
      <c r="W189" t="str">
        <f ca="1"/>
        <v/>
      </c>
      <c r="X189">
        <f ca="1"/>
        <v>0</v>
      </c>
      <c r="Y189">
        <f ca="1"/>
        <v>0</v>
      </c>
      <c r="Z189" t="str">
        <f ca="1"/>
        <v/>
      </c>
    </row>
    <row r="190" spans="3:26" ht="16.149999999999999" customHeight="1" x14ac:dyDescent="0.25">
      <c r="C190" s="12"/>
      <c r="D190" s="5">
        <f ca="1"/>
        <v>186</v>
      </c>
      <c r="E190" s="5">
        <f ca="1"/>
        <v>792</v>
      </c>
      <c r="F190" s="5" t="str">
        <f ca="1"/>
        <v>x</v>
      </c>
      <c r="G190" s="5" t="str">
        <f ca="1"/>
        <v>Unterstützung Energiebedarf und PV (Ökomanagement - Beratung)</v>
      </c>
      <c r="H190" s="5" t="str">
        <f ca="1"/>
        <v>Freiwillige Feuerwehr Groß - Siegharts</v>
      </c>
      <c r="I190" s="5">
        <f ca="1"/>
        <v>0</v>
      </c>
      <c r="J190" s="5">
        <f ca="1"/>
        <v>0</v>
      </c>
      <c r="K190" s="5" t="str">
        <f ca="1"/>
        <v>0676 / 5336887</v>
      </c>
      <c r="L190" s="5">
        <f ca="1"/>
        <v>0</v>
      </c>
      <c r="M190" s="5">
        <f ca="1"/>
        <v>3812</v>
      </c>
      <c r="N190" s="5" t="str">
        <f ca="1"/>
        <v>Groß Siegharts</v>
      </c>
      <c r="O190" s="5" t="str">
        <f ca="1"/>
        <v>Fraslgasse</v>
      </c>
      <c r="P190" s="5">
        <f ca="1"/>
        <v>5</v>
      </c>
      <c r="Q190" s="5" t="str">
        <f ca="1"/>
        <v/>
      </c>
      <c r="R190" s="5" t="str">
        <f ca="1"/>
        <v/>
      </c>
      <c r="S190" s="5" t="str">
        <f ca="1"/>
        <v/>
      </c>
      <c r="T190" s="5" t="str">
        <f ca="1"/>
        <v/>
      </c>
      <c r="U190" s="5" t="str">
        <f ca="1"/>
        <v/>
      </c>
      <c r="V190" s="5" t="str">
        <f ca="1"/>
        <v/>
      </c>
      <c r="W190" t="str">
        <f ca="1"/>
        <v/>
      </c>
      <c r="X190">
        <f ca="1"/>
        <v>0</v>
      </c>
      <c r="Y190">
        <f ca="1"/>
        <v>0</v>
      </c>
      <c r="Z190" t="str">
        <f ca="1"/>
        <v/>
      </c>
    </row>
    <row r="191" spans="3:26" ht="16.149999999999999" customHeight="1" x14ac:dyDescent="0.25">
      <c r="C191" s="12"/>
      <c r="D191" s="5">
        <f ca="1"/>
        <v>187</v>
      </c>
      <c r="E191" s="5">
        <f ca="1"/>
        <v>791</v>
      </c>
      <c r="F191" s="5" t="str">
        <f ca="1"/>
        <v>x</v>
      </c>
      <c r="G191" s="5" t="str">
        <f ca="1"/>
        <v>Ökomanagement - Projektberatung Gebäudesanierung, Ökomanagement - Checkberatung</v>
      </c>
      <c r="H191" s="5" t="str">
        <f ca="1"/>
        <v>Pfarre Maria Laach</v>
      </c>
      <c r="I191" s="5">
        <f ca="1"/>
        <v>0</v>
      </c>
      <c r="J191" s="5">
        <f ca="1"/>
        <v>0</v>
      </c>
      <c r="K191" s="5" t="str">
        <f ca="1"/>
        <v>0676 / 826633235</v>
      </c>
      <c r="L191" s="5">
        <f ca="1"/>
        <v>0</v>
      </c>
      <c r="M191" s="5">
        <f ca="1"/>
        <v>3643</v>
      </c>
      <c r="N191" s="5" t="str">
        <f ca="1"/>
        <v>Maria Laach am Jauerling</v>
      </c>
      <c r="O191" s="5" t="str">
        <f ca="1"/>
        <v>Maria Laach</v>
      </c>
      <c r="P191" s="5">
        <f ca="1"/>
        <v>1</v>
      </c>
      <c r="Q191" s="5" t="str">
        <f ca="1"/>
        <v/>
      </c>
      <c r="R191" s="5" t="str">
        <f ca="1"/>
        <v/>
      </c>
      <c r="S191" s="5" t="str">
        <f ca="1"/>
        <v/>
      </c>
      <c r="T191" s="5" t="str">
        <f ca="1"/>
        <v/>
      </c>
      <c r="U191" s="5" t="str">
        <f ca="1"/>
        <v/>
      </c>
      <c r="V191" s="5" t="str">
        <f ca="1"/>
        <v/>
      </c>
      <c r="W191" t="str">
        <f ca="1"/>
        <v/>
      </c>
      <c r="X191">
        <f ca="1"/>
        <v>0</v>
      </c>
      <c r="Y191">
        <f ca="1"/>
        <v>0</v>
      </c>
      <c r="Z191" t="str">
        <f ca="1"/>
        <v/>
      </c>
    </row>
    <row r="192" spans="3:26" ht="16.149999999999999" customHeight="1" x14ac:dyDescent="0.25">
      <c r="C192" s="12"/>
      <c r="D192" s="5">
        <f ca="1"/>
        <v>188</v>
      </c>
      <c r="E192" s="5">
        <f ca="1"/>
        <v>789</v>
      </c>
      <c r="F192" s="5" t="str">
        <f ca="1"/>
        <v>x</v>
      </c>
      <c r="G192" s="5" t="str">
        <f ca="1"/>
        <v>Ökomanagement NÖ Energieeffizienzmaßnahmen Gebäude und Mobilität</v>
      </c>
      <c r="H192" s="5" t="str">
        <f ca="1"/>
        <v>Mayr Verwaltungs GmbH</v>
      </c>
      <c r="I192" s="5">
        <f ca="1"/>
        <v>0</v>
      </c>
      <c r="J192" s="5">
        <f ca="1"/>
        <v>0</v>
      </c>
      <c r="K192" s="5" t="str">
        <f ca="1"/>
        <v>02942 / 2306</v>
      </c>
      <c r="L192" s="5">
        <f ca="1"/>
        <v>0</v>
      </c>
      <c r="M192" s="5">
        <f ca="1"/>
        <v>2070</v>
      </c>
      <c r="N192" s="5" t="str">
        <f ca="1"/>
        <v>Retz</v>
      </c>
      <c r="O192" s="5" t="str">
        <f ca="1"/>
        <v>Kremserstraße</v>
      </c>
      <c r="P192" s="5">
        <f ca="1"/>
        <v>17</v>
      </c>
      <c r="Q192" s="5" t="str">
        <f ca="1"/>
        <v/>
      </c>
      <c r="R192" s="5" t="str">
        <f ca="1"/>
        <v/>
      </c>
      <c r="S192" s="5" t="str">
        <f ca="1"/>
        <v/>
      </c>
      <c r="T192" s="5" t="str">
        <f ca="1"/>
        <v/>
      </c>
      <c r="U192" s="5" t="str">
        <f ca="1"/>
        <v/>
      </c>
      <c r="V192" s="5" t="str">
        <f ca="1"/>
        <v/>
      </c>
      <c r="W192" t="str">
        <f ca="1"/>
        <v/>
      </c>
      <c r="X192">
        <f ca="1"/>
        <v>0</v>
      </c>
      <c r="Y192">
        <f ca="1"/>
        <v>0</v>
      </c>
      <c r="Z192" t="str">
        <f ca="1"/>
        <v/>
      </c>
    </row>
    <row r="193" spans="3:26" ht="16.149999999999999" customHeight="1" x14ac:dyDescent="0.25">
      <c r="C193" s="12"/>
      <c r="D193" s="5">
        <f ca="1"/>
        <v>189</v>
      </c>
      <c r="E193" s="5">
        <f ca="1"/>
        <v>782</v>
      </c>
      <c r="F193" s="5" t="str">
        <f ca="1"/>
        <v>x</v>
      </c>
      <c r="G193" s="5" t="str">
        <f ca="1"/>
        <v>Ökomanagement - Checkberatung Sanierung Gebäude</v>
      </c>
      <c r="H193" s="5" t="str">
        <f ca="1"/>
        <v>Evangelissche Pfarre Gmünd - Waidhofen</v>
      </c>
      <c r="I193" s="5">
        <f ca="1"/>
        <v>0</v>
      </c>
      <c r="J193" s="5">
        <f ca="1"/>
        <v>0</v>
      </c>
      <c r="K193" s="5" t="str">
        <f ca="1"/>
        <v>0664 / 7364734</v>
      </c>
      <c r="L193" s="5">
        <f ca="1"/>
        <v>0</v>
      </c>
      <c r="M193" s="5">
        <f ca="1"/>
        <v>3950</v>
      </c>
      <c r="N193" s="5" t="str">
        <f ca="1"/>
        <v>Gmünd</v>
      </c>
      <c r="O193" s="5" t="str">
        <f ca="1"/>
        <v>Bahnhofstraße</v>
      </c>
      <c r="P193" s="5">
        <f ca="1"/>
        <v>36</v>
      </c>
      <c r="Q193" s="5" t="str">
        <f ca="1"/>
        <v/>
      </c>
      <c r="R193" s="5" t="str">
        <f ca="1"/>
        <v/>
      </c>
      <c r="S193" s="5" t="str">
        <f ca="1"/>
        <v/>
      </c>
      <c r="T193" s="5" t="str">
        <f ca="1"/>
        <v/>
      </c>
      <c r="U193" s="5" t="str">
        <f ca="1"/>
        <v/>
      </c>
      <c r="V193" s="5" t="str">
        <f ca="1"/>
        <v/>
      </c>
      <c r="W193" t="str">
        <f ca="1"/>
        <v/>
      </c>
      <c r="X193">
        <f ca="1"/>
        <v>0</v>
      </c>
      <c r="Y193">
        <f ca="1"/>
        <v>0</v>
      </c>
      <c r="Z193" t="str">
        <f ca="1"/>
        <v/>
      </c>
    </row>
    <row r="194" spans="3:26" ht="16.149999999999999" customHeight="1" x14ac:dyDescent="0.25">
      <c r="C194" s="12"/>
      <c r="D194" s="5">
        <f ca="1"/>
        <v>190</v>
      </c>
      <c r="E194" s="5">
        <f ca="1"/>
        <v>779</v>
      </c>
      <c r="F194" s="5" t="str">
        <f ca="1"/>
        <v>x</v>
      </c>
      <c r="G194" s="5" t="str">
        <f ca="1"/>
        <v>Beratung und Unterstützung Effizienzmaßnahmen bei Wärmeversorgung</v>
      </c>
      <c r="H194" s="5" t="str">
        <f ca="1"/>
        <v>Neue Mittelschule Dobersberg</v>
      </c>
      <c r="I194" s="5">
        <f ca="1"/>
        <v>0</v>
      </c>
      <c r="J194" s="5">
        <f ca="1"/>
        <v>0</v>
      </c>
      <c r="K194" s="5" t="str">
        <f ca="1"/>
        <v>02843 / 2201</v>
      </c>
      <c r="L194" s="5">
        <f ca="1"/>
        <v>0</v>
      </c>
      <c r="M194" s="5">
        <f ca="1"/>
        <v>3843</v>
      </c>
      <c r="N194" s="5" t="str">
        <f ca="1"/>
        <v>Dobersberg</v>
      </c>
      <c r="O194" s="5" t="str">
        <f ca="1"/>
        <v>Schulstraße</v>
      </c>
      <c r="P194" s="5">
        <f ca="1"/>
        <v>2</v>
      </c>
      <c r="Q194" s="5" t="str">
        <f ca="1"/>
        <v/>
      </c>
      <c r="R194" s="5" t="str">
        <f ca="1"/>
        <v/>
      </c>
      <c r="S194" s="5" t="str">
        <f ca="1"/>
        <v/>
      </c>
      <c r="T194" s="5" t="str">
        <f ca="1"/>
        <v/>
      </c>
      <c r="U194" s="5" t="str">
        <f ca="1"/>
        <v/>
      </c>
      <c r="V194" s="5" t="str">
        <f ca="1"/>
        <v/>
      </c>
      <c r="W194" t="str">
        <f ca="1"/>
        <v/>
      </c>
      <c r="X194">
        <f ca="1"/>
        <v>0</v>
      </c>
      <c r="Y194">
        <f ca="1"/>
        <v>0</v>
      </c>
      <c r="Z194" t="str">
        <f ca="1"/>
        <v/>
      </c>
    </row>
    <row r="195" spans="3:26" ht="16.149999999999999" customHeight="1" x14ac:dyDescent="0.25">
      <c r="C195" s="12"/>
      <c r="D195" s="5">
        <f ca="1"/>
        <v>191</v>
      </c>
      <c r="E195" s="5">
        <f ca="1"/>
        <v>777</v>
      </c>
      <c r="F195" s="5" t="str">
        <f ca="1"/>
        <v>x</v>
      </c>
      <c r="G195" s="5" t="str">
        <f ca="1"/>
        <v>Energieberatung Ökomanagement - Beratung thermische Sanierung</v>
      </c>
      <c r="H195" s="5" t="str">
        <f ca="1"/>
        <v>Großharras</v>
      </c>
      <c r="I195" s="5" t="str">
        <f ca="1"/>
        <v>Josef</v>
      </c>
      <c r="J195" s="5" t="str">
        <f ca="1"/>
        <v>Windpassinger</v>
      </c>
      <c r="K195" s="5" t="str">
        <f ca="1"/>
        <v>02526 / 7315</v>
      </c>
      <c r="L195" s="5">
        <f ca="1"/>
        <v>0</v>
      </c>
      <c r="M195" s="5">
        <f ca="1"/>
        <v>2034</v>
      </c>
      <c r="N195" s="5" t="str">
        <f ca="1"/>
        <v>Großharras</v>
      </c>
      <c r="O195" s="5" t="str">
        <f ca="1"/>
        <v>Großharras</v>
      </c>
      <c r="P195" s="5">
        <f ca="1"/>
        <v>145</v>
      </c>
      <c r="Q195" s="5" t="str">
        <f ca="1"/>
        <v/>
      </c>
      <c r="R195" s="5" t="str">
        <f ca="1"/>
        <v/>
      </c>
      <c r="S195" s="5" t="str">
        <f ca="1"/>
        <v/>
      </c>
      <c r="T195" s="5" t="str">
        <f ca="1"/>
        <v/>
      </c>
      <c r="U195" s="5" t="str">
        <f ca="1"/>
        <v/>
      </c>
      <c r="V195" s="5" t="str">
        <f ca="1"/>
        <v/>
      </c>
      <c r="W195" t="str">
        <f ca="1"/>
        <v/>
      </c>
      <c r="X195">
        <f ca="1"/>
        <v>0</v>
      </c>
      <c r="Y195">
        <f ca="1"/>
        <v>0</v>
      </c>
      <c r="Z195" t="str">
        <f ca="1"/>
        <v/>
      </c>
    </row>
    <row r="196" spans="3:26" ht="16.149999999999999" customHeight="1" x14ac:dyDescent="0.25">
      <c r="C196" s="12"/>
      <c r="D196" s="5">
        <f ca="1"/>
        <v>192</v>
      </c>
      <c r="E196" s="5">
        <f ca="1"/>
        <v>776</v>
      </c>
      <c r="F196" s="5" t="str">
        <f ca="1"/>
        <v>x</v>
      </c>
      <c r="G196" s="5" t="str">
        <f ca="1"/>
        <v>Ökomanagement NÖ "Gebäudesanierung lang ", thermische Sanierung</v>
      </c>
      <c r="H196" s="5" t="str">
        <f ca="1"/>
        <v>Wildendürnbach Gemeinde</v>
      </c>
      <c r="I196" s="5">
        <f ca="1"/>
        <v>0</v>
      </c>
      <c r="J196" s="5">
        <f ca="1"/>
        <v>0</v>
      </c>
      <c r="K196" s="5" t="str">
        <f ca="1"/>
        <v>02523 / 8252</v>
      </c>
      <c r="L196" s="5">
        <f ca="1"/>
        <v>0</v>
      </c>
      <c r="M196" s="5">
        <f ca="1"/>
        <v>2164</v>
      </c>
      <c r="N196" s="5" t="str">
        <f ca="1"/>
        <v>Wildendürnbach</v>
      </c>
      <c r="O196" s="5" t="str">
        <f ca="1"/>
        <v>Wildendürnbach</v>
      </c>
      <c r="P196" s="5">
        <f ca="1"/>
        <v>95</v>
      </c>
      <c r="Q196" s="5" t="str">
        <f ca="1"/>
        <v/>
      </c>
      <c r="R196" s="5" t="str">
        <f ca="1"/>
        <v/>
      </c>
      <c r="S196" s="5" t="str">
        <f ca="1"/>
        <v/>
      </c>
      <c r="T196" s="5" t="str">
        <f ca="1"/>
        <v/>
      </c>
      <c r="U196" s="5" t="str">
        <f ca="1"/>
        <v/>
      </c>
      <c r="V196" s="5" t="str">
        <f ca="1"/>
        <v/>
      </c>
      <c r="W196" t="str">
        <f ca="1"/>
        <v/>
      </c>
      <c r="X196">
        <f ca="1"/>
        <v>0</v>
      </c>
      <c r="Y196">
        <f ca="1"/>
        <v>0</v>
      </c>
      <c r="Z196" t="str">
        <f ca="1"/>
        <v/>
      </c>
    </row>
    <row r="197" spans="3:26" ht="16.149999999999999" customHeight="1" x14ac:dyDescent="0.25">
      <c r="C197" s="12"/>
      <c r="D197" s="5">
        <f ca="1"/>
        <v>193</v>
      </c>
      <c r="E197" s="5">
        <f ca="1"/>
        <v>774</v>
      </c>
      <c r="F197" s="5" t="str">
        <f ca="1"/>
        <v>x</v>
      </c>
      <c r="G197" s="5" t="str">
        <f ca="1"/>
        <v>Ökomanagement - Beratung Energieeffizienzmaßnahmen Anlagen und Gebäude</v>
      </c>
      <c r="H197" s="5" t="str">
        <f ca="1"/>
        <v>Krumau am Kamp</v>
      </c>
      <c r="I197" s="5">
        <f ca="1"/>
        <v>0</v>
      </c>
      <c r="J197" s="5">
        <f ca="1"/>
        <v>0</v>
      </c>
      <c r="K197" s="5" t="str">
        <f ca="1"/>
        <v/>
      </c>
      <c r="L197" s="5">
        <f ca="1"/>
        <v>0</v>
      </c>
      <c r="M197" s="5">
        <f ca="1"/>
        <v>3543</v>
      </c>
      <c r="N197" s="5" t="str">
        <f ca="1"/>
        <v>Krumau am Kamp</v>
      </c>
      <c r="O197" s="5" t="str">
        <f ca="1"/>
        <v>Krumau</v>
      </c>
      <c r="P197" s="5">
        <f ca="1"/>
        <v>22</v>
      </c>
      <c r="Q197" s="5" t="str">
        <f ca="1"/>
        <v/>
      </c>
      <c r="R197" s="5" t="str">
        <f ca="1"/>
        <v/>
      </c>
      <c r="S197" s="5" t="str">
        <f ca="1"/>
        <v/>
      </c>
      <c r="T197" s="5" t="str">
        <f ca="1"/>
        <v/>
      </c>
      <c r="U197" s="5" t="str">
        <f ca="1"/>
        <v/>
      </c>
      <c r="V197" s="5" t="str">
        <f ca="1"/>
        <v/>
      </c>
      <c r="W197" t="str">
        <f ca="1"/>
        <v/>
      </c>
      <c r="X197">
        <f ca="1"/>
        <v>0</v>
      </c>
      <c r="Y197">
        <f ca="1"/>
        <v>0</v>
      </c>
      <c r="Z197" t="str">
        <f ca="1"/>
        <v/>
      </c>
    </row>
    <row r="198" spans="3:26" ht="16.149999999999999" customHeight="1" x14ac:dyDescent="0.25">
      <c r="C198" s="12"/>
      <c r="D198" s="5">
        <f ca="1"/>
        <v>194</v>
      </c>
      <c r="E198" s="5">
        <f ca="1"/>
        <v>771</v>
      </c>
      <c r="F198" s="5" t="str">
        <f ca="1"/>
        <v>x</v>
      </c>
      <c r="G198" s="5" t="str">
        <f ca="1"/>
        <v>Ökomanagment Gemeindegebäude</v>
      </c>
      <c r="H198" s="5" t="str">
        <f ca="1"/>
        <v>Marktgemeinde Straning - Grafenberg</v>
      </c>
      <c r="I198" s="5" t="str">
        <f ca="1"/>
        <v>Andreas</v>
      </c>
      <c r="J198" s="5" t="str">
        <f ca="1"/>
        <v>Fleischl</v>
      </c>
      <c r="K198" s="5" t="str">
        <f ca="1"/>
        <v>02984 / 7273</v>
      </c>
      <c r="L198" s="5">
        <f ca="1"/>
        <v>0</v>
      </c>
      <c r="M198" s="5">
        <f ca="1"/>
        <v>3722</v>
      </c>
      <c r="N198" s="5" t="str">
        <f ca="1"/>
        <v>Straning</v>
      </c>
      <c r="O198" s="5" t="str">
        <f ca="1"/>
        <v>Straning</v>
      </c>
      <c r="P198" s="5">
        <f ca="1"/>
        <v>114</v>
      </c>
      <c r="Q198" s="5" t="str">
        <f ca="1"/>
        <v/>
      </c>
      <c r="R198" s="5" t="str">
        <f ca="1"/>
        <v/>
      </c>
      <c r="S198" s="5" t="str">
        <f ca="1"/>
        <v/>
      </c>
      <c r="T198" s="5" t="str">
        <f ca="1"/>
        <v/>
      </c>
      <c r="U198" s="5" t="str">
        <f ca="1"/>
        <v/>
      </c>
      <c r="V198" s="5" t="str">
        <f ca="1"/>
        <v/>
      </c>
      <c r="W198" t="str">
        <f ca="1"/>
        <v/>
      </c>
      <c r="X198">
        <f ca="1"/>
        <v>0</v>
      </c>
      <c r="Y198">
        <f ca="1"/>
        <v>0</v>
      </c>
      <c r="Z198" t="str">
        <f ca="1"/>
        <v/>
      </c>
    </row>
    <row r="199" spans="3:26" ht="16.149999999999999" customHeight="1" x14ac:dyDescent="0.25">
      <c r="C199" s="12"/>
      <c r="D199" s="5">
        <f ca="1"/>
        <v>195</v>
      </c>
      <c r="E199" s="5">
        <f ca="1"/>
        <v>770</v>
      </c>
      <c r="F199" s="5" t="str">
        <f ca="1"/>
        <v>x</v>
      </c>
      <c r="G199" s="5">
        <f ca="1"/>
        <v>0</v>
      </c>
      <c r="H199" s="5" t="str">
        <f ca="1"/>
        <v>Stadtgemeinde Baden</v>
      </c>
      <c r="I199" s="5">
        <f ca="1"/>
        <v>0</v>
      </c>
      <c r="J199" s="5">
        <f ca="1"/>
        <v>0</v>
      </c>
      <c r="K199" s="5" t="str">
        <f ca="1"/>
        <v>02252 / 86800570</v>
      </c>
      <c r="L199" s="5">
        <f ca="1"/>
        <v>0</v>
      </c>
      <c r="M199" s="5">
        <f ca="1"/>
        <v>2500</v>
      </c>
      <c r="N199" s="5" t="str">
        <f ca="1"/>
        <v>Baden</v>
      </c>
      <c r="O199" s="5" t="str">
        <f ca="1"/>
        <v>Haidhofstraße</v>
      </c>
      <c r="P199" s="5">
        <f ca="1"/>
        <v>23</v>
      </c>
      <c r="Q199" s="5" t="str">
        <f ca="1"/>
        <v/>
      </c>
      <c r="R199" s="5" t="str">
        <f ca="1"/>
        <v/>
      </c>
      <c r="S199" s="5" t="str">
        <f ca="1"/>
        <v/>
      </c>
      <c r="T199" s="5" t="str">
        <f ca="1"/>
        <v/>
      </c>
      <c r="U199" s="5" t="str">
        <f ca="1"/>
        <v/>
      </c>
      <c r="V199" s="5" t="str">
        <f ca="1"/>
        <v/>
      </c>
      <c r="W199" t="str">
        <f ca="1"/>
        <v/>
      </c>
      <c r="X199">
        <f ca="1"/>
        <v>0</v>
      </c>
      <c r="Y199">
        <f ca="1"/>
        <v>0</v>
      </c>
      <c r="Z199" t="str">
        <f ca="1"/>
        <v/>
      </c>
    </row>
    <row r="200" spans="3:26" ht="16.149999999999999" customHeight="1" x14ac:dyDescent="0.25">
      <c r="C200" s="12"/>
      <c r="D200" s="5">
        <f ca="1"/>
        <v>196</v>
      </c>
      <c r="E200" s="5">
        <f ca="1"/>
        <v>721</v>
      </c>
      <c r="F200" s="5" t="str">
        <f ca="1"/>
        <v>x</v>
      </c>
      <c r="G200" s="5" t="str">
        <f ca="1"/>
        <v>Ökomanagement - beratung "Energieberatung lang", PV</v>
      </c>
      <c r="H200" s="5" t="str">
        <f ca="1"/>
        <v>Schweiggers Marktgemeinde</v>
      </c>
      <c r="I200" s="5">
        <f ca="1"/>
        <v>0</v>
      </c>
      <c r="J200" s="5">
        <f ca="1"/>
        <v>0</v>
      </c>
      <c r="K200" s="5" t="str">
        <f ca="1"/>
        <v>02829 / 8234 - 10</v>
      </c>
      <c r="L200" s="5" t="str">
        <f ca="1"/>
        <v>gemeinde@schweiggers.gv.at</v>
      </c>
      <c r="M200" s="5">
        <f ca="1"/>
        <v>3931</v>
      </c>
      <c r="N200" s="5" t="str">
        <f ca="1"/>
        <v>Schweiggers</v>
      </c>
      <c r="O200" s="5" t="str">
        <f ca="1"/>
        <v>Hauptplatz</v>
      </c>
      <c r="P200" s="5">
        <f ca="1"/>
        <v>25</v>
      </c>
      <c r="Q200" s="5" t="str">
        <f ca="1"/>
        <v/>
      </c>
      <c r="R200" s="5" t="str">
        <f ca="1"/>
        <v/>
      </c>
      <c r="S200" s="5" t="str">
        <f ca="1"/>
        <v/>
      </c>
      <c r="T200" s="5" t="str">
        <f ca="1"/>
        <v/>
      </c>
      <c r="U200" s="5" t="str">
        <f ca="1"/>
        <v/>
      </c>
      <c r="V200" s="5" t="str">
        <f ca="1"/>
        <v/>
      </c>
      <c r="W200" t="str">
        <f ca="1"/>
        <v/>
      </c>
      <c r="X200">
        <f ca="1"/>
        <v>0</v>
      </c>
      <c r="Y200">
        <f ca="1"/>
        <v>0</v>
      </c>
      <c r="Z200" t="str">
        <f ca="1"/>
        <v/>
      </c>
    </row>
    <row r="201" spans="3:26" x14ac:dyDescent="0.25">
      <c r="D201" s="5">
        <f ca="1"/>
        <v>197</v>
      </c>
      <c r="E201" s="5">
        <f ca="1"/>
        <v>719</v>
      </c>
      <c r="F201" s="5" t="str">
        <f ca="1"/>
        <v>x</v>
      </c>
      <c r="G201" s="5" t="str">
        <f ca="1"/>
        <v>Ökomanagement - Beratung Gebäudesanierung</v>
      </c>
      <c r="H201" s="5" t="str">
        <f ca="1"/>
        <v>Erlebnismuseumsverein Schönbach</v>
      </c>
      <c r="I201" s="5" t="str">
        <f ca="1"/>
        <v>Franz</v>
      </c>
      <c r="J201" s="5" t="str">
        <f ca="1"/>
        <v>Höfer</v>
      </c>
      <c r="K201" s="5" t="str">
        <f ca="1"/>
        <v/>
      </c>
      <c r="L201" s="5">
        <f ca="1"/>
        <v>0</v>
      </c>
      <c r="M201" s="5">
        <f ca="1"/>
        <v>3633</v>
      </c>
      <c r="N201" s="5" t="str">
        <f ca="1"/>
        <v>Schönbach</v>
      </c>
      <c r="O201" s="5" t="str">
        <f ca="1"/>
        <v>Schönbach</v>
      </c>
      <c r="P201" s="5">
        <f ca="1"/>
        <v>2</v>
      </c>
      <c r="Q201" s="5" t="str">
        <f ca="1"/>
        <v/>
      </c>
      <c r="R201" s="5" t="str">
        <f ca="1"/>
        <v/>
      </c>
      <c r="S201" s="5" t="str">
        <f ca="1"/>
        <v/>
      </c>
      <c r="T201" s="5" t="str">
        <f ca="1"/>
        <v/>
      </c>
      <c r="U201" s="5" t="str">
        <f ca="1"/>
        <v/>
      </c>
      <c r="V201" s="5" t="str">
        <f ca="1"/>
        <v/>
      </c>
      <c r="W201" t="str">
        <f ca="1"/>
        <v/>
      </c>
      <c r="X201">
        <f ca="1"/>
        <v>0</v>
      </c>
      <c r="Y201">
        <f ca="1"/>
        <v>0</v>
      </c>
      <c r="Z201" t="str">
        <f ca="1"/>
        <v/>
      </c>
    </row>
    <row r="202" spans="3:26" x14ac:dyDescent="0.25">
      <c r="D202" s="5">
        <f ca="1"/>
        <v>198</v>
      </c>
      <c r="E202" s="5">
        <f ca="1"/>
        <v>768</v>
      </c>
      <c r="F202" s="5" t="str">
        <f ca="1"/>
        <v>x</v>
      </c>
      <c r="G202" s="5" t="str">
        <f ca="1"/>
        <v>Sanierung</v>
      </c>
      <c r="H202" s="5" t="str">
        <f ca="1"/>
        <v>Rathausgebäude Weitra</v>
      </c>
      <c r="I202" s="5">
        <f ca="1"/>
        <v>0</v>
      </c>
      <c r="J202" s="5">
        <f ca="1"/>
        <v>0</v>
      </c>
      <c r="K202" s="5" t="str">
        <f ca="1"/>
        <v/>
      </c>
      <c r="L202" s="5">
        <f ca="1"/>
        <v>0</v>
      </c>
      <c r="M202" s="5">
        <f ca="1"/>
        <v>3970</v>
      </c>
      <c r="N202" s="5" t="str">
        <f ca="1"/>
        <v>Weitra</v>
      </c>
      <c r="O202" s="5" t="str">
        <f ca="1"/>
        <v>Rathausplatz</v>
      </c>
      <c r="P202" s="5">
        <f ca="1"/>
        <v>1</v>
      </c>
      <c r="Q202" s="5" t="str">
        <f ca="1"/>
        <v/>
      </c>
      <c r="R202" s="5" t="str">
        <f ca="1"/>
        <v/>
      </c>
      <c r="S202" s="5" t="str">
        <f ca="1"/>
        <v/>
      </c>
      <c r="T202" s="5" t="str">
        <f ca="1"/>
        <v/>
      </c>
      <c r="U202" s="5" t="str">
        <f ca="1"/>
        <v/>
      </c>
      <c r="V202" s="5" t="str">
        <f ca="1"/>
        <v/>
      </c>
      <c r="W202" t="str">
        <f ca="1"/>
        <v/>
      </c>
      <c r="X202">
        <f ca="1"/>
        <v>0</v>
      </c>
      <c r="Y202">
        <f ca="1"/>
        <v>0</v>
      </c>
      <c r="Z202" t="str">
        <f ca="1"/>
        <v/>
      </c>
    </row>
    <row r="203" spans="3:26" x14ac:dyDescent="0.25">
      <c r="D203" s="5">
        <f ca="1"/>
        <v>199</v>
      </c>
      <c r="E203" s="5">
        <f ca="1"/>
        <v>767</v>
      </c>
      <c r="F203" s="5" t="str">
        <f ca="1"/>
        <v>x</v>
      </c>
      <c r="G203" s="5" t="str">
        <f ca="1"/>
        <v>Beratung PV - Anlage</v>
      </c>
      <c r="H203" s="5" t="str">
        <f ca="1"/>
        <v>Verein zur Förderung der Mohn - und Getreidezüchtung</v>
      </c>
      <c r="I203" s="5">
        <f ca="1"/>
        <v>0</v>
      </c>
      <c r="J203" s="5">
        <f ca="1"/>
        <v>0</v>
      </c>
      <c r="K203" s="5" t="str">
        <f ca="1"/>
        <v>02822 / 54412</v>
      </c>
      <c r="L203" s="5">
        <f ca="1"/>
        <v>0</v>
      </c>
      <c r="M203" s="5">
        <f ca="1"/>
        <v>3910</v>
      </c>
      <c r="N203" s="5" t="str">
        <f ca="1"/>
        <v>Zwettl</v>
      </c>
      <c r="O203" s="5" t="str">
        <f ca="1"/>
        <v>Edelhof</v>
      </c>
      <c r="P203" s="5">
        <f ca="1"/>
        <v>4</v>
      </c>
      <c r="Q203" s="5" t="str">
        <f ca="1"/>
        <v/>
      </c>
      <c r="R203" s="5" t="str">
        <f ca="1"/>
        <v/>
      </c>
      <c r="S203" s="5" t="str">
        <f ca="1"/>
        <v/>
      </c>
      <c r="T203" s="5" t="str">
        <f ca="1"/>
        <v/>
      </c>
      <c r="U203" s="5" t="str">
        <f ca="1"/>
        <v/>
      </c>
      <c r="V203" s="5" t="str">
        <f ca="1"/>
        <v/>
      </c>
      <c r="W203" t="str">
        <f ca="1"/>
        <v/>
      </c>
      <c r="X203">
        <f ca="1"/>
        <v>0</v>
      </c>
      <c r="Y203">
        <f ca="1"/>
        <v>0</v>
      </c>
      <c r="Z203" t="str">
        <f ca="1"/>
        <v/>
      </c>
    </row>
    <row r="204" spans="3:26" x14ac:dyDescent="0.25">
      <c r="D204" s="5">
        <f ca="1"/>
        <v>200</v>
      </c>
      <c r="E204" s="5">
        <f ca="1"/>
        <v>764</v>
      </c>
      <c r="F204" s="5" t="str">
        <f ca="1"/>
        <v>x</v>
      </c>
      <c r="G204" s="5" t="str">
        <f ca="1"/>
        <v>Beratung Sanierung,</v>
      </c>
      <c r="H204" s="5" t="str">
        <f ca="1"/>
        <v>Kirchberg am Walde</v>
      </c>
      <c r="I204" s="5">
        <f ca="1"/>
        <v>0</v>
      </c>
      <c r="J204" s="5">
        <f ca="1"/>
        <v>0</v>
      </c>
      <c r="K204" s="5" t="str">
        <f ca="1"/>
        <v>02854 / 7010</v>
      </c>
      <c r="L204" s="5">
        <f ca="1"/>
        <v>0</v>
      </c>
      <c r="M204" s="5">
        <f ca="1"/>
        <v>3932</v>
      </c>
      <c r="N204" s="5" t="str">
        <f ca="1"/>
        <v>Kirchberg am Walde</v>
      </c>
      <c r="O204" s="5" t="str">
        <f ca="1"/>
        <v>Kirchberg am Walde</v>
      </c>
      <c r="P204" s="5">
        <f ca="1"/>
        <v>7</v>
      </c>
      <c r="Q204" s="5" t="str">
        <f ca="1"/>
        <v/>
      </c>
      <c r="R204" s="5" t="str">
        <f ca="1"/>
        <v/>
      </c>
      <c r="S204" s="5" t="str">
        <f ca="1"/>
        <v/>
      </c>
      <c r="T204" s="5" t="str">
        <f ca="1"/>
        <v/>
      </c>
      <c r="U204" s="5" t="str">
        <f ca="1"/>
        <v/>
      </c>
      <c r="V204" s="5" t="str">
        <f ca="1"/>
        <v/>
      </c>
      <c r="W204" t="str">
        <f ca="1"/>
        <v/>
      </c>
      <c r="X204">
        <f ca="1"/>
        <v>0</v>
      </c>
      <c r="Y204">
        <f ca="1"/>
        <v>0</v>
      </c>
      <c r="Z204" t="str">
        <f ca="1"/>
        <v/>
      </c>
    </row>
    <row r="205" spans="3:26" x14ac:dyDescent="0.25">
      <c r="D205" s="5">
        <f ca="1"/>
        <v>201</v>
      </c>
      <c r="E205" s="5">
        <f ca="1"/>
        <v>762</v>
      </c>
      <c r="F205" s="5" t="str">
        <f ca="1"/>
        <v>x</v>
      </c>
      <c r="G205" s="5">
        <f ca="1"/>
        <v>0</v>
      </c>
      <c r="H205" s="5" t="str">
        <f ca="1"/>
        <v>Marktgemeinde Staatz</v>
      </c>
      <c r="I205" s="5">
        <f ca="1"/>
        <v>0</v>
      </c>
      <c r="J205" s="5">
        <f ca="1"/>
        <v>0</v>
      </c>
      <c r="K205" s="5" t="str">
        <f ca="1"/>
        <v>02524 / 2212</v>
      </c>
      <c r="L205" s="5">
        <f ca="1"/>
        <v>0</v>
      </c>
      <c r="M205" s="5">
        <f ca="1"/>
        <v>2134</v>
      </c>
      <c r="N205" s="5" t="str">
        <f ca="1"/>
        <v>Kautendorf</v>
      </c>
      <c r="O205" s="5" t="str">
        <f ca="1"/>
        <v>Schlossplatz</v>
      </c>
      <c r="P205" s="5">
        <f ca="1"/>
        <v>3</v>
      </c>
      <c r="Q205" s="5" t="str">
        <f ca="1"/>
        <v/>
      </c>
      <c r="R205" s="5" t="str">
        <f ca="1"/>
        <v/>
      </c>
      <c r="S205" s="5" t="str">
        <f ca="1"/>
        <v/>
      </c>
      <c r="T205" s="5" t="str">
        <f ca="1"/>
        <v/>
      </c>
      <c r="U205" s="5" t="str">
        <f ca="1"/>
        <v/>
      </c>
      <c r="V205" s="5" t="str">
        <f ca="1"/>
        <v/>
      </c>
      <c r="W205" t="str">
        <f ca="1"/>
        <v/>
      </c>
      <c r="X205">
        <f ca="1"/>
        <v>0</v>
      </c>
      <c r="Y205">
        <f ca="1"/>
        <v>0</v>
      </c>
      <c r="Z205" t="str">
        <f ca="1"/>
        <v/>
      </c>
    </row>
    <row r="206" spans="3:26" x14ac:dyDescent="0.25">
      <c r="D206" s="5">
        <f ca="1"/>
        <v>202</v>
      </c>
      <c r="E206" s="5">
        <f ca="1"/>
        <v>761</v>
      </c>
      <c r="F206" s="5" t="str">
        <f ca="1"/>
        <v>x</v>
      </c>
      <c r="G206" s="5" t="str">
        <f ca="1"/>
        <v>Beratung Mustersanierung</v>
      </c>
      <c r="H206" s="5" t="str">
        <f ca="1"/>
        <v>MGN Milchgenossenschaft NÖ</v>
      </c>
      <c r="I206" s="5">
        <f ca="1"/>
        <v>0</v>
      </c>
      <c r="J206" s="5">
        <f ca="1"/>
        <v>0</v>
      </c>
      <c r="K206" s="5" t="str">
        <f ca="1"/>
        <v>02252 / 89581 - 1872</v>
      </c>
      <c r="L206" s="5">
        <f ca="1"/>
        <v>0</v>
      </c>
      <c r="M206" s="5">
        <f ca="1"/>
        <v>2500</v>
      </c>
      <c r="N206" s="5" t="str">
        <f ca="1"/>
        <v>Baden</v>
      </c>
      <c r="O206" s="5" t="str">
        <f ca="1"/>
        <v>Vöslauer Straße</v>
      </c>
      <c r="P206" s="5">
        <f ca="1"/>
        <v>109</v>
      </c>
      <c r="Q206" s="5" t="str">
        <f ca="1"/>
        <v/>
      </c>
      <c r="R206" s="5" t="str">
        <f ca="1"/>
        <v/>
      </c>
      <c r="S206" s="5" t="str">
        <f ca="1"/>
        <v/>
      </c>
      <c r="T206" s="5" t="str">
        <f ca="1"/>
        <v/>
      </c>
      <c r="U206" s="5" t="str">
        <f ca="1"/>
        <v/>
      </c>
      <c r="V206" s="5" t="str">
        <f ca="1"/>
        <v/>
      </c>
      <c r="W206" t="str">
        <f ca="1"/>
        <v/>
      </c>
      <c r="X206">
        <f ca="1"/>
        <v>0</v>
      </c>
      <c r="Y206">
        <f ca="1"/>
        <v>0</v>
      </c>
      <c r="Z206" t="str">
        <f ca="1"/>
        <v/>
      </c>
    </row>
    <row r="207" spans="3:26" x14ac:dyDescent="0.25">
      <c r="D207" s="5">
        <f ca="1"/>
        <v>203</v>
      </c>
      <c r="E207" s="5">
        <f ca="1"/>
        <v>759</v>
      </c>
      <c r="F207" s="5" t="str">
        <f ca="1"/>
        <v>x</v>
      </c>
      <c r="G207" s="5" t="str">
        <f ca="1"/>
        <v>Beratung thermische Gebäudesanierung</v>
      </c>
      <c r="H207" s="5" t="str">
        <f ca="1"/>
        <v>Marktgemeinde Amaliendorf - Aalfang</v>
      </c>
      <c r="I207" s="5">
        <f ca="1"/>
        <v>0</v>
      </c>
      <c r="J207" s="5">
        <f ca="1"/>
        <v>0</v>
      </c>
      <c r="K207" s="5" t="str">
        <f ca="1"/>
        <v>02862 / 53495</v>
      </c>
      <c r="L207" s="5">
        <f ca="1"/>
        <v>0</v>
      </c>
      <c r="M207" s="5">
        <f ca="1"/>
        <v>3872</v>
      </c>
      <c r="N207" s="5" t="str">
        <f ca="1"/>
        <v>Amaliendorf</v>
      </c>
      <c r="O207" s="5" t="str">
        <f ca="1"/>
        <v>Hauptstraße</v>
      </c>
      <c r="P207" s="5">
        <f ca="1"/>
        <v>190</v>
      </c>
      <c r="Q207" s="5" t="str">
        <f ca="1"/>
        <v/>
      </c>
      <c r="R207" s="5" t="str">
        <f ca="1"/>
        <v/>
      </c>
      <c r="S207" s="5" t="str">
        <f ca="1"/>
        <v/>
      </c>
      <c r="T207" s="5" t="str">
        <f ca="1"/>
        <v/>
      </c>
      <c r="U207" s="5" t="str">
        <f ca="1"/>
        <v/>
      </c>
      <c r="V207" s="5" t="str">
        <f ca="1"/>
        <v/>
      </c>
      <c r="W207" t="str">
        <f ca="1"/>
        <v/>
      </c>
      <c r="X207">
        <f ca="1"/>
        <v>0</v>
      </c>
      <c r="Y207">
        <f ca="1"/>
        <v>0</v>
      </c>
      <c r="Z207" t="str">
        <f ca="1"/>
        <v/>
      </c>
    </row>
    <row r="208" spans="3:26" x14ac:dyDescent="0.25">
      <c r="D208" s="5">
        <f ca="1"/>
        <v>204</v>
      </c>
      <c r="E208" s="5">
        <f ca="1"/>
        <v>739</v>
      </c>
      <c r="F208" s="5" t="str">
        <f ca="1"/>
        <v>x</v>
      </c>
      <c r="G208" s="5" t="str">
        <f ca="1"/>
        <v>Ökomanagement - Beratung Gebäudesanierung</v>
      </c>
      <c r="H208" s="5" t="str">
        <f ca="1"/>
        <v>Retz Stadtgemeinde</v>
      </c>
      <c r="I208" s="5">
        <f ca="1"/>
        <v>0</v>
      </c>
      <c r="J208" s="5">
        <f ca="1"/>
        <v>0</v>
      </c>
      <c r="K208" s="5" t="str">
        <f ca="1"/>
        <v>02942 / 2223</v>
      </c>
      <c r="L208" s="5">
        <f ca="1"/>
        <v>0</v>
      </c>
      <c r="M208" s="5">
        <f ca="1"/>
        <v>2070</v>
      </c>
      <c r="N208" s="5" t="str">
        <f ca="1"/>
        <v>Retz</v>
      </c>
      <c r="O208" s="5" t="str">
        <f ca="1"/>
        <v>Hauptplatz</v>
      </c>
      <c r="P208" s="5">
        <f ca="1"/>
        <v>30</v>
      </c>
      <c r="Q208" s="5" t="str">
        <f ca="1"/>
        <v/>
      </c>
      <c r="R208" s="5" t="str">
        <f ca="1"/>
        <v/>
      </c>
      <c r="S208" s="5" t="str">
        <f ca="1"/>
        <v/>
      </c>
      <c r="T208" s="5" t="str">
        <f ca="1"/>
        <v/>
      </c>
      <c r="U208" s="5" t="str">
        <f ca="1"/>
        <v/>
      </c>
      <c r="V208" s="5" t="str">
        <f ca="1"/>
        <v/>
      </c>
      <c r="W208" t="str">
        <f ca="1"/>
        <v/>
      </c>
      <c r="X208">
        <f ca="1"/>
        <v>0</v>
      </c>
      <c r="Y208">
        <f ca="1"/>
        <v>0</v>
      </c>
      <c r="Z208" t="str">
        <f ca="1"/>
        <v/>
      </c>
    </row>
    <row r="209" spans="4:26" x14ac:dyDescent="0.25">
      <c r="D209" s="5">
        <f ca="1"/>
        <v>0</v>
      </c>
      <c r="E209" s="5" t="str">
        <f ca="1"/>
        <v>XXX</v>
      </c>
      <c r="F209" s="5">
        <f ca="1"/>
        <v>0</v>
      </c>
      <c r="G209" s="5" t="str">
        <f ca="1"/>
        <v>TEST</v>
      </c>
      <c r="H209" s="5" t="str">
        <f ca="1"/>
        <v>TEST</v>
      </c>
      <c r="I209" s="5" t="str">
        <f ca="1"/>
        <v>TEST</v>
      </c>
      <c r="J209" s="5" t="str">
        <f ca="1"/>
        <v>TEST</v>
      </c>
      <c r="K209" s="5">
        <f ca="1"/>
        <v>0</v>
      </c>
      <c r="L209" s="5">
        <f ca="1"/>
        <v>0</v>
      </c>
      <c r="M209" s="5">
        <f ca="1"/>
        <v>0</v>
      </c>
      <c r="N209" s="5">
        <f ca="1"/>
        <v>0</v>
      </c>
      <c r="O209" s="5">
        <f ca="1"/>
        <v>0</v>
      </c>
      <c r="P209" s="5">
        <f ca="1"/>
        <v>0</v>
      </c>
      <c r="Q209" s="5" t="str">
        <f ca="1"/>
        <v/>
      </c>
      <c r="R209" s="5" t="str">
        <f ca="1"/>
        <v/>
      </c>
      <c r="S209" s="5" t="str">
        <f ca="1"/>
        <v/>
      </c>
      <c r="T209" s="5" t="str">
        <f ca="1"/>
        <v/>
      </c>
      <c r="U209" s="5" t="str">
        <f ca="1"/>
        <v/>
      </c>
      <c r="V209" s="5" t="str">
        <f ca="1"/>
        <v/>
      </c>
      <c r="W209" t="str">
        <f ca="1"/>
        <v/>
      </c>
      <c r="X209">
        <f ca="1"/>
        <v>0</v>
      </c>
      <c r="Y209">
        <f ca="1"/>
        <v>0</v>
      </c>
      <c r="Z209" t="str">
        <f ca="1"/>
        <v/>
      </c>
    </row>
  </sheetData>
  <sheetProtection formatCells="0" formatColumns="0" formatRows="0" insertColumns="0" insertRows="0" insertHyperlinks="0" deleteColumns="0" deleteRows="0" sort="0" autoFilter="0" pivotTables="0"/>
  <mergeCells count="4">
    <mergeCell ref="K2:Q2"/>
    <mergeCell ref="D2:F3"/>
    <mergeCell ref="G2:I3"/>
    <mergeCell ref="D5:E5"/>
  </mergeCells>
  <dataValidations count="2">
    <dataValidation type="list" allowBlank="1" showInputMessage="1" showErrorMessage="1" sqref="D5" xr:uid="{9818DCF8-5A38-4D13-8EFE-B2EF23A030F4}">
      <formula1>INDIRECT("Reiter")</formula1>
    </dataValidation>
    <dataValidation type="list" allowBlank="1" showInputMessage="1" showErrorMessage="1" sqref="G2:I3" xr:uid="{FEA2B512-113B-468C-A34B-A3BE764FE605}">
      <formula1>INDIRECT($F$5)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utton 30">
              <controlPr defaultSize="0" print="0" autoFill="0" autoPict="0" macro="[0]!Datenbank_bearbeiten">
                <anchor moveWithCells="1" sizeWithCells="1">
                  <from>
                    <xdr:col>1</xdr:col>
                    <xdr:colOff>152400</xdr:colOff>
                    <xdr:row>1</xdr:row>
                    <xdr:rowOff>19050</xdr:rowOff>
                  </from>
                  <to>
                    <xdr:col>1</xdr:col>
                    <xdr:colOff>1828800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5" name="Button 31">
              <controlPr defaultSize="0" print="0" autoFill="0" autoPict="0" macro="[0]!Gebaeudedaten_bearbeiten">
                <anchor moveWithCells="1" sizeWithCells="1">
                  <from>
                    <xdr:col>1</xdr:col>
                    <xdr:colOff>152400</xdr:colOff>
                    <xdr:row>4</xdr:row>
                    <xdr:rowOff>104775</xdr:rowOff>
                  </from>
                  <to>
                    <xdr:col>1</xdr:col>
                    <xdr:colOff>1828800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6" name="Button 32">
              <controlPr defaultSize="0" print="0" autoFill="0" autoPict="0" macro="[0]!Mobilitaetsdaten_bearbeiten">
                <anchor moveWithCells="1" sizeWithCells="1">
                  <from>
                    <xdr:col>1</xdr:col>
                    <xdr:colOff>152400</xdr:colOff>
                    <xdr:row>7</xdr:row>
                    <xdr:rowOff>114300</xdr:rowOff>
                  </from>
                  <to>
                    <xdr:col>1</xdr:col>
                    <xdr:colOff>1828800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EEGDaten_bearbeiten">
                <anchor moveWithCells="1" sizeWithCells="1">
                  <from>
                    <xdr:col>1</xdr:col>
                    <xdr:colOff>152400</xdr:colOff>
                    <xdr:row>10</xdr:row>
                    <xdr:rowOff>114300</xdr:rowOff>
                  </from>
                  <to>
                    <xdr:col>1</xdr:col>
                    <xdr:colOff>1828800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8" name="Button 34">
              <controlPr defaultSize="0" print="0" autoFill="0" autoPict="0" macro="[0]!EEGTeilnehmer_bearbeiten">
                <anchor moveWithCells="1" sizeWithCells="1">
                  <from>
                    <xdr:col>1</xdr:col>
                    <xdr:colOff>152400</xdr:colOff>
                    <xdr:row>13</xdr:row>
                    <xdr:rowOff>123825</xdr:rowOff>
                  </from>
                  <to>
                    <xdr:col>1</xdr:col>
                    <xdr:colOff>1828800</xdr:colOff>
                    <xdr:row>15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F9EEC-5D3B-442F-8DB7-310604BFA92D}">
  <sheetPr codeName="Tabelle2"/>
  <dimension ref="A1:W864"/>
  <sheetViews>
    <sheetView showGridLines="0" topLeftCell="A355" zoomScale="101" zoomScaleNormal="400" workbookViewId="0">
      <selection activeCell="F365" sqref="F365"/>
    </sheetView>
  </sheetViews>
  <sheetFormatPr baseColWidth="10" defaultColWidth="11.42578125" defaultRowHeight="15" x14ac:dyDescent="0.25"/>
  <cols>
    <col min="1" max="1" width="6.7109375" style="10" customWidth="1"/>
    <col min="2" max="2" width="18.7109375" style="10" bestFit="1" customWidth="1"/>
    <col min="3" max="3" width="2.5703125" style="10" customWidth="1"/>
    <col min="4" max="5" width="18.7109375" style="10" customWidth="1"/>
    <col min="6" max="6" width="13.140625" style="1" bestFit="1" customWidth="1"/>
    <col min="7" max="7" width="14.7109375" style="1" bestFit="1" customWidth="1"/>
    <col min="8" max="8" width="17.85546875" style="10" bestFit="1" customWidth="1"/>
    <col min="9" max="9" width="21.85546875" style="1" customWidth="1"/>
    <col min="10" max="10" width="15.42578125" style="10" bestFit="1" customWidth="1"/>
    <col min="11" max="11" width="8.7109375" style="1" bestFit="1" customWidth="1"/>
    <col min="12" max="12" width="14.7109375" bestFit="1" customWidth="1"/>
    <col min="13" max="13" width="17.85546875" bestFit="1" customWidth="1"/>
    <col min="14" max="14" width="19.28515625" bestFit="1" customWidth="1"/>
    <col min="15" max="15" width="13.7109375" bestFit="1" customWidth="1"/>
    <col min="16" max="16" width="18.5703125" bestFit="1" customWidth="1"/>
    <col min="17" max="17" width="29.28515625" bestFit="1" customWidth="1"/>
    <col min="18" max="18" width="28.28515625" bestFit="1" customWidth="1"/>
    <col min="19" max="19" width="19.140625" bestFit="1" customWidth="1"/>
    <col min="20" max="20" width="21.7109375" bestFit="1" customWidth="1"/>
    <col min="21" max="22" width="21.7109375" customWidth="1"/>
    <col min="23" max="23" width="11.5703125"/>
  </cols>
  <sheetData>
    <row r="1" spans="1:23" x14ac:dyDescent="0.25">
      <c r="A1" s="9" t="s">
        <v>1227</v>
      </c>
      <c r="B1" s="9" t="s">
        <v>31</v>
      </c>
      <c r="C1" s="9" t="s">
        <v>117</v>
      </c>
      <c r="D1" s="9" t="s">
        <v>116</v>
      </c>
      <c r="E1" s="6" t="s">
        <v>36</v>
      </c>
      <c r="F1" s="6" t="s">
        <v>32</v>
      </c>
      <c r="G1" s="6" t="s">
        <v>33</v>
      </c>
      <c r="H1" s="9" t="s">
        <v>34</v>
      </c>
      <c r="I1" s="6" t="s">
        <v>35</v>
      </c>
      <c r="J1" s="9" t="s">
        <v>37</v>
      </c>
      <c r="K1" s="6" t="s">
        <v>38</v>
      </c>
      <c r="L1" s="6" t="s">
        <v>39</v>
      </c>
      <c r="M1" s="6" t="s">
        <v>40</v>
      </c>
      <c r="N1" s="6" t="s">
        <v>41</v>
      </c>
      <c r="O1" s="6" t="s">
        <v>17</v>
      </c>
      <c r="P1" s="6" t="s">
        <v>42</v>
      </c>
      <c r="Q1" s="6" t="s">
        <v>43</v>
      </c>
      <c r="R1" s="6" t="s">
        <v>44</v>
      </c>
      <c r="S1" s="6" t="s">
        <v>45</v>
      </c>
      <c r="T1" s="6" t="s">
        <v>46</v>
      </c>
      <c r="U1" s="6" t="s">
        <v>1286</v>
      </c>
      <c r="V1" s="6" t="s">
        <v>1287</v>
      </c>
      <c r="W1" s="6" t="s">
        <v>47</v>
      </c>
    </row>
    <row r="2" spans="1:23" ht="45" x14ac:dyDescent="0.25">
      <c r="A2" s="1">
        <f>ROW(A2)-1</f>
        <v>1</v>
      </c>
      <c r="B2" s="10">
        <v>836</v>
      </c>
      <c r="C2" s="10" t="s">
        <v>118</v>
      </c>
      <c r="D2" s="10" t="s">
        <v>119</v>
      </c>
      <c r="E2" s="10" t="s">
        <v>120</v>
      </c>
      <c r="F2" s="1" t="s">
        <v>121</v>
      </c>
      <c r="G2" s="10" t="s">
        <v>122</v>
      </c>
      <c r="H2" s="15" t="s">
        <v>123</v>
      </c>
      <c r="I2" s="15" t="s">
        <v>124</v>
      </c>
      <c r="J2" s="10">
        <v>3910</v>
      </c>
      <c r="K2" s="1" t="s">
        <v>125</v>
      </c>
      <c r="L2" t="s">
        <v>126</v>
      </c>
      <c r="M2">
        <v>34</v>
      </c>
      <c r="N2" t="str">
        <f>""</f>
        <v/>
      </c>
      <c r="O2" t="str">
        <f>""</f>
        <v/>
      </c>
      <c r="P2" t="str">
        <f>""</f>
        <v/>
      </c>
      <c r="Q2" t="str">
        <f>""</f>
        <v/>
      </c>
      <c r="R2" t="str">
        <f>""</f>
        <v/>
      </c>
      <c r="S2" t="str">
        <f>""</f>
        <v/>
      </c>
      <c r="T2" t="str">
        <f>""</f>
        <v/>
      </c>
      <c r="W2" t="str">
        <f>""</f>
        <v/>
      </c>
    </row>
    <row r="3" spans="1:23" ht="60" x14ac:dyDescent="0.25">
      <c r="A3" s="1">
        <f t="shared" ref="A3:A66" si="0">ROW(A3)-1</f>
        <v>2</v>
      </c>
      <c r="B3" s="10">
        <v>609</v>
      </c>
      <c r="C3" s="10" t="s">
        <v>118</v>
      </c>
      <c r="D3" s="10" t="s">
        <v>127</v>
      </c>
      <c r="E3" s="10" t="s">
        <v>128</v>
      </c>
      <c r="F3" s="1" t="s">
        <v>129</v>
      </c>
      <c r="G3" s="10" t="s">
        <v>130</v>
      </c>
      <c r="H3" s="15" t="s">
        <v>131</v>
      </c>
      <c r="I3" s="15" t="s">
        <v>132</v>
      </c>
      <c r="J3" s="10">
        <v>3571</v>
      </c>
      <c r="K3" s="1" t="s">
        <v>133</v>
      </c>
      <c r="L3" t="s">
        <v>134</v>
      </c>
      <c r="M3">
        <v>163</v>
      </c>
      <c r="N3" t="str">
        <f>""</f>
        <v/>
      </c>
      <c r="O3" t="str">
        <f>""</f>
        <v/>
      </c>
      <c r="P3" t="str">
        <f>""</f>
        <v/>
      </c>
      <c r="Q3" t="str">
        <f>""</f>
        <v/>
      </c>
      <c r="R3" t="str">
        <f>""</f>
        <v/>
      </c>
      <c r="S3" t="str">
        <f>""</f>
        <v/>
      </c>
      <c r="T3" t="str">
        <f>""</f>
        <v/>
      </c>
      <c r="W3" t="str">
        <f>""</f>
        <v/>
      </c>
    </row>
    <row r="4" spans="1:23" ht="30" x14ac:dyDescent="0.25">
      <c r="A4" s="1">
        <f t="shared" si="0"/>
        <v>3</v>
      </c>
      <c r="B4" s="10">
        <v>1106</v>
      </c>
      <c r="C4" s="10" t="s">
        <v>118</v>
      </c>
      <c r="D4" s="10" t="s">
        <v>135</v>
      </c>
      <c r="E4" s="10" t="s">
        <v>136</v>
      </c>
      <c r="F4" s="1" t="s">
        <v>137</v>
      </c>
      <c r="G4" s="10" t="s">
        <v>138</v>
      </c>
      <c r="H4" s="15" t="s">
        <v>139</v>
      </c>
      <c r="I4" s="15" t="s">
        <v>140</v>
      </c>
      <c r="J4" s="10">
        <v>3712</v>
      </c>
      <c r="K4" s="1" t="s">
        <v>141</v>
      </c>
      <c r="L4" t="s">
        <v>142</v>
      </c>
      <c r="M4">
        <v>12</v>
      </c>
      <c r="N4" t="str">
        <f>""</f>
        <v/>
      </c>
      <c r="O4" t="str">
        <f>""</f>
        <v/>
      </c>
      <c r="P4" t="str">
        <f>""</f>
        <v/>
      </c>
      <c r="Q4" t="str">
        <f>""</f>
        <v/>
      </c>
      <c r="R4" t="str">
        <f>""</f>
        <v/>
      </c>
      <c r="S4" t="str">
        <f>""</f>
        <v/>
      </c>
      <c r="T4" t="str">
        <f>""</f>
        <v/>
      </c>
      <c r="W4" t="str">
        <f>""</f>
        <v/>
      </c>
    </row>
    <row r="5" spans="1:23" ht="30" x14ac:dyDescent="0.25">
      <c r="A5" s="1">
        <f t="shared" si="0"/>
        <v>4</v>
      </c>
      <c r="B5" s="10">
        <v>3148</v>
      </c>
      <c r="C5" s="10" t="s">
        <v>118</v>
      </c>
      <c r="D5" s="10" t="s">
        <v>143</v>
      </c>
      <c r="E5" s="10" t="s">
        <v>144</v>
      </c>
      <c r="F5" s="1" t="s">
        <v>145</v>
      </c>
      <c r="G5" s="10" t="s">
        <v>146</v>
      </c>
      <c r="H5" s="15" t="s">
        <v>147</v>
      </c>
      <c r="I5" s="15" t="s">
        <v>148</v>
      </c>
      <c r="J5" s="10">
        <v>3492</v>
      </c>
      <c r="K5" s="1" t="s">
        <v>149</v>
      </c>
      <c r="L5" t="s">
        <v>150</v>
      </c>
      <c r="M5">
        <v>10</v>
      </c>
      <c r="N5" t="str">
        <f>""</f>
        <v/>
      </c>
      <c r="O5" t="str">
        <f>""</f>
        <v/>
      </c>
      <c r="P5" t="str">
        <f>""</f>
        <v/>
      </c>
      <c r="Q5" t="str">
        <f>""</f>
        <v/>
      </c>
      <c r="R5" t="str">
        <f>""</f>
        <v/>
      </c>
      <c r="S5" t="str">
        <f>""</f>
        <v/>
      </c>
      <c r="T5" t="str">
        <f>""</f>
        <v/>
      </c>
      <c r="W5" t="str">
        <f>""</f>
        <v/>
      </c>
    </row>
    <row r="6" spans="1:23" ht="30" x14ac:dyDescent="0.25">
      <c r="A6" s="1">
        <f t="shared" si="0"/>
        <v>5</v>
      </c>
      <c r="B6" s="10">
        <v>3151</v>
      </c>
      <c r="C6" s="10" t="s">
        <v>118</v>
      </c>
      <c r="D6" s="10" t="s">
        <v>151</v>
      </c>
      <c r="E6" s="10" t="s">
        <v>152</v>
      </c>
      <c r="F6" s="1" t="s">
        <v>153</v>
      </c>
      <c r="G6" s="10" t="s">
        <v>154</v>
      </c>
      <c r="H6" s="15" t="s">
        <v>155</v>
      </c>
      <c r="I6" s="15" t="s">
        <v>156</v>
      </c>
      <c r="J6" s="10">
        <v>3923</v>
      </c>
      <c r="K6" s="1" t="s">
        <v>157</v>
      </c>
      <c r="L6" t="s">
        <v>157</v>
      </c>
      <c r="M6">
        <v>135</v>
      </c>
      <c r="N6" t="str">
        <f>""</f>
        <v/>
      </c>
      <c r="O6" t="str">
        <f>""</f>
        <v/>
      </c>
      <c r="P6" t="str">
        <f>""</f>
        <v/>
      </c>
      <c r="Q6" t="str">
        <f>""</f>
        <v/>
      </c>
      <c r="R6" t="str">
        <f>""</f>
        <v/>
      </c>
      <c r="S6" t="str">
        <f>""</f>
        <v/>
      </c>
      <c r="T6" t="str">
        <f>""</f>
        <v/>
      </c>
      <c r="W6" t="str">
        <f>""</f>
        <v/>
      </c>
    </row>
    <row r="7" spans="1:23" ht="60" x14ac:dyDescent="0.25">
      <c r="A7" s="1">
        <f t="shared" si="0"/>
        <v>6</v>
      </c>
      <c r="B7" s="10">
        <v>1115</v>
      </c>
      <c r="C7" s="10" t="s">
        <v>118</v>
      </c>
      <c r="D7" s="10" t="s">
        <v>158</v>
      </c>
      <c r="E7" s="10" t="s">
        <v>159</v>
      </c>
      <c r="F7" s="1" t="s">
        <v>160</v>
      </c>
      <c r="G7" s="10" t="s">
        <v>161</v>
      </c>
      <c r="H7" s="15" t="s">
        <v>162</v>
      </c>
      <c r="I7" s="15" t="s">
        <v>163</v>
      </c>
      <c r="J7" s="10">
        <v>3525</v>
      </c>
      <c r="K7" s="1" t="s">
        <v>164</v>
      </c>
      <c r="L7" t="s">
        <v>150</v>
      </c>
      <c r="M7">
        <v>24</v>
      </c>
      <c r="N7" t="str">
        <f>""</f>
        <v/>
      </c>
      <c r="O7" t="str">
        <f>""</f>
        <v/>
      </c>
      <c r="P7" t="str">
        <f>""</f>
        <v/>
      </c>
      <c r="Q7" t="str">
        <f>""</f>
        <v/>
      </c>
      <c r="R7" t="str">
        <f>""</f>
        <v/>
      </c>
      <c r="S7" t="str">
        <f>""</f>
        <v/>
      </c>
      <c r="T7" t="str">
        <f>""</f>
        <v/>
      </c>
      <c r="W7" t="str">
        <f>""</f>
        <v/>
      </c>
    </row>
    <row r="8" spans="1:23" ht="60" x14ac:dyDescent="0.25">
      <c r="A8" s="1">
        <f t="shared" si="0"/>
        <v>7</v>
      </c>
      <c r="B8" s="10">
        <v>1118</v>
      </c>
      <c r="C8" s="10" t="s">
        <v>118</v>
      </c>
      <c r="D8" s="10" t="s">
        <v>165</v>
      </c>
      <c r="E8" s="10" t="s">
        <v>166</v>
      </c>
      <c r="F8" s="1" t="s">
        <v>167</v>
      </c>
      <c r="G8" s="10" t="s">
        <v>168</v>
      </c>
      <c r="H8" s="15" t="s">
        <v>169</v>
      </c>
      <c r="I8" s="15" t="s">
        <v>170</v>
      </c>
      <c r="J8" s="10">
        <v>2404</v>
      </c>
      <c r="K8" s="1" t="s">
        <v>171</v>
      </c>
      <c r="L8" t="s">
        <v>172</v>
      </c>
      <c r="M8">
        <v>1</v>
      </c>
      <c r="N8" t="str">
        <f>""</f>
        <v/>
      </c>
      <c r="O8" t="str">
        <f>""</f>
        <v/>
      </c>
      <c r="P8" t="str">
        <f>""</f>
        <v/>
      </c>
      <c r="Q8" t="str">
        <f>""</f>
        <v/>
      </c>
      <c r="R8" t="str">
        <f>""</f>
        <v/>
      </c>
      <c r="S8" t="str">
        <f>""</f>
        <v/>
      </c>
      <c r="T8" t="str">
        <f>""</f>
        <v/>
      </c>
      <c r="W8" t="str">
        <f>""</f>
        <v/>
      </c>
    </row>
    <row r="9" spans="1:23" ht="45" x14ac:dyDescent="0.25">
      <c r="A9" s="1">
        <f t="shared" si="0"/>
        <v>8</v>
      </c>
      <c r="B9" s="10">
        <v>350</v>
      </c>
      <c r="C9" s="10" t="s">
        <v>118</v>
      </c>
      <c r="D9" s="10" t="s">
        <v>173</v>
      </c>
      <c r="E9" s="10" t="s">
        <v>174</v>
      </c>
      <c r="F9" s="1" t="s">
        <v>175</v>
      </c>
      <c r="G9" s="10" t="s">
        <v>176</v>
      </c>
      <c r="H9" s="15" t="s">
        <v>177</v>
      </c>
      <c r="I9" s="15" t="s">
        <v>178</v>
      </c>
      <c r="J9" s="10">
        <v>3830</v>
      </c>
      <c r="K9" s="1" t="s">
        <v>179</v>
      </c>
      <c r="L9" t="s">
        <v>180</v>
      </c>
      <c r="M9">
        <v>22</v>
      </c>
      <c r="N9" t="str">
        <f>""</f>
        <v/>
      </c>
      <c r="O9" t="str">
        <f>""</f>
        <v/>
      </c>
      <c r="P9" t="str">
        <f>""</f>
        <v/>
      </c>
      <c r="Q9" t="str">
        <f>""</f>
        <v/>
      </c>
      <c r="R9" t="str">
        <f>""</f>
        <v/>
      </c>
      <c r="S9" t="str">
        <f>""</f>
        <v/>
      </c>
      <c r="T9" t="str">
        <f>""</f>
        <v/>
      </c>
      <c r="W9" t="str">
        <f>""</f>
        <v/>
      </c>
    </row>
    <row r="10" spans="1:23" ht="120" x14ac:dyDescent="0.25">
      <c r="A10" s="1">
        <f t="shared" si="0"/>
        <v>9</v>
      </c>
      <c r="B10" s="10">
        <v>3156</v>
      </c>
      <c r="C10" s="10" t="s">
        <v>118</v>
      </c>
      <c r="D10" s="10" t="s">
        <v>181</v>
      </c>
      <c r="E10" s="10" t="s">
        <v>182</v>
      </c>
      <c r="F10" s="1" t="s">
        <v>183</v>
      </c>
      <c r="G10" s="10" t="s">
        <v>184</v>
      </c>
      <c r="H10" s="15" t="s">
        <v>185</v>
      </c>
      <c r="I10" s="15" t="s">
        <v>186</v>
      </c>
      <c r="J10" s="10">
        <v>3533</v>
      </c>
      <c r="K10" s="1" t="s">
        <v>187</v>
      </c>
      <c r="L10" t="s">
        <v>188</v>
      </c>
      <c r="M10">
        <v>10</v>
      </c>
      <c r="N10" t="str">
        <f>""</f>
        <v/>
      </c>
      <c r="O10" t="str">
        <f>""</f>
        <v/>
      </c>
      <c r="P10" t="str">
        <f>""</f>
        <v/>
      </c>
      <c r="Q10" t="str">
        <f>""</f>
        <v/>
      </c>
      <c r="R10" t="str">
        <f>""</f>
        <v/>
      </c>
      <c r="S10" t="str">
        <f>""</f>
        <v/>
      </c>
      <c r="T10" t="str">
        <f>""</f>
        <v/>
      </c>
      <c r="W10" t="str">
        <f>""</f>
        <v/>
      </c>
    </row>
    <row r="11" spans="1:23" x14ac:dyDescent="0.25">
      <c r="A11" s="1">
        <f t="shared" si="0"/>
        <v>10</v>
      </c>
      <c r="B11" s="10">
        <v>1126</v>
      </c>
      <c r="C11" s="10" t="s">
        <v>118</v>
      </c>
      <c r="D11" s="10" t="s">
        <v>189</v>
      </c>
      <c r="E11" s="10" t="s">
        <v>190</v>
      </c>
      <c r="F11" s="1" t="s">
        <v>183</v>
      </c>
      <c r="G11" s="10" t="s">
        <v>184</v>
      </c>
      <c r="H11" s="15" t="s">
        <v>191</v>
      </c>
      <c r="I11" s="15"/>
      <c r="N11" t="str">
        <f>""</f>
        <v/>
      </c>
      <c r="O11" t="str">
        <f>""</f>
        <v/>
      </c>
      <c r="P11" t="str">
        <f>""</f>
        <v/>
      </c>
      <c r="Q11" t="str">
        <f>""</f>
        <v/>
      </c>
      <c r="R11" t="str">
        <f>""</f>
        <v/>
      </c>
      <c r="S11" t="str">
        <f>""</f>
        <v/>
      </c>
      <c r="T11" t="str">
        <f>""</f>
        <v/>
      </c>
      <c r="W11" t="str">
        <f>""</f>
        <v/>
      </c>
    </row>
    <row r="12" spans="1:23" ht="45" x14ac:dyDescent="0.25">
      <c r="A12" s="1">
        <f t="shared" si="0"/>
        <v>11</v>
      </c>
      <c r="B12" s="10">
        <v>630</v>
      </c>
      <c r="C12" s="10" t="s">
        <v>118</v>
      </c>
      <c r="D12" s="10" t="s">
        <v>192</v>
      </c>
      <c r="E12" s="10" t="s">
        <v>193</v>
      </c>
      <c r="F12" s="1" t="s">
        <v>194</v>
      </c>
      <c r="G12" s="10" t="s">
        <v>195</v>
      </c>
      <c r="H12" s="15" t="s">
        <v>196</v>
      </c>
      <c r="I12" s="15" t="s">
        <v>197</v>
      </c>
      <c r="J12" s="10">
        <v>3812</v>
      </c>
      <c r="K12" s="1" t="s">
        <v>198</v>
      </c>
      <c r="L12" t="s">
        <v>199</v>
      </c>
      <c r="M12">
        <v>2</v>
      </c>
      <c r="N12" t="str">
        <f>""</f>
        <v/>
      </c>
      <c r="O12" t="str">
        <f>""</f>
        <v/>
      </c>
      <c r="P12" t="str">
        <f>""</f>
        <v/>
      </c>
      <c r="Q12" t="str">
        <f>""</f>
        <v/>
      </c>
      <c r="R12" t="str">
        <f>""</f>
        <v/>
      </c>
      <c r="S12" t="str">
        <f>""</f>
        <v/>
      </c>
      <c r="T12" t="str">
        <f>""</f>
        <v/>
      </c>
      <c r="W12" t="str">
        <f>""</f>
        <v/>
      </c>
    </row>
    <row r="13" spans="1:23" ht="30" x14ac:dyDescent="0.25">
      <c r="A13" s="1">
        <f t="shared" si="0"/>
        <v>12</v>
      </c>
      <c r="B13" s="10">
        <v>1131</v>
      </c>
      <c r="C13" s="10" t="s">
        <v>118</v>
      </c>
      <c r="D13" s="10" t="s">
        <v>189</v>
      </c>
      <c r="E13" s="10" t="s">
        <v>200</v>
      </c>
      <c r="F13" s="1" t="s">
        <v>201</v>
      </c>
      <c r="G13" s="10" t="s">
        <v>202</v>
      </c>
      <c r="H13" s="15" t="s">
        <v>203</v>
      </c>
      <c r="I13" s="15" t="s">
        <v>204</v>
      </c>
      <c r="J13" s="10">
        <v>3914</v>
      </c>
      <c r="K13" s="1" t="s">
        <v>205</v>
      </c>
      <c r="L13" t="s">
        <v>206</v>
      </c>
      <c r="M13">
        <v>7</v>
      </c>
      <c r="N13" t="str">
        <f>""</f>
        <v/>
      </c>
      <c r="O13" t="str">
        <f>""</f>
        <v/>
      </c>
      <c r="P13" t="str">
        <f>""</f>
        <v/>
      </c>
      <c r="Q13" t="str">
        <f>""</f>
        <v/>
      </c>
      <c r="R13" t="str">
        <f>""</f>
        <v/>
      </c>
      <c r="S13" t="str">
        <f>""</f>
        <v/>
      </c>
      <c r="T13" t="str">
        <f>""</f>
        <v/>
      </c>
      <c r="W13" t="str">
        <f>""</f>
        <v/>
      </c>
    </row>
    <row r="14" spans="1:23" ht="105" x14ac:dyDescent="0.25">
      <c r="A14" s="1">
        <f t="shared" si="0"/>
        <v>13</v>
      </c>
      <c r="B14" s="10">
        <v>3117</v>
      </c>
      <c r="C14" s="10" t="s">
        <v>118</v>
      </c>
      <c r="D14" s="10" t="s">
        <v>207</v>
      </c>
      <c r="E14" s="10" t="s">
        <v>208</v>
      </c>
      <c r="F14" s="1" t="s">
        <v>153</v>
      </c>
      <c r="G14" s="10" t="s">
        <v>208</v>
      </c>
      <c r="H14" s="15" t="s">
        <v>209</v>
      </c>
      <c r="I14" s="15" t="s">
        <v>210</v>
      </c>
      <c r="J14" s="10">
        <v>3861</v>
      </c>
      <c r="K14" s="1" t="s">
        <v>211</v>
      </c>
      <c r="L14" t="s">
        <v>212</v>
      </c>
      <c r="M14">
        <v>21</v>
      </c>
      <c r="N14" t="str">
        <f>""</f>
        <v/>
      </c>
      <c r="O14" t="str">
        <f>""</f>
        <v/>
      </c>
      <c r="P14" t="str">
        <f>""</f>
        <v/>
      </c>
      <c r="Q14" t="str">
        <f>""</f>
        <v/>
      </c>
      <c r="R14" t="str">
        <f>""</f>
        <v/>
      </c>
      <c r="S14" t="str">
        <f>""</f>
        <v/>
      </c>
      <c r="T14" t="str">
        <f>""</f>
        <v/>
      </c>
      <c r="W14" t="str">
        <f>""</f>
        <v/>
      </c>
    </row>
    <row r="15" spans="1:23" ht="60" x14ac:dyDescent="0.25">
      <c r="A15" s="1">
        <f t="shared" si="0"/>
        <v>14</v>
      </c>
      <c r="B15" s="10">
        <v>3169</v>
      </c>
      <c r="C15" s="10" t="s">
        <v>118</v>
      </c>
      <c r="D15" s="10" t="s">
        <v>213</v>
      </c>
      <c r="E15" s="10" t="s">
        <v>214</v>
      </c>
      <c r="F15" s="1" t="s">
        <v>160</v>
      </c>
      <c r="G15" s="10" t="s">
        <v>215</v>
      </c>
      <c r="H15" s="15" t="s">
        <v>216</v>
      </c>
      <c r="I15" s="15" t="s">
        <v>217</v>
      </c>
      <c r="J15" s="10">
        <v>3571</v>
      </c>
      <c r="K15" s="1" t="s">
        <v>218</v>
      </c>
      <c r="L15" t="s">
        <v>126</v>
      </c>
      <c r="M15">
        <v>649</v>
      </c>
      <c r="N15" t="str">
        <f>""</f>
        <v/>
      </c>
      <c r="O15" t="str">
        <f>""</f>
        <v/>
      </c>
      <c r="P15" t="str">
        <f>""</f>
        <v/>
      </c>
      <c r="Q15" t="str">
        <f>""</f>
        <v/>
      </c>
      <c r="R15" t="str">
        <f>""</f>
        <v/>
      </c>
      <c r="S15" t="str">
        <f>""</f>
        <v/>
      </c>
      <c r="T15" t="str">
        <f>""</f>
        <v/>
      </c>
      <c r="W15" t="str">
        <f>""</f>
        <v/>
      </c>
    </row>
    <row r="16" spans="1:23" ht="45" x14ac:dyDescent="0.25">
      <c r="A16" s="1">
        <f t="shared" si="0"/>
        <v>15</v>
      </c>
      <c r="B16" s="10">
        <v>1128</v>
      </c>
      <c r="C16" s="10" t="s">
        <v>118</v>
      </c>
      <c r="D16" s="10" t="s">
        <v>219</v>
      </c>
      <c r="E16" s="10" t="s">
        <v>220</v>
      </c>
      <c r="F16" s="1" t="s">
        <v>221</v>
      </c>
      <c r="G16" s="10" t="s">
        <v>222</v>
      </c>
      <c r="H16" s="15" t="s">
        <v>223</v>
      </c>
      <c r="I16" s="15" t="s">
        <v>224</v>
      </c>
      <c r="J16" s="10">
        <v>1010</v>
      </c>
      <c r="K16" s="1" t="s">
        <v>27</v>
      </c>
      <c r="L16" t="s">
        <v>225</v>
      </c>
      <c r="N16" t="str">
        <f>""</f>
        <v/>
      </c>
      <c r="O16" t="str">
        <f>""</f>
        <v/>
      </c>
      <c r="P16" t="str">
        <f>""</f>
        <v/>
      </c>
      <c r="Q16" t="str">
        <f>""</f>
        <v/>
      </c>
      <c r="R16" t="str">
        <f>""</f>
        <v/>
      </c>
      <c r="S16" t="str">
        <f>""</f>
        <v/>
      </c>
      <c r="T16" t="str">
        <f>""</f>
        <v/>
      </c>
      <c r="W16" t="str">
        <f>""</f>
        <v/>
      </c>
    </row>
    <row r="17" spans="1:23" ht="45" x14ac:dyDescent="0.25">
      <c r="A17" s="1">
        <f t="shared" si="0"/>
        <v>16</v>
      </c>
      <c r="B17" s="10">
        <v>3069</v>
      </c>
      <c r="C17" s="10" t="s">
        <v>118</v>
      </c>
      <c r="D17" s="10" t="s">
        <v>226</v>
      </c>
      <c r="E17" s="10" t="s">
        <v>227</v>
      </c>
      <c r="F17" s="1" t="s">
        <v>145</v>
      </c>
      <c r="G17" s="10" t="s">
        <v>228</v>
      </c>
      <c r="H17" s="15" t="s">
        <v>229</v>
      </c>
      <c r="I17" s="15" t="s">
        <v>230</v>
      </c>
      <c r="J17" s="10">
        <v>3571</v>
      </c>
      <c r="K17" s="1" t="s">
        <v>231</v>
      </c>
      <c r="L17" t="s">
        <v>232</v>
      </c>
      <c r="M17">
        <v>635</v>
      </c>
      <c r="N17" t="str">
        <f>""</f>
        <v/>
      </c>
      <c r="O17" t="str">
        <f>""</f>
        <v/>
      </c>
      <c r="P17" t="str">
        <f>""</f>
        <v/>
      </c>
      <c r="Q17" t="str">
        <f>""</f>
        <v/>
      </c>
      <c r="R17" t="str">
        <f>""</f>
        <v/>
      </c>
      <c r="S17" t="str">
        <f>""</f>
        <v/>
      </c>
      <c r="T17" t="str">
        <f>""</f>
        <v/>
      </c>
      <c r="W17" t="str">
        <f>""</f>
        <v/>
      </c>
    </row>
    <row r="18" spans="1:23" ht="30" x14ac:dyDescent="0.25">
      <c r="A18" s="1">
        <f t="shared" si="0"/>
        <v>17</v>
      </c>
      <c r="B18" s="10">
        <v>855</v>
      </c>
      <c r="C18" s="10" t="s">
        <v>118</v>
      </c>
      <c r="E18" s="10" t="s">
        <v>233</v>
      </c>
      <c r="F18" s="1" t="s">
        <v>234</v>
      </c>
      <c r="G18" s="10" t="s">
        <v>235</v>
      </c>
      <c r="H18" s="15" t="s">
        <v>236</v>
      </c>
      <c r="I18" s="15" t="s">
        <v>237</v>
      </c>
      <c r="J18" s="10">
        <v>3430</v>
      </c>
      <c r="K18" s="1" t="s">
        <v>238</v>
      </c>
      <c r="L18" t="s">
        <v>239</v>
      </c>
      <c r="M18">
        <v>1</v>
      </c>
      <c r="N18" t="str">
        <f>""</f>
        <v/>
      </c>
      <c r="O18" t="str">
        <f>""</f>
        <v/>
      </c>
      <c r="P18" t="str">
        <f>""</f>
        <v/>
      </c>
      <c r="Q18" t="str">
        <f>""</f>
        <v/>
      </c>
      <c r="R18" t="str">
        <f>""</f>
        <v/>
      </c>
      <c r="S18" t="str">
        <f>""</f>
        <v/>
      </c>
      <c r="T18" t="str">
        <f>""</f>
        <v/>
      </c>
      <c r="W18" t="str">
        <f>""</f>
        <v/>
      </c>
    </row>
    <row r="19" spans="1:23" ht="30" x14ac:dyDescent="0.25">
      <c r="A19" s="1">
        <f t="shared" si="0"/>
        <v>18</v>
      </c>
      <c r="B19" s="10">
        <v>304</v>
      </c>
      <c r="C19" s="10" t="s">
        <v>118</v>
      </c>
      <c r="E19" s="10" t="s">
        <v>240</v>
      </c>
      <c r="F19" s="1" t="s">
        <v>241</v>
      </c>
      <c r="G19" s="10" t="s">
        <v>242</v>
      </c>
      <c r="H19" s="15" t="s">
        <v>243</v>
      </c>
      <c r="I19" s="15" t="s">
        <v>244</v>
      </c>
      <c r="J19" s="10">
        <v>3910</v>
      </c>
      <c r="K19" s="1" t="s">
        <v>125</v>
      </c>
      <c r="L19" t="s">
        <v>126</v>
      </c>
      <c r="M19">
        <v>35</v>
      </c>
      <c r="N19" t="str">
        <f>""</f>
        <v/>
      </c>
      <c r="O19" t="str">
        <f>""</f>
        <v/>
      </c>
      <c r="P19" t="str">
        <f>""</f>
        <v/>
      </c>
      <c r="Q19" t="str">
        <f>""</f>
        <v/>
      </c>
      <c r="R19" t="str">
        <f>""</f>
        <v/>
      </c>
      <c r="S19" t="str">
        <f>""</f>
        <v/>
      </c>
      <c r="T19" t="str">
        <f>""</f>
        <v/>
      </c>
      <c r="W19" t="str">
        <f>""</f>
        <v/>
      </c>
    </row>
    <row r="20" spans="1:23" ht="45" x14ac:dyDescent="0.25">
      <c r="A20" s="1">
        <f t="shared" si="0"/>
        <v>19</v>
      </c>
      <c r="B20" s="10">
        <v>321</v>
      </c>
      <c r="C20" s="10" t="s">
        <v>118</v>
      </c>
      <c r="E20" s="10" t="s">
        <v>245</v>
      </c>
      <c r="F20" s="1" t="s">
        <v>246</v>
      </c>
      <c r="G20" s="10" t="s">
        <v>247</v>
      </c>
      <c r="H20" s="15" t="s">
        <v>248</v>
      </c>
      <c r="I20" s="15" t="s">
        <v>249</v>
      </c>
      <c r="J20" s="10">
        <v>3860</v>
      </c>
      <c r="K20" s="1" t="s">
        <v>250</v>
      </c>
      <c r="L20" t="s">
        <v>251</v>
      </c>
      <c r="M20">
        <v>2</v>
      </c>
      <c r="N20" t="str">
        <f>""</f>
        <v/>
      </c>
      <c r="O20" t="str">
        <f>""</f>
        <v/>
      </c>
      <c r="P20" t="str">
        <f>""</f>
        <v/>
      </c>
      <c r="Q20" t="str">
        <f>""</f>
        <v/>
      </c>
      <c r="R20" t="str">
        <f>""</f>
        <v/>
      </c>
      <c r="S20" t="str">
        <f>""</f>
        <v/>
      </c>
      <c r="T20" t="str">
        <f>""</f>
        <v/>
      </c>
      <c r="W20" t="str">
        <f>""</f>
        <v/>
      </c>
    </row>
    <row r="21" spans="1:23" ht="30" x14ac:dyDescent="0.25">
      <c r="A21" s="1">
        <f t="shared" si="0"/>
        <v>20</v>
      </c>
      <c r="B21" s="10">
        <v>329</v>
      </c>
      <c r="C21" s="10" t="s">
        <v>118</v>
      </c>
      <c r="E21" s="10" t="s">
        <v>252</v>
      </c>
      <c r="F21" s="1" t="s">
        <v>253</v>
      </c>
      <c r="G21" s="10" t="s">
        <v>254</v>
      </c>
      <c r="H21" s="15" t="s">
        <v>255</v>
      </c>
      <c r="I21" s="15" t="s">
        <v>256</v>
      </c>
      <c r="J21" s="10">
        <v>3943</v>
      </c>
      <c r="K21" s="1" t="s">
        <v>257</v>
      </c>
      <c r="L21" t="s">
        <v>258</v>
      </c>
      <c r="M21">
        <v>1</v>
      </c>
      <c r="N21" t="str">
        <f>""</f>
        <v/>
      </c>
      <c r="O21" t="str">
        <f>""</f>
        <v/>
      </c>
      <c r="P21" t="str">
        <f>""</f>
        <v/>
      </c>
      <c r="Q21" t="str">
        <f>""</f>
        <v/>
      </c>
      <c r="R21" t="str">
        <f>""</f>
        <v/>
      </c>
      <c r="S21" t="str">
        <f>""</f>
        <v/>
      </c>
      <c r="T21" t="str">
        <f>""</f>
        <v/>
      </c>
      <c r="W21" t="str">
        <f>""</f>
        <v/>
      </c>
    </row>
    <row r="22" spans="1:23" ht="45" x14ac:dyDescent="0.25">
      <c r="A22" s="1">
        <f t="shared" si="0"/>
        <v>21</v>
      </c>
      <c r="B22" s="10">
        <v>370</v>
      </c>
      <c r="C22" s="10" t="s">
        <v>118</v>
      </c>
      <c r="E22" s="10" t="s">
        <v>259</v>
      </c>
      <c r="F22" s="1" t="s">
        <v>260</v>
      </c>
      <c r="G22" s="10" t="s">
        <v>261</v>
      </c>
      <c r="H22" s="15" t="s">
        <v>262</v>
      </c>
      <c r="I22" s="15" t="s">
        <v>263</v>
      </c>
      <c r="J22" s="10">
        <v>3812</v>
      </c>
      <c r="K22" s="1" t="s">
        <v>264</v>
      </c>
      <c r="L22" t="s">
        <v>265</v>
      </c>
      <c r="M22">
        <v>2</v>
      </c>
      <c r="N22" t="str">
        <f>""</f>
        <v/>
      </c>
      <c r="O22" t="str">
        <f>""</f>
        <v/>
      </c>
      <c r="P22" t="str">
        <f>""</f>
        <v/>
      </c>
      <c r="Q22" t="str">
        <f>""</f>
        <v/>
      </c>
      <c r="R22" t="str">
        <f>""</f>
        <v/>
      </c>
      <c r="S22" t="str">
        <f>""</f>
        <v/>
      </c>
      <c r="T22" t="str">
        <f>""</f>
        <v/>
      </c>
      <c r="W22" t="str">
        <f>""</f>
        <v/>
      </c>
    </row>
    <row r="23" spans="1:23" ht="30" x14ac:dyDescent="0.25">
      <c r="A23" s="1">
        <f t="shared" si="0"/>
        <v>22</v>
      </c>
      <c r="B23" s="10">
        <v>3051</v>
      </c>
      <c r="C23" s="10" t="s">
        <v>118</v>
      </c>
      <c r="E23" s="10" t="s">
        <v>266</v>
      </c>
      <c r="F23" s="1" t="s">
        <v>267</v>
      </c>
      <c r="G23" s="10" t="s">
        <v>268</v>
      </c>
      <c r="H23" s="15" t="s">
        <v>269</v>
      </c>
      <c r="I23" s="15" t="s">
        <v>270</v>
      </c>
      <c r="J23" s="10">
        <v>3813</v>
      </c>
      <c r="K23" s="1" t="s">
        <v>271</v>
      </c>
      <c r="L23" t="s">
        <v>150</v>
      </c>
      <c r="M23">
        <v>52</v>
      </c>
      <c r="N23" t="str">
        <f>""</f>
        <v/>
      </c>
      <c r="O23" t="str">
        <f>""</f>
        <v/>
      </c>
      <c r="P23" t="str">
        <f>""</f>
        <v/>
      </c>
      <c r="Q23" t="str">
        <f>""</f>
        <v/>
      </c>
      <c r="R23" t="str">
        <f>""</f>
        <v/>
      </c>
      <c r="S23" t="str">
        <f>""</f>
        <v/>
      </c>
      <c r="T23" t="str">
        <f>""</f>
        <v/>
      </c>
      <c r="W23" t="str">
        <f>""</f>
        <v/>
      </c>
    </row>
    <row r="24" spans="1:23" ht="45" x14ac:dyDescent="0.25">
      <c r="A24" s="1">
        <f t="shared" si="0"/>
        <v>23</v>
      </c>
      <c r="C24" s="10" t="s">
        <v>118</v>
      </c>
      <c r="D24" s="10" t="s">
        <v>272</v>
      </c>
      <c r="G24" s="10"/>
      <c r="H24" s="15" t="s">
        <v>273</v>
      </c>
      <c r="I24" s="15" t="s">
        <v>274</v>
      </c>
      <c r="J24" s="10">
        <v>3500</v>
      </c>
      <c r="K24" s="1" t="s">
        <v>572</v>
      </c>
      <c r="L24" t="s">
        <v>276</v>
      </c>
      <c r="M24">
        <v>5</v>
      </c>
      <c r="N24" t="str">
        <f>""</f>
        <v/>
      </c>
      <c r="O24" t="str">
        <f>""</f>
        <v/>
      </c>
      <c r="P24" t="str">
        <f>""</f>
        <v/>
      </c>
      <c r="Q24" t="str">
        <f>""</f>
        <v/>
      </c>
      <c r="R24" t="str">
        <f>""</f>
        <v/>
      </c>
      <c r="S24" t="str">
        <f>""</f>
        <v/>
      </c>
      <c r="T24" t="str">
        <f>""</f>
        <v/>
      </c>
      <c r="W24" t="str">
        <f>""</f>
        <v/>
      </c>
    </row>
    <row r="25" spans="1:23" ht="30" x14ac:dyDescent="0.25">
      <c r="A25" s="1">
        <f t="shared" si="0"/>
        <v>24</v>
      </c>
      <c r="B25" s="10">
        <v>837</v>
      </c>
      <c r="C25" s="10" t="s">
        <v>118</v>
      </c>
      <c r="D25" s="10" t="s">
        <v>277</v>
      </c>
      <c r="E25" s="10" t="s">
        <v>278</v>
      </c>
      <c r="F25" s="1" t="s">
        <v>279</v>
      </c>
      <c r="G25" s="10" t="s">
        <v>278</v>
      </c>
      <c r="H25" s="15" t="s">
        <v>280</v>
      </c>
      <c r="I25" s="15" t="s">
        <v>281</v>
      </c>
      <c r="J25" s="10">
        <v>3730</v>
      </c>
      <c r="K25" s="1" t="s">
        <v>282</v>
      </c>
      <c r="L25" t="s">
        <v>283</v>
      </c>
      <c r="M25">
        <v>32</v>
      </c>
      <c r="N25" t="str">
        <f>""</f>
        <v/>
      </c>
      <c r="O25" t="str">
        <f>""</f>
        <v/>
      </c>
      <c r="P25" t="str">
        <f>""</f>
        <v/>
      </c>
      <c r="Q25" t="str">
        <f>""</f>
        <v/>
      </c>
      <c r="R25" t="str">
        <f>""</f>
        <v/>
      </c>
      <c r="S25" t="str">
        <f>""</f>
        <v/>
      </c>
      <c r="T25" t="str">
        <f>""</f>
        <v/>
      </c>
      <c r="W25" t="str">
        <f>""</f>
        <v/>
      </c>
    </row>
    <row r="26" spans="1:23" ht="75" x14ac:dyDescent="0.25">
      <c r="A26" s="1">
        <f t="shared" si="0"/>
        <v>25</v>
      </c>
      <c r="B26" s="10">
        <v>3124</v>
      </c>
      <c r="C26" s="10" t="s">
        <v>118</v>
      </c>
      <c r="D26" s="10" t="s">
        <v>284</v>
      </c>
      <c r="E26" s="10" t="s">
        <v>285</v>
      </c>
      <c r="F26" s="1" t="s">
        <v>286</v>
      </c>
      <c r="G26" s="10" t="s">
        <v>287</v>
      </c>
      <c r="H26" s="15" t="s">
        <v>288</v>
      </c>
      <c r="I26" s="15" t="s">
        <v>289</v>
      </c>
      <c r="J26" s="10">
        <v>3500</v>
      </c>
      <c r="K26" s="1" t="s">
        <v>572</v>
      </c>
      <c r="L26" t="s">
        <v>290</v>
      </c>
      <c r="M26">
        <v>18</v>
      </c>
      <c r="N26" t="str">
        <f>""</f>
        <v/>
      </c>
      <c r="O26" t="str">
        <f>""</f>
        <v/>
      </c>
      <c r="P26" t="str">
        <f>""</f>
        <v/>
      </c>
      <c r="Q26" t="str">
        <f>""</f>
        <v/>
      </c>
      <c r="R26" t="str">
        <f>""</f>
        <v/>
      </c>
      <c r="S26" t="str">
        <f>""</f>
        <v/>
      </c>
      <c r="T26" t="str">
        <f>""</f>
        <v/>
      </c>
      <c r="W26" t="str">
        <f>""</f>
        <v/>
      </c>
    </row>
    <row r="27" spans="1:23" ht="60" x14ac:dyDescent="0.25">
      <c r="A27" s="1">
        <f t="shared" si="0"/>
        <v>26</v>
      </c>
      <c r="B27" s="10">
        <v>3138</v>
      </c>
      <c r="C27" s="10" t="s">
        <v>118</v>
      </c>
      <c r="D27" s="10" t="s">
        <v>291</v>
      </c>
      <c r="E27" s="10" t="s">
        <v>292</v>
      </c>
      <c r="F27" s="1" t="s">
        <v>293</v>
      </c>
      <c r="G27" s="10" t="s">
        <v>294</v>
      </c>
      <c r="H27" s="15" t="s">
        <v>295</v>
      </c>
      <c r="I27" s="15" t="s">
        <v>296</v>
      </c>
      <c r="J27" s="10">
        <v>3500</v>
      </c>
      <c r="K27" s="1" t="s">
        <v>572</v>
      </c>
      <c r="L27" t="s">
        <v>297</v>
      </c>
      <c r="N27" t="str">
        <f>""</f>
        <v/>
      </c>
      <c r="O27" t="str">
        <f>""</f>
        <v/>
      </c>
      <c r="P27" t="str">
        <f>""</f>
        <v/>
      </c>
      <c r="Q27" t="str">
        <f>""</f>
        <v/>
      </c>
      <c r="R27" t="str">
        <f>""</f>
        <v/>
      </c>
      <c r="S27" t="str">
        <f>""</f>
        <v/>
      </c>
      <c r="T27" t="str">
        <f>""</f>
        <v/>
      </c>
      <c r="W27" t="str">
        <f>""</f>
        <v/>
      </c>
    </row>
    <row r="28" spans="1:23" ht="45" x14ac:dyDescent="0.25">
      <c r="A28" s="1">
        <f t="shared" si="0"/>
        <v>27</v>
      </c>
      <c r="B28" s="10">
        <v>3145</v>
      </c>
      <c r="C28" s="10" t="s">
        <v>118</v>
      </c>
      <c r="D28" s="10" t="s">
        <v>298</v>
      </c>
      <c r="E28" s="10" t="s">
        <v>299</v>
      </c>
      <c r="F28" s="1" t="s">
        <v>300</v>
      </c>
      <c r="G28" s="10" t="s">
        <v>301</v>
      </c>
      <c r="H28" s="15" t="s">
        <v>302</v>
      </c>
      <c r="I28" s="15" t="s">
        <v>303</v>
      </c>
      <c r="J28" s="10">
        <v>3500</v>
      </c>
      <c r="K28" s="1" t="s">
        <v>572</v>
      </c>
      <c r="L28" t="s">
        <v>304</v>
      </c>
      <c r="M28">
        <v>0</v>
      </c>
      <c r="N28" t="str">
        <f>""</f>
        <v/>
      </c>
      <c r="O28" t="str">
        <f>""</f>
        <v/>
      </c>
      <c r="P28" t="str">
        <f>""</f>
        <v/>
      </c>
      <c r="Q28" t="str">
        <f>""</f>
        <v/>
      </c>
      <c r="R28" t="str">
        <f>""</f>
        <v/>
      </c>
      <c r="S28" t="str">
        <f>""</f>
        <v/>
      </c>
      <c r="T28" t="str">
        <f>""</f>
        <v/>
      </c>
      <c r="W28" t="str">
        <f>""</f>
        <v/>
      </c>
    </row>
    <row r="29" spans="1:23" ht="30" x14ac:dyDescent="0.25">
      <c r="A29" s="1">
        <f t="shared" si="0"/>
        <v>28</v>
      </c>
      <c r="B29" s="10">
        <v>1132</v>
      </c>
      <c r="C29" s="10" t="s">
        <v>118</v>
      </c>
      <c r="E29" s="10" t="s">
        <v>305</v>
      </c>
      <c r="F29" s="1" t="s">
        <v>306</v>
      </c>
      <c r="G29" s="10" t="s">
        <v>307</v>
      </c>
      <c r="H29" s="15" t="s">
        <v>308</v>
      </c>
      <c r="I29" s="15" t="s">
        <v>309</v>
      </c>
      <c r="J29" s="10">
        <v>1030</v>
      </c>
      <c r="K29" s="1" t="s">
        <v>27</v>
      </c>
      <c r="L29" t="s">
        <v>310</v>
      </c>
      <c r="M29">
        <v>25</v>
      </c>
      <c r="N29" t="str">
        <f>""</f>
        <v/>
      </c>
      <c r="O29" t="str">
        <f>""</f>
        <v/>
      </c>
      <c r="P29" t="str">
        <f>""</f>
        <v/>
      </c>
      <c r="Q29" t="str">
        <f>""</f>
        <v/>
      </c>
      <c r="R29" t="str">
        <f>""</f>
        <v/>
      </c>
      <c r="S29" t="str">
        <f>""</f>
        <v/>
      </c>
      <c r="T29" t="str">
        <f>""</f>
        <v/>
      </c>
      <c r="W29" t="str">
        <f>""</f>
        <v/>
      </c>
    </row>
    <row r="30" spans="1:23" ht="45" x14ac:dyDescent="0.25">
      <c r="A30" s="1">
        <f t="shared" si="0"/>
        <v>29</v>
      </c>
      <c r="B30" s="10">
        <v>337</v>
      </c>
      <c r="C30" s="10" t="s">
        <v>118</v>
      </c>
      <c r="D30" s="10" t="s">
        <v>192</v>
      </c>
      <c r="E30" s="10" t="s">
        <v>311</v>
      </c>
      <c r="F30" s="1" t="s">
        <v>312</v>
      </c>
      <c r="G30" s="10" t="s">
        <v>287</v>
      </c>
      <c r="H30" s="15" t="s">
        <v>288</v>
      </c>
      <c r="I30" s="15" t="s">
        <v>289</v>
      </c>
      <c r="J30" s="10">
        <v>3502</v>
      </c>
      <c r="K30" s="1" t="s">
        <v>572</v>
      </c>
      <c r="L30" t="s">
        <v>290</v>
      </c>
      <c r="M30">
        <v>18</v>
      </c>
      <c r="N30" t="str">
        <f>""</f>
        <v/>
      </c>
      <c r="O30" t="str">
        <f>""</f>
        <v/>
      </c>
      <c r="P30" t="str">
        <f>""</f>
        <v/>
      </c>
      <c r="Q30" t="str">
        <f>""</f>
        <v/>
      </c>
      <c r="R30" t="str">
        <f>""</f>
        <v/>
      </c>
      <c r="S30" t="str">
        <f>""</f>
        <v/>
      </c>
      <c r="T30" t="str">
        <f>""</f>
        <v/>
      </c>
      <c r="W30" t="str">
        <f>""</f>
        <v/>
      </c>
    </row>
    <row r="31" spans="1:23" ht="75" x14ac:dyDescent="0.25">
      <c r="A31" s="1">
        <f t="shared" si="0"/>
        <v>30</v>
      </c>
      <c r="B31" s="10">
        <v>3021</v>
      </c>
      <c r="C31" s="10" t="s">
        <v>118</v>
      </c>
      <c r="D31" s="10" t="s">
        <v>313</v>
      </c>
      <c r="E31" s="10" t="s">
        <v>314</v>
      </c>
      <c r="F31" s="1" t="s">
        <v>315</v>
      </c>
      <c r="G31" s="10" t="s">
        <v>316</v>
      </c>
      <c r="H31" s="15" t="s">
        <v>317</v>
      </c>
      <c r="I31" s="15" t="s">
        <v>318</v>
      </c>
      <c r="J31" s="10">
        <v>3633</v>
      </c>
      <c r="K31" s="1" t="s">
        <v>319</v>
      </c>
      <c r="L31" t="s">
        <v>319</v>
      </c>
      <c r="M31">
        <v>2</v>
      </c>
      <c r="N31" t="str">
        <f>""</f>
        <v/>
      </c>
      <c r="O31" t="str">
        <f>""</f>
        <v/>
      </c>
      <c r="P31" t="str">
        <f>""</f>
        <v/>
      </c>
      <c r="Q31" t="str">
        <f>""</f>
        <v/>
      </c>
      <c r="R31" t="str">
        <f>""</f>
        <v/>
      </c>
      <c r="S31" t="str">
        <f>""</f>
        <v/>
      </c>
      <c r="T31" t="str">
        <f>""</f>
        <v/>
      </c>
      <c r="W31" t="str">
        <f>""</f>
        <v/>
      </c>
    </row>
    <row r="32" spans="1:23" x14ac:dyDescent="0.25">
      <c r="A32" s="1">
        <f t="shared" si="0"/>
        <v>31</v>
      </c>
      <c r="B32" s="10">
        <v>3143</v>
      </c>
      <c r="C32" s="10" t="s">
        <v>118</v>
      </c>
      <c r="E32" s="10" t="s">
        <v>320</v>
      </c>
      <c r="G32" s="10"/>
      <c r="H32" s="15" t="s">
        <v>191</v>
      </c>
      <c r="I32" s="15"/>
      <c r="M32">
        <v>0</v>
      </c>
      <c r="N32" t="str">
        <f>""</f>
        <v/>
      </c>
      <c r="O32" t="str">
        <f>""</f>
        <v/>
      </c>
      <c r="P32" t="str">
        <f>""</f>
        <v/>
      </c>
      <c r="Q32" t="str">
        <f>""</f>
        <v/>
      </c>
      <c r="R32" t="str">
        <f>""</f>
        <v/>
      </c>
      <c r="S32" t="str">
        <f>""</f>
        <v/>
      </c>
      <c r="T32" t="str">
        <f>""</f>
        <v/>
      </c>
      <c r="W32" t="str">
        <f>""</f>
        <v/>
      </c>
    </row>
    <row r="33" spans="1:23" ht="30" x14ac:dyDescent="0.25">
      <c r="A33" s="1">
        <f t="shared" si="0"/>
        <v>32</v>
      </c>
      <c r="B33" s="10">
        <v>3166</v>
      </c>
      <c r="C33" s="10" t="s">
        <v>118</v>
      </c>
      <c r="D33" s="10" t="s">
        <v>277</v>
      </c>
      <c r="E33" s="10" t="s">
        <v>321</v>
      </c>
      <c r="F33" s="1" t="s">
        <v>322</v>
      </c>
      <c r="G33" s="10" t="s">
        <v>323</v>
      </c>
      <c r="H33" s="15" t="s">
        <v>191</v>
      </c>
      <c r="I33" s="15" t="s">
        <v>324</v>
      </c>
      <c r="J33" s="10">
        <v>3571</v>
      </c>
      <c r="K33" s="1" t="s">
        <v>133</v>
      </c>
      <c r="L33" t="s">
        <v>325</v>
      </c>
      <c r="M33">
        <v>55</v>
      </c>
      <c r="N33" t="str">
        <f>""</f>
        <v/>
      </c>
      <c r="O33" t="str">
        <f>""</f>
        <v/>
      </c>
      <c r="P33" t="str">
        <f>""</f>
        <v/>
      </c>
      <c r="Q33" t="str">
        <f>""</f>
        <v/>
      </c>
      <c r="R33" t="str">
        <f>""</f>
        <v/>
      </c>
      <c r="S33" t="str">
        <f>""</f>
        <v/>
      </c>
      <c r="T33" t="str">
        <f>""</f>
        <v/>
      </c>
      <c r="W33" t="str">
        <f>""</f>
        <v/>
      </c>
    </row>
    <row r="34" spans="1:23" ht="30" x14ac:dyDescent="0.25">
      <c r="A34" s="1">
        <f t="shared" si="0"/>
        <v>33</v>
      </c>
      <c r="B34" s="10">
        <v>737</v>
      </c>
      <c r="C34" s="10" t="s">
        <v>118</v>
      </c>
      <c r="E34" s="10" t="s">
        <v>326</v>
      </c>
      <c r="G34" s="10"/>
      <c r="H34" s="15" t="s">
        <v>191</v>
      </c>
      <c r="I34" s="15"/>
      <c r="M34">
        <v>0</v>
      </c>
      <c r="N34" t="str">
        <f>""</f>
        <v/>
      </c>
      <c r="O34" t="str">
        <f>""</f>
        <v/>
      </c>
      <c r="P34" t="str">
        <f>""</f>
        <v/>
      </c>
      <c r="Q34" t="str">
        <f>""</f>
        <v/>
      </c>
      <c r="R34" t="str">
        <f>""</f>
        <v/>
      </c>
      <c r="S34" t="str">
        <f>""</f>
        <v/>
      </c>
      <c r="T34" t="str">
        <f>""</f>
        <v/>
      </c>
      <c r="W34" t="str">
        <f>""</f>
        <v/>
      </c>
    </row>
    <row r="35" spans="1:23" x14ac:dyDescent="0.25">
      <c r="A35" s="1">
        <f t="shared" si="0"/>
        <v>34</v>
      </c>
      <c r="B35" s="10">
        <v>851</v>
      </c>
      <c r="C35" s="10" t="s">
        <v>118</v>
      </c>
      <c r="E35" s="10" t="s">
        <v>327</v>
      </c>
      <c r="G35" s="10"/>
      <c r="H35" s="15" t="s">
        <v>328</v>
      </c>
      <c r="I35" s="15"/>
      <c r="M35">
        <v>0</v>
      </c>
      <c r="N35" t="str">
        <f>""</f>
        <v/>
      </c>
      <c r="O35" t="str">
        <f>""</f>
        <v/>
      </c>
      <c r="P35" t="str">
        <f>""</f>
        <v/>
      </c>
      <c r="Q35" t="str">
        <f>""</f>
        <v/>
      </c>
      <c r="R35" t="str">
        <f>""</f>
        <v/>
      </c>
      <c r="S35" t="str">
        <f>""</f>
        <v/>
      </c>
      <c r="T35" t="str">
        <f>""</f>
        <v/>
      </c>
      <c r="W35" t="str">
        <f>""</f>
        <v/>
      </c>
    </row>
    <row r="36" spans="1:23" x14ac:dyDescent="0.25">
      <c r="A36" s="1">
        <f t="shared" si="0"/>
        <v>35</v>
      </c>
      <c r="B36" s="10">
        <v>856</v>
      </c>
      <c r="C36" s="10" t="s">
        <v>118</v>
      </c>
      <c r="E36" s="10" t="s">
        <v>329</v>
      </c>
      <c r="G36" s="10"/>
      <c r="H36" s="15" t="s">
        <v>191</v>
      </c>
      <c r="I36" s="15"/>
      <c r="M36">
        <v>0</v>
      </c>
      <c r="N36" t="str">
        <f>""</f>
        <v/>
      </c>
      <c r="O36" t="str">
        <f>""</f>
        <v/>
      </c>
      <c r="P36" t="str">
        <f>""</f>
        <v/>
      </c>
      <c r="Q36" t="str">
        <f>""</f>
        <v/>
      </c>
      <c r="R36" t="str">
        <f>""</f>
        <v/>
      </c>
      <c r="S36" t="str">
        <f>""</f>
        <v/>
      </c>
      <c r="T36" t="str">
        <f>""</f>
        <v/>
      </c>
      <c r="W36" t="str">
        <f>""</f>
        <v/>
      </c>
    </row>
    <row r="37" spans="1:23" x14ac:dyDescent="0.25">
      <c r="A37" s="1">
        <f t="shared" si="0"/>
        <v>36</v>
      </c>
      <c r="B37" s="10">
        <v>774</v>
      </c>
      <c r="C37" s="10" t="s">
        <v>118</v>
      </c>
      <c r="D37" s="10" t="s">
        <v>330</v>
      </c>
      <c r="E37" s="10" t="s">
        <v>331</v>
      </c>
      <c r="G37" s="10"/>
      <c r="H37" s="15" t="s">
        <v>191</v>
      </c>
      <c r="I37" s="15"/>
      <c r="M37">
        <v>0</v>
      </c>
      <c r="N37" t="str">
        <f>""</f>
        <v/>
      </c>
      <c r="O37" t="str">
        <f>""</f>
        <v/>
      </c>
      <c r="P37" t="str">
        <f>""</f>
        <v/>
      </c>
      <c r="Q37" t="str">
        <f>""</f>
        <v/>
      </c>
      <c r="R37" t="str">
        <f>""</f>
        <v/>
      </c>
      <c r="S37" t="str">
        <f>""</f>
        <v/>
      </c>
      <c r="T37" t="str">
        <f>""</f>
        <v/>
      </c>
      <c r="W37" t="str">
        <f>""</f>
        <v/>
      </c>
    </row>
    <row r="38" spans="1:23" x14ac:dyDescent="0.25">
      <c r="A38" s="1">
        <f t="shared" si="0"/>
        <v>37</v>
      </c>
      <c r="B38" s="10">
        <v>814</v>
      </c>
      <c r="C38" s="10" t="s">
        <v>118</v>
      </c>
      <c r="E38" s="10" t="s">
        <v>332</v>
      </c>
      <c r="G38" s="10"/>
      <c r="H38" s="15" t="s">
        <v>191</v>
      </c>
      <c r="I38" s="15"/>
      <c r="M38">
        <v>0</v>
      </c>
      <c r="N38" t="str">
        <f>""</f>
        <v/>
      </c>
      <c r="O38" t="str">
        <f>""</f>
        <v/>
      </c>
      <c r="P38" t="str">
        <f>""</f>
        <v/>
      </c>
      <c r="Q38" t="str">
        <f>""</f>
        <v/>
      </c>
      <c r="R38" t="str">
        <f>""</f>
        <v/>
      </c>
      <c r="S38" t="str">
        <f>""</f>
        <v/>
      </c>
      <c r="T38" t="str">
        <f>""</f>
        <v/>
      </c>
      <c r="W38" t="str">
        <f>""</f>
        <v/>
      </c>
    </row>
    <row r="39" spans="1:23" ht="60" x14ac:dyDescent="0.25">
      <c r="A39" s="1">
        <f t="shared" si="0"/>
        <v>38</v>
      </c>
      <c r="B39" s="10">
        <v>445</v>
      </c>
      <c r="C39" s="10" t="s">
        <v>118</v>
      </c>
      <c r="D39" s="10" t="s">
        <v>333</v>
      </c>
      <c r="E39" s="10" t="s">
        <v>334</v>
      </c>
      <c r="F39" s="1" t="s">
        <v>335</v>
      </c>
      <c r="G39" s="10" t="s">
        <v>336</v>
      </c>
      <c r="H39" s="15" t="s">
        <v>191</v>
      </c>
      <c r="I39" s="15"/>
      <c r="J39" s="10">
        <v>3860</v>
      </c>
      <c r="K39" s="1" t="s">
        <v>250</v>
      </c>
      <c r="L39" t="s">
        <v>337</v>
      </c>
      <c r="M39">
        <v>10</v>
      </c>
      <c r="N39" t="str">
        <f>""</f>
        <v/>
      </c>
      <c r="O39" t="str">
        <f>""</f>
        <v/>
      </c>
      <c r="P39" t="str">
        <f>""</f>
        <v/>
      </c>
      <c r="Q39" t="str">
        <f>""</f>
        <v/>
      </c>
      <c r="R39" t="str">
        <f>""</f>
        <v/>
      </c>
      <c r="S39" t="str">
        <f>""</f>
        <v/>
      </c>
      <c r="T39" t="str">
        <f>""</f>
        <v/>
      </c>
      <c r="W39" t="str">
        <f>""</f>
        <v/>
      </c>
    </row>
    <row r="40" spans="1:23" ht="90" x14ac:dyDescent="0.25">
      <c r="A40" s="1">
        <f t="shared" si="0"/>
        <v>39</v>
      </c>
      <c r="B40" s="10">
        <v>307</v>
      </c>
      <c r="C40" s="10" t="s">
        <v>118</v>
      </c>
      <c r="D40" s="10" t="s">
        <v>338</v>
      </c>
      <c r="E40" s="10" t="s">
        <v>339</v>
      </c>
      <c r="G40" s="10"/>
      <c r="H40" s="15" t="s">
        <v>191</v>
      </c>
      <c r="I40" s="15"/>
      <c r="J40" s="10">
        <v>3743</v>
      </c>
      <c r="K40" s="1" t="s">
        <v>340</v>
      </c>
      <c r="L40" t="s">
        <v>341</v>
      </c>
      <c r="M40">
        <v>46</v>
      </c>
      <c r="N40" t="str">
        <f>""</f>
        <v/>
      </c>
      <c r="O40" t="str">
        <f>""</f>
        <v/>
      </c>
      <c r="P40" t="str">
        <f>""</f>
        <v/>
      </c>
      <c r="Q40" t="str">
        <f>""</f>
        <v/>
      </c>
      <c r="R40" t="str">
        <f>""</f>
        <v/>
      </c>
      <c r="S40" t="str">
        <f>""</f>
        <v/>
      </c>
      <c r="T40" t="str">
        <f>""</f>
        <v/>
      </c>
      <c r="W40" t="str">
        <f>""</f>
        <v/>
      </c>
    </row>
    <row r="41" spans="1:23" ht="30" x14ac:dyDescent="0.25">
      <c r="A41" s="1">
        <f t="shared" si="0"/>
        <v>40</v>
      </c>
      <c r="B41" s="10">
        <v>497</v>
      </c>
      <c r="C41" s="10" t="s">
        <v>118</v>
      </c>
      <c r="D41" s="10" t="s">
        <v>298</v>
      </c>
      <c r="E41" s="10" t="s">
        <v>342</v>
      </c>
      <c r="F41" s="1" t="s">
        <v>201</v>
      </c>
      <c r="G41" s="10" t="s">
        <v>343</v>
      </c>
      <c r="H41" s="15" t="s">
        <v>191</v>
      </c>
      <c r="I41" s="15"/>
      <c r="J41" s="10">
        <v>3902</v>
      </c>
      <c r="K41" s="1" t="s">
        <v>344</v>
      </c>
      <c r="L41" t="s">
        <v>345</v>
      </c>
      <c r="M41">
        <v>5</v>
      </c>
      <c r="N41" t="str">
        <f>""</f>
        <v/>
      </c>
      <c r="O41" t="str">
        <f>""</f>
        <v/>
      </c>
      <c r="P41" t="str">
        <f>""</f>
        <v/>
      </c>
      <c r="Q41" t="str">
        <f>""</f>
        <v/>
      </c>
      <c r="R41" t="str">
        <f>""</f>
        <v/>
      </c>
      <c r="S41" t="str">
        <f>""</f>
        <v/>
      </c>
      <c r="T41" t="str">
        <f>""</f>
        <v/>
      </c>
      <c r="W41" t="str">
        <f>""</f>
        <v/>
      </c>
    </row>
    <row r="42" spans="1:23" ht="60" x14ac:dyDescent="0.25">
      <c r="A42" s="1">
        <f t="shared" si="0"/>
        <v>41</v>
      </c>
      <c r="B42" s="10">
        <v>479</v>
      </c>
      <c r="C42" s="10" t="s">
        <v>118</v>
      </c>
      <c r="D42" s="10" t="s">
        <v>346</v>
      </c>
      <c r="E42" s="10" t="s">
        <v>347</v>
      </c>
      <c r="F42" s="1" t="s">
        <v>348</v>
      </c>
      <c r="G42" s="10" t="s">
        <v>349</v>
      </c>
      <c r="H42" s="15" t="s">
        <v>191</v>
      </c>
      <c r="I42" s="15"/>
      <c r="J42" s="10">
        <v>3532</v>
      </c>
      <c r="K42" s="1" t="s">
        <v>350</v>
      </c>
      <c r="L42" t="s">
        <v>350</v>
      </c>
      <c r="M42">
        <v>173</v>
      </c>
      <c r="N42" t="str">
        <f>""</f>
        <v/>
      </c>
      <c r="O42" t="str">
        <f>""</f>
        <v/>
      </c>
      <c r="P42" t="str">
        <f>""</f>
        <v/>
      </c>
      <c r="Q42" t="str">
        <f>""</f>
        <v/>
      </c>
      <c r="R42" t="str">
        <f>""</f>
        <v/>
      </c>
      <c r="S42" t="str">
        <f>""</f>
        <v/>
      </c>
      <c r="T42" t="str">
        <f>""</f>
        <v/>
      </c>
      <c r="W42" t="str">
        <f>""</f>
        <v/>
      </c>
    </row>
    <row r="43" spans="1:23" ht="30" x14ac:dyDescent="0.25">
      <c r="A43" s="1">
        <f t="shared" si="0"/>
        <v>42</v>
      </c>
      <c r="B43" s="10">
        <v>567</v>
      </c>
      <c r="C43" s="10" t="s">
        <v>118</v>
      </c>
      <c r="D43" s="10" t="s">
        <v>351</v>
      </c>
      <c r="E43" s="10" t="s">
        <v>352</v>
      </c>
      <c r="F43" s="1" t="s">
        <v>353</v>
      </c>
      <c r="G43" s="10" t="s">
        <v>354</v>
      </c>
      <c r="H43" s="15" t="s">
        <v>355</v>
      </c>
      <c r="I43" s="15" t="s">
        <v>356</v>
      </c>
      <c r="J43" s="10">
        <v>3591</v>
      </c>
      <c r="K43" s="1" t="s">
        <v>357</v>
      </c>
      <c r="L43" t="s">
        <v>358</v>
      </c>
      <c r="M43">
        <v>13</v>
      </c>
      <c r="N43" t="str">
        <f>""</f>
        <v/>
      </c>
      <c r="O43" t="str">
        <f>""</f>
        <v/>
      </c>
      <c r="P43" t="str">
        <f>""</f>
        <v/>
      </c>
      <c r="Q43" t="str">
        <f>""</f>
        <v/>
      </c>
      <c r="R43" t="str">
        <f>""</f>
        <v/>
      </c>
      <c r="S43" t="str">
        <f>""</f>
        <v/>
      </c>
      <c r="T43" t="str">
        <f>""</f>
        <v/>
      </c>
      <c r="W43" t="str">
        <f>""</f>
        <v/>
      </c>
    </row>
    <row r="44" spans="1:23" ht="30" x14ac:dyDescent="0.25">
      <c r="A44" s="1">
        <f t="shared" si="0"/>
        <v>43</v>
      </c>
      <c r="B44" s="10">
        <v>562</v>
      </c>
      <c r="C44" s="10" t="s">
        <v>118</v>
      </c>
      <c r="D44" s="10" t="s">
        <v>359</v>
      </c>
      <c r="E44" s="10" t="s">
        <v>360</v>
      </c>
      <c r="G44" s="10"/>
      <c r="H44" s="15" t="s">
        <v>361</v>
      </c>
      <c r="I44" s="15" t="s">
        <v>362</v>
      </c>
      <c r="J44" s="10">
        <v>3753</v>
      </c>
      <c r="K44" s="1" t="s">
        <v>363</v>
      </c>
      <c r="L44" t="s">
        <v>363</v>
      </c>
      <c r="M44">
        <v>1</v>
      </c>
      <c r="N44" t="str">
        <f>""</f>
        <v/>
      </c>
      <c r="O44" t="str">
        <f>""</f>
        <v/>
      </c>
      <c r="P44" t="str">
        <f>""</f>
        <v/>
      </c>
      <c r="Q44" t="str">
        <f>""</f>
        <v/>
      </c>
      <c r="R44" t="str">
        <f>""</f>
        <v/>
      </c>
      <c r="S44" t="str">
        <f>""</f>
        <v/>
      </c>
      <c r="T44" t="str">
        <f>""</f>
        <v/>
      </c>
      <c r="W44" t="str">
        <f>""</f>
        <v/>
      </c>
    </row>
    <row r="45" spans="1:23" ht="75" x14ac:dyDescent="0.25">
      <c r="A45" s="1">
        <f t="shared" si="0"/>
        <v>44</v>
      </c>
      <c r="B45" s="10">
        <v>609</v>
      </c>
      <c r="C45" s="10" t="s">
        <v>118</v>
      </c>
      <c r="D45" s="10" t="s">
        <v>364</v>
      </c>
      <c r="E45" s="10" t="s">
        <v>365</v>
      </c>
      <c r="F45" s="1" t="s">
        <v>129</v>
      </c>
      <c r="G45" s="10" t="s">
        <v>130</v>
      </c>
      <c r="H45" s="15" t="s">
        <v>131</v>
      </c>
      <c r="I45" s="15" t="s">
        <v>132</v>
      </c>
      <c r="J45" s="10">
        <v>3571</v>
      </c>
      <c r="K45" s="1" t="s">
        <v>133</v>
      </c>
      <c r="L45" t="s">
        <v>232</v>
      </c>
      <c r="M45">
        <v>113</v>
      </c>
      <c r="N45" t="str">
        <f>""</f>
        <v/>
      </c>
      <c r="O45" t="str">
        <f>""</f>
        <v/>
      </c>
      <c r="P45" t="str">
        <f>""</f>
        <v/>
      </c>
      <c r="Q45" t="str">
        <f>""</f>
        <v/>
      </c>
      <c r="R45" t="str">
        <f>""</f>
        <v/>
      </c>
      <c r="S45" t="str">
        <f>""</f>
        <v/>
      </c>
      <c r="T45" t="str">
        <f>""</f>
        <v/>
      </c>
      <c r="W45" t="str">
        <f>""</f>
        <v/>
      </c>
    </row>
    <row r="46" spans="1:23" ht="45" x14ac:dyDescent="0.25">
      <c r="A46" s="1">
        <f t="shared" si="0"/>
        <v>45</v>
      </c>
      <c r="B46" s="10">
        <v>481</v>
      </c>
      <c r="C46" s="10" t="s">
        <v>118</v>
      </c>
      <c r="D46" s="10" t="s">
        <v>366</v>
      </c>
      <c r="E46" s="10" t="s">
        <v>367</v>
      </c>
      <c r="G46" s="10"/>
      <c r="H46" s="15" t="s">
        <v>191</v>
      </c>
      <c r="I46" s="15"/>
      <c r="J46" s="10">
        <v>3903</v>
      </c>
      <c r="K46" s="1" t="s">
        <v>368</v>
      </c>
      <c r="L46" t="s">
        <v>368</v>
      </c>
      <c r="M46">
        <v>21</v>
      </c>
      <c r="N46" t="str">
        <f>""</f>
        <v/>
      </c>
      <c r="O46" t="str">
        <f>""</f>
        <v/>
      </c>
      <c r="P46" t="str">
        <f>""</f>
        <v/>
      </c>
      <c r="Q46" t="str">
        <f>""</f>
        <v/>
      </c>
      <c r="R46" t="str">
        <f>""</f>
        <v/>
      </c>
      <c r="S46" t="str">
        <f>""</f>
        <v/>
      </c>
      <c r="T46" t="str">
        <f>""</f>
        <v/>
      </c>
      <c r="W46" t="str">
        <f>""</f>
        <v/>
      </c>
    </row>
    <row r="47" spans="1:23" ht="60" x14ac:dyDescent="0.25">
      <c r="A47" s="1">
        <f t="shared" si="0"/>
        <v>46</v>
      </c>
      <c r="B47" s="10">
        <v>363</v>
      </c>
      <c r="C47" s="10" t="s">
        <v>118</v>
      </c>
      <c r="D47" s="10" t="s">
        <v>369</v>
      </c>
      <c r="E47" s="10" t="s">
        <v>370</v>
      </c>
      <c r="G47" s="10"/>
      <c r="H47" s="15" t="s">
        <v>191</v>
      </c>
      <c r="I47" s="15"/>
      <c r="J47" s="10">
        <v>3830</v>
      </c>
      <c r="K47" s="1" t="s">
        <v>371</v>
      </c>
      <c r="L47" t="s">
        <v>372</v>
      </c>
      <c r="M47">
        <v>45</v>
      </c>
      <c r="N47" t="str">
        <f>""</f>
        <v/>
      </c>
      <c r="O47" t="str">
        <f>""</f>
        <v/>
      </c>
      <c r="P47" t="str">
        <f>""</f>
        <v/>
      </c>
      <c r="Q47" t="str">
        <f>""</f>
        <v/>
      </c>
      <c r="R47" t="str">
        <f>""</f>
        <v/>
      </c>
      <c r="S47" t="str">
        <f>""</f>
        <v/>
      </c>
      <c r="T47" t="str">
        <f>""</f>
        <v/>
      </c>
      <c r="W47" t="str">
        <f>""</f>
        <v/>
      </c>
    </row>
    <row r="48" spans="1:23" ht="120" x14ac:dyDescent="0.25">
      <c r="A48" s="1">
        <f t="shared" si="0"/>
        <v>47</v>
      </c>
      <c r="B48" s="10">
        <v>303</v>
      </c>
      <c r="C48" s="10" t="s">
        <v>118</v>
      </c>
      <c r="D48" s="10" t="s">
        <v>373</v>
      </c>
      <c r="E48" s="10" t="s">
        <v>374</v>
      </c>
      <c r="F48" s="1" t="s">
        <v>375</v>
      </c>
      <c r="G48" s="10" t="s">
        <v>376</v>
      </c>
      <c r="H48" s="15" t="s">
        <v>191</v>
      </c>
      <c r="I48" s="15"/>
      <c r="J48" s="10">
        <v>3830</v>
      </c>
      <c r="K48" s="1" t="s">
        <v>371</v>
      </c>
      <c r="L48" t="s">
        <v>377</v>
      </c>
      <c r="M48">
        <v>7</v>
      </c>
      <c r="N48" t="str">
        <f>""</f>
        <v/>
      </c>
      <c r="O48" t="str">
        <f>""</f>
        <v/>
      </c>
      <c r="P48" t="str">
        <f>""</f>
        <v/>
      </c>
      <c r="Q48" t="str">
        <f>""</f>
        <v/>
      </c>
      <c r="R48" t="str">
        <f>""</f>
        <v/>
      </c>
      <c r="S48" t="str">
        <f>""</f>
        <v/>
      </c>
      <c r="T48" t="str">
        <f>""</f>
        <v/>
      </c>
      <c r="W48" t="str">
        <f>""</f>
        <v/>
      </c>
    </row>
    <row r="49" spans="1:23" ht="30" x14ac:dyDescent="0.25">
      <c r="A49" s="1">
        <f t="shared" si="0"/>
        <v>48</v>
      </c>
      <c r="B49" s="10">
        <v>366</v>
      </c>
      <c r="C49" s="10" t="s">
        <v>118</v>
      </c>
      <c r="E49" s="10" t="s">
        <v>378</v>
      </c>
      <c r="G49" s="10"/>
      <c r="H49" s="15" t="s">
        <v>191</v>
      </c>
      <c r="I49" s="15"/>
      <c r="J49" s="10">
        <v>3852</v>
      </c>
      <c r="K49" s="1" t="s">
        <v>379</v>
      </c>
      <c r="L49" t="s">
        <v>380</v>
      </c>
      <c r="M49">
        <v>15</v>
      </c>
      <c r="N49" t="str">
        <f>""</f>
        <v/>
      </c>
      <c r="O49" t="str">
        <f>""</f>
        <v/>
      </c>
      <c r="P49" t="str">
        <f>""</f>
        <v/>
      </c>
      <c r="Q49" t="str">
        <f>""</f>
        <v/>
      </c>
      <c r="R49" t="str">
        <f>""</f>
        <v/>
      </c>
      <c r="S49" t="str">
        <f>""</f>
        <v/>
      </c>
      <c r="T49" t="str">
        <f>""</f>
        <v/>
      </c>
      <c r="W49" t="str">
        <f>""</f>
        <v/>
      </c>
    </row>
    <row r="50" spans="1:23" ht="120" x14ac:dyDescent="0.25">
      <c r="A50" s="1">
        <f t="shared" si="0"/>
        <v>49</v>
      </c>
      <c r="B50" s="10">
        <v>322</v>
      </c>
      <c r="C50" s="10" t="s">
        <v>118</v>
      </c>
      <c r="D50" s="10" t="s">
        <v>381</v>
      </c>
      <c r="E50" s="10" t="s">
        <v>382</v>
      </c>
      <c r="G50" s="10"/>
      <c r="H50" s="15" t="s">
        <v>191</v>
      </c>
      <c r="I50" s="15"/>
      <c r="J50" s="10">
        <v>3902</v>
      </c>
      <c r="K50" s="1" t="s">
        <v>344</v>
      </c>
      <c r="L50" t="s">
        <v>383</v>
      </c>
      <c r="M50">
        <v>3</v>
      </c>
      <c r="N50" t="str">
        <f>""</f>
        <v/>
      </c>
      <c r="O50" t="str">
        <f>""</f>
        <v/>
      </c>
      <c r="P50" t="str">
        <f>""</f>
        <v/>
      </c>
      <c r="Q50" t="str">
        <f>""</f>
        <v/>
      </c>
      <c r="R50" t="str">
        <f>""</f>
        <v/>
      </c>
      <c r="S50" t="str">
        <f>""</f>
        <v/>
      </c>
      <c r="T50" t="str">
        <f>""</f>
        <v/>
      </c>
      <c r="W50" t="str">
        <f>""</f>
        <v/>
      </c>
    </row>
    <row r="51" spans="1:23" ht="75" x14ac:dyDescent="0.25">
      <c r="A51" s="1">
        <f t="shared" si="0"/>
        <v>50</v>
      </c>
      <c r="B51" s="10">
        <v>396</v>
      </c>
      <c r="C51" s="10" t="s">
        <v>118</v>
      </c>
      <c r="D51" s="10" t="s">
        <v>384</v>
      </c>
      <c r="E51" s="10" t="s">
        <v>385</v>
      </c>
      <c r="F51" s="1" t="s">
        <v>386</v>
      </c>
      <c r="G51" s="10" t="s">
        <v>336</v>
      </c>
      <c r="H51" s="15" t="s">
        <v>191</v>
      </c>
      <c r="I51" s="15"/>
      <c r="J51" s="10">
        <v>3754</v>
      </c>
      <c r="K51" s="1" t="s">
        <v>387</v>
      </c>
      <c r="L51" t="s">
        <v>388</v>
      </c>
      <c r="M51">
        <v>10</v>
      </c>
      <c r="N51" t="str">
        <f>""</f>
        <v/>
      </c>
      <c r="O51" t="str">
        <f>""</f>
        <v/>
      </c>
      <c r="P51" t="str">
        <f>""</f>
        <v/>
      </c>
      <c r="Q51" t="str">
        <f>""</f>
        <v/>
      </c>
      <c r="R51" t="str">
        <f>""</f>
        <v/>
      </c>
      <c r="S51" t="str">
        <f>""</f>
        <v/>
      </c>
      <c r="T51" t="str">
        <f>""</f>
        <v/>
      </c>
      <c r="W51" t="str">
        <f>""</f>
        <v/>
      </c>
    </row>
    <row r="52" spans="1:23" ht="75" x14ac:dyDescent="0.25">
      <c r="A52" s="1">
        <f t="shared" si="0"/>
        <v>51</v>
      </c>
      <c r="B52" s="10">
        <v>476</v>
      </c>
      <c r="C52" s="10" t="s">
        <v>118</v>
      </c>
      <c r="D52" s="10" t="s">
        <v>389</v>
      </c>
      <c r="E52" s="10" t="s">
        <v>390</v>
      </c>
      <c r="F52" s="1" t="s">
        <v>391</v>
      </c>
      <c r="G52" s="10" t="s">
        <v>392</v>
      </c>
      <c r="H52" s="15" t="s">
        <v>191</v>
      </c>
      <c r="I52" s="15"/>
      <c r="J52" s="10">
        <v>3631</v>
      </c>
      <c r="K52" s="1" t="s">
        <v>393</v>
      </c>
      <c r="L52" t="s">
        <v>394</v>
      </c>
      <c r="M52">
        <v>37</v>
      </c>
      <c r="N52" t="str">
        <f>""</f>
        <v/>
      </c>
      <c r="O52" t="str">
        <f>""</f>
        <v/>
      </c>
      <c r="P52" t="str">
        <f>""</f>
        <v/>
      </c>
      <c r="Q52" t="str">
        <f>""</f>
        <v/>
      </c>
      <c r="R52" t="str">
        <f>""</f>
        <v/>
      </c>
      <c r="S52" t="str">
        <f>""</f>
        <v/>
      </c>
      <c r="T52" t="str">
        <f>""</f>
        <v/>
      </c>
      <c r="W52" t="str">
        <f>""</f>
        <v/>
      </c>
    </row>
    <row r="53" spans="1:23" ht="75" x14ac:dyDescent="0.25">
      <c r="A53" s="1">
        <f t="shared" si="0"/>
        <v>52</v>
      </c>
      <c r="B53" s="10">
        <v>442</v>
      </c>
      <c r="C53" s="10" t="s">
        <v>118</v>
      </c>
      <c r="D53" s="10" t="s">
        <v>395</v>
      </c>
      <c r="E53" s="10" t="s">
        <v>396</v>
      </c>
      <c r="G53" s="10"/>
      <c r="H53" s="15" t="s">
        <v>191</v>
      </c>
      <c r="I53" s="15"/>
      <c r="J53" s="10">
        <v>3761</v>
      </c>
      <c r="K53" s="1" t="s">
        <v>397</v>
      </c>
      <c r="L53" t="s">
        <v>397</v>
      </c>
      <c r="M53">
        <v>9</v>
      </c>
      <c r="N53" t="str">
        <f>""</f>
        <v/>
      </c>
      <c r="O53" t="str">
        <f>""</f>
        <v/>
      </c>
      <c r="P53" t="str">
        <f>""</f>
        <v/>
      </c>
      <c r="Q53" t="str">
        <f>""</f>
        <v/>
      </c>
      <c r="R53" t="str">
        <f>""</f>
        <v/>
      </c>
      <c r="S53" t="str">
        <f>""</f>
        <v/>
      </c>
      <c r="T53" t="str">
        <f>""</f>
        <v/>
      </c>
      <c r="W53" t="str">
        <f>""</f>
        <v/>
      </c>
    </row>
    <row r="54" spans="1:23" ht="30" x14ac:dyDescent="0.25">
      <c r="A54" s="1">
        <f t="shared" si="0"/>
        <v>53</v>
      </c>
      <c r="B54" s="10">
        <v>487</v>
      </c>
      <c r="C54" s="10" t="s">
        <v>118</v>
      </c>
      <c r="D54" s="10" t="s">
        <v>398</v>
      </c>
      <c r="E54" s="10" t="s">
        <v>399</v>
      </c>
      <c r="F54" s="1" t="s">
        <v>400</v>
      </c>
      <c r="G54" s="10" t="s">
        <v>122</v>
      </c>
      <c r="H54" s="15" t="s">
        <v>401</v>
      </c>
      <c r="I54" s="15" t="s">
        <v>402</v>
      </c>
      <c r="J54" s="10">
        <v>3580</v>
      </c>
      <c r="K54" s="1" t="s">
        <v>103</v>
      </c>
      <c r="L54" t="s">
        <v>372</v>
      </c>
      <c r="M54">
        <v>80</v>
      </c>
      <c r="N54" t="str">
        <f>""</f>
        <v/>
      </c>
      <c r="O54" t="str">
        <f>""</f>
        <v/>
      </c>
      <c r="P54" t="str">
        <f>""</f>
        <v/>
      </c>
      <c r="Q54" t="str">
        <f>""</f>
        <v/>
      </c>
      <c r="R54" t="str">
        <f>""</f>
        <v/>
      </c>
      <c r="S54" t="str">
        <f>""</f>
        <v/>
      </c>
      <c r="T54" t="str">
        <f>""</f>
        <v/>
      </c>
      <c r="W54" t="str">
        <f>""</f>
        <v/>
      </c>
    </row>
    <row r="55" spans="1:23" ht="45" x14ac:dyDescent="0.25">
      <c r="A55" s="1">
        <f t="shared" si="0"/>
        <v>54</v>
      </c>
      <c r="B55" s="10">
        <v>483</v>
      </c>
      <c r="C55" s="10" t="s">
        <v>118</v>
      </c>
      <c r="D55" s="10" t="s">
        <v>403</v>
      </c>
      <c r="E55" s="10" t="s">
        <v>404</v>
      </c>
      <c r="F55" s="1" t="s">
        <v>405</v>
      </c>
      <c r="G55" s="10" t="s">
        <v>406</v>
      </c>
      <c r="H55" s="15" t="s">
        <v>191</v>
      </c>
      <c r="I55" s="15"/>
      <c r="J55" s="10">
        <v>2070</v>
      </c>
      <c r="K55" s="1" t="s">
        <v>407</v>
      </c>
      <c r="L55" t="s">
        <v>408</v>
      </c>
      <c r="M55">
        <v>17</v>
      </c>
      <c r="N55" t="str">
        <f>""</f>
        <v/>
      </c>
      <c r="O55" t="str">
        <f>""</f>
        <v/>
      </c>
      <c r="P55" t="str">
        <f>""</f>
        <v/>
      </c>
      <c r="Q55" t="str">
        <f>""</f>
        <v/>
      </c>
      <c r="R55" t="str">
        <f>""</f>
        <v/>
      </c>
      <c r="S55" t="str">
        <f>""</f>
        <v/>
      </c>
      <c r="T55" t="str">
        <f>""</f>
        <v/>
      </c>
      <c r="W55" t="str">
        <f>""</f>
        <v/>
      </c>
    </row>
    <row r="56" spans="1:23" ht="30" x14ac:dyDescent="0.25">
      <c r="A56" s="1">
        <f t="shared" si="0"/>
        <v>55</v>
      </c>
      <c r="B56" s="10">
        <v>433</v>
      </c>
      <c r="C56" s="10" t="s">
        <v>118</v>
      </c>
      <c r="D56" s="10" t="s">
        <v>409</v>
      </c>
      <c r="E56" s="10" t="s">
        <v>410</v>
      </c>
      <c r="G56" s="10"/>
      <c r="H56" s="15" t="s">
        <v>191</v>
      </c>
      <c r="I56" s="15"/>
      <c r="J56" s="10">
        <v>3943</v>
      </c>
      <c r="K56" s="1" t="s">
        <v>257</v>
      </c>
      <c r="L56" t="s">
        <v>411</v>
      </c>
      <c r="M56">
        <v>14</v>
      </c>
      <c r="N56" t="str">
        <f>""</f>
        <v/>
      </c>
      <c r="O56" t="str">
        <f>""</f>
        <v/>
      </c>
      <c r="P56" t="str">
        <f>""</f>
        <v/>
      </c>
      <c r="Q56" t="str">
        <f>""</f>
        <v/>
      </c>
      <c r="R56" t="str">
        <f>""</f>
        <v/>
      </c>
      <c r="S56" t="str">
        <f>""</f>
        <v/>
      </c>
      <c r="T56" t="str">
        <f>""</f>
        <v/>
      </c>
      <c r="W56" t="str">
        <f>""</f>
        <v/>
      </c>
    </row>
    <row r="57" spans="1:23" ht="60" x14ac:dyDescent="0.25">
      <c r="A57" s="1">
        <f t="shared" si="0"/>
        <v>56</v>
      </c>
      <c r="B57" s="10">
        <v>600</v>
      </c>
      <c r="C57" s="10" t="s">
        <v>118</v>
      </c>
      <c r="D57" s="10" t="s">
        <v>192</v>
      </c>
      <c r="E57" s="10" t="s">
        <v>412</v>
      </c>
      <c r="F57" s="1" t="s">
        <v>405</v>
      </c>
      <c r="G57" s="10" t="s">
        <v>413</v>
      </c>
      <c r="H57" s="15" t="s">
        <v>414</v>
      </c>
      <c r="I57" s="15"/>
      <c r="J57" s="10">
        <v>3830</v>
      </c>
      <c r="K57" s="1" t="s">
        <v>371</v>
      </c>
      <c r="L57" t="s">
        <v>415</v>
      </c>
      <c r="M57">
        <v>28</v>
      </c>
      <c r="N57" t="str">
        <f>""</f>
        <v/>
      </c>
      <c r="O57" t="str">
        <f>""</f>
        <v/>
      </c>
      <c r="P57" t="str">
        <f>""</f>
        <v/>
      </c>
      <c r="Q57" t="str">
        <f>""</f>
        <v/>
      </c>
      <c r="R57" t="str">
        <f>""</f>
        <v/>
      </c>
      <c r="S57" t="str">
        <f>""</f>
        <v/>
      </c>
      <c r="T57" t="str">
        <f>""</f>
        <v/>
      </c>
      <c r="W57" t="str">
        <f>""</f>
        <v/>
      </c>
    </row>
    <row r="58" spans="1:23" ht="135" x14ac:dyDescent="0.25">
      <c r="A58" s="1">
        <f t="shared" si="0"/>
        <v>57</v>
      </c>
      <c r="B58" s="10">
        <v>395</v>
      </c>
      <c r="C58" s="10" t="s">
        <v>118</v>
      </c>
      <c r="D58" s="10" t="s">
        <v>416</v>
      </c>
      <c r="E58" s="10" t="s">
        <v>417</v>
      </c>
      <c r="F58" s="1" t="s">
        <v>418</v>
      </c>
      <c r="G58" s="10" t="s">
        <v>419</v>
      </c>
      <c r="H58" s="15" t="s">
        <v>420</v>
      </c>
      <c r="I58" s="15" t="s">
        <v>421</v>
      </c>
      <c r="J58" s="10">
        <v>3830</v>
      </c>
      <c r="K58" s="1" t="s">
        <v>371</v>
      </c>
      <c r="L58" t="s">
        <v>422</v>
      </c>
      <c r="M58">
        <v>2</v>
      </c>
      <c r="N58" t="str">
        <f>""</f>
        <v/>
      </c>
      <c r="O58" t="str">
        <f>""</f>
        <v/>
      </c>
      <c r="P58" t="str">
        <f>""</f>
        <v/>
      </c>
      <c r="Q58" t="str">
        <f>""</f>
        <v/>
      </c>
      <c r="R58" t="str">
        <f>""</f>
        <v/>
      </c>
      <c r="S58" t="str">
        <f>""</f>
        <v/>
      </c>
      <c r="T58" t="str">
        <f>""</f>
        <v/>
      </c>
      <c r="W58" t="str">
        <f>""</f>
        <v/>
      </c>
    </row>
    <row r="59" spans="1:23" ht="60" x14ac:dyDescent="0.25">
      <c r="A59" s="1">
        <f t="shared" si="0"/>
        <v>58</v>
      </c>
      <c r="B59" s="10">
        <v>550</v>
      </c>
      <c r="C59" s="10" t="s">
        <v>118</v>
      </c>
      <c r="D59" s="10" t="s">
        <v>423</v>
      </c>
      <c r="E59" s="10" t="s">
        <v>424</v>
      </c>
      <c r="F59" s="1" t="s">
        <v>425</v>
      </c>
      <c r="G59" s="10" t="s">
        <v>426</v>
      </c>
      <c r="H59" s="15" t="s">
        <v>191</v>
      </c>
      <c r="I59" s="15"/>
      <c r="J59" s="10">
        <v>3830</v>
      </c>
      <c r="K59" s="1" t="s">
        <v>371</v>
      </c>
      <c r="L59" t="s">
        <v>427</v>
      </c>
      <c r="M59">
        <v>12</v>
      </c>
      <c r="N59" t="str">
        <f>""</f>
        <v/>
      </c>
      <c r="O59" t="str">
        <f>""</f>
        <v/>
      </c>
      <c r="P59" t="str">
        <f>""</f>
        <v/>
      </c>
      <c r="Q59" t="str">
        <f>""</f>
        <v/>
      </c>
      <c r="R59" t="str">
        <f>""</f>
        <v/>
      </c>
      <c r="S59" t="str">
        <f>""</f>
        <v/>
      </c>
      <c r="T59" t="str">
        <f>""</f>
        <v/>
      </c>
      <c r="W59" t="str">
        <f>""</f>
        <v/>
      </c>
    </row>
    <row r="60" spans="1:23" ht="45" x14ac:dyDescent="0.25">
      <c r="A60" s="1">
        <f t="shared" si="0"/>
        <v>59</v>
      </c>
      <c r="B60" s="10">
        <v>348</v>
      </c>
      <c r="C60" s="10" t="s">
        <v>118</v>
      </c>
      <c r="D60" s="10" t="s">
        <v>192</v>
      </c>
      <c r="E60" s="10" t="s">
        <v>428</v>
      </c>
      <c r="F60" s="1" t="s">
        <v>429</v>
      </c>
      <c r="G60" s="10" t="s">
        <v>430</v>
      </c>
      <c r="H60" s="15" t="s">
        <v>431</v>
      </c>
      <c r="I60" s="15" t="s">
        <v>432</v>
      </c>
      <c r="J60" s="10">
        <v>3753</v>
      </c>
      <c r="K60" s="1" t="s">
        <v>433</v>
      </c>
      <c r="L60" t="s">
        <v>434</v>
      </c>
      <c r="M60">
        <v>53</v>
      </c>
      <c r="N60" t="str">
        <f>""</f>
        <v/>
      </c>
      <c r="O60" t="str">
        <f>""</f>
        <v/>
      </c>
      <c r="P60" t="str">
        <f>""</f>
        <v/>
      </c>
      <c r="Q60" t="str">
        <f>""</f>
        <v/>
      </c>
      <c r="R60" t="str">
        <f>""</f>
        <v/>
      </c>
      <c r="S60" t="str">
        <f>""</f>
        <v/>
      </c>
      <c r="T60" t="str">
        <f>""</f>
        <v/>
      </c>
      <c r="W60" t="str">
        <f>""</f>
        <v/>
      </c>
    </row>
    <row r="61" spans="1:23" ht="60" x14ac:dyDescent="0.25">
      <c r="A61" s="1">
        <f t="shared" si="0"/>
        <v>60</v>
      </c>
      <c r="B61" s="10">
        <v>618</v>
      </c>
      <c r="C61" s="10" t="s">
        <v>118</v>
      </c>
      <c r="D61" s="10" t="s">
        <v>435</v>
      </c>
      <c r="E61" s="10" t="s">
        <v>436</v>
      </c>
      <c r="G61" s="10"/>
      <c r="H61" s="15" t="s">
        <v>191</v>
      </c>
      <c r="I61" s="15"/>
      <c r="J61" s="10">
        <v>3834</v>
      </c>
      <c r="K61" s="1" t="s">
        <v>437</v>
      </c>
      <c r="L61" t="s">
        <v>438</v>
      </c>
      <c r="M61">
        <v>33</v>
      </c>
      <c r="N61" t="str">
        <f>""</f>
        <v/>
      </c>
      <c r="O61" t="str">
        <f>""</f>
        <v/>
      </c>
      <c r="P61" t="str">
        <f>""</f>
        <v/>
      </c>
      <c r="Q61" t="str">
        <f>""</f>
        <v/>
      </c>
      <c r="R61" t="str">
        <f>""</f>
        <v/>
      </c>
      <c r="S61" t="str">
        <f>""</f>
        <v/>
      </c>
      <c r="T61" t="str">
        <f>""</f>
        <v/>
      </c>
      <c r="W61" t="str">
        <f>""</f>
        <v/>
      </c>
    </row>
    <row r="62" spans="1:23" ht="60" x14ac:dyDescent="0.25">
      <c r="A62" s="1">
        <f t="shared" si="0"/>
        <v>61</v>
      </c>
      <c r="B62" s="10">
        <v>561</v>
      </c>
      <c r="C62" s="10" t="s">
        <v>118</v>
      </c>
      <c r="D62" s="10" t="s">
        <v>439</v>
      </c>
      <c r="E62" s="10" t="s">
        <v>440</v>
      </c>
      <c r="F62" s="1" t="s">
        <v>441</v>
      </c>
      <c r="G62" s="10" t="s">
        <v>442</v>
      </c>
      <c r="H62" s="15" t="s">
        <v>191</v>
      </c>
      <c r="I62" s="15"/>
      <c r="J62" s="10">
        <v>3713</v>
      </c>
      <c r="K62" s="1" t="s">
        <v>443</v>
      </c>
      <c r="L62" t="s">
        <v>444</v>
      </c>
      <c r="M62">
        <v>41</v>
      </c>
      <c r="N62" t="str">
        <f>""</f>
        <v/>
      </c>
      <c r="O62" t="str">
        <f>""</f>
        <v/>
      </c>
      <c r="P62" t="str">
        <f>""</f>
        <v/>
      </c>
      <c r="Q62" t="str">
        <f>""</f>
        <v/>
      </c>
      <c r="R62" t="str">
        <f>""</f>
        <v/>
      </c>
      <c r="S62" t="str">
        <f>""</f>
        <v/>
      </c>
      <c r="T62" t="str">
        <f>""</f>
        <v/>
      </c>
      <c r="W62" t="str">
        <f>""</f>
        <v/>
      </c>
    </row>
    <row r="63" spans="1:23" ht="105" x14ac:dyDescent="0.25">
      <c r="A63" s="1">
        <f t="shared" si="0"/>
        <v>62</v>
      </c>
      <c r="B63" s="10">
        <v>302</v>
      </c>
      <c r="C63" s="10" t="s">
        <v>118</v>
      </c>
      <c r="D63" s="10" t="s">
        <v>445</v>
      </c>
      <c r="E63" s="10" t="s">
        <v>446</v>
      </c>
      <c r="F63" s="1" t="s">
        <v>348</v>
      </c>
      <c r="G63" s="10" t="s">
        <v>447</v>
      </c>
      <c r="H63" s="15" t="s">
        <v>191</v>
      </c>
      <c r="I63" s="15"/>
      <c r="J63" s="10">
        <v>3592</v>
      </c>
      <c r="K63" s="1" t="s">
        <v>448</v>
      </c>
      <c r="L63" t="s">
        <v>448</v>
      </c>
      <c r="M63">
        <v>35</v>
      </c>
      <c r="N63" t="str">
        <f>""</f>
        <v/>
      </c>
      <c r="O63" t="str">
        <f>""</f>
        <v/>
      </c>
      <c r="P63" t="str">
        <f>""</f>
        <v/>
      </c>
      <c r="Q63" t="str">
        <f>""</f>
        <v/>
      </c>
      <c r="R63" t="str">
        <f>""</f>
        <v/>
      </c>
      <c r="S63" t="str">
        <f>""</f>
        <v/>
      </c>
      <c r="T63" t="str">
        <f>""</f>
        <v/>
      </c>
      <c r="W63" t="str">
        <f>""</f>
        <v/>
      </c>
    </row>
    <row r="64" spans="1:23" ht="75" x14ac:dyDescent="0.25">
      <c r="A64" s="1">
        <f t="shared" si="0"/>
        <v>63</v>
      </c>
      <c r="B64" s="10">
        <v>673</v>
      </c>
      <c r="C64" s="10" t="s">
        <v>118</v>
      </c>
      <c r="D64" s="10" t="s">
        <v>449</v>
      </c>
      <c r="E64" s="10" t="s">
        <v>450</v>
      </c>
      <c r="F64" s="1" t="s">
        <v>260</v>
      </c>
      <c r="G64" s="10" t="s">
        <v>261</v>
      </c>
      <c r="H64" s="15" t="s">
        <v>191</v>
      </c>
      <c r="I64" s="15"/>
      <c r="J64" s="10">
        <v>3812</v>
      </c>
      <c r="K64" s="1" t="s">
        <v>451</v>
      </c>
      <c r="L64" t="s">
        <v>265</v>
      </c>
      <c r="M64">
        <v>2</v>
      </c>
      <c r="N64" t="str">
        <f>""</f>
        <v/>
      </c>
      <c r="O64" t="str">
        <f>""</f>
        <v/>
      </c>
      <c r="P64" t="str">
        <f>""</f>
        <v/>
      </c>
      <c r="Q64" t="str">
        <f>""</f>
        <v/>
      </c>
      <c r="R64" t="str">
        <f>""</f>
        <v/>
      </c>
      <c r="S64" t="str">
        <f>""</f>
        <v/>
      </c>
      <c r="T64" t="str">
        <f>""</f>
        <v/>
      </c>
      <c r="W64" t="str">
        <f>""</f>
        <v/>
      </c>
    </row>
    <row r="65" spans="1:23" ht="75" x14ac:dyDescent="0.25">
      <c r="A65" s="1">
        <f t="shared" si="0"/>
        <v>64</v>
      </c>
      <c r="B65" s="10">
        <v>671</v>
      </c>
      <c r="C65" s="10" t="s">
        <v>118</v>
      </c>
      <c r="D65" s="10" t="s">
        <v>452</v>
      </c>
      <c r="E65" s="10" t="s">
        <v>453</v>
      </c>
      <c r="F65" s="1" t="s">
        <v>348</v>
      </c>
      <c r="G65" s="10" t="s">
        <v>454</v>
      </c>
      <c r="H65" s="15" t="s">
        <v>191</v>
      </c>
      <c r="I65" s="15"/>
      <c r="J65" s="10">
        <v>3943</v>
      </c>
      <c r="K65" s="1" t="s">
        <v>257</v>
      </c>
      <c r="L65" t="s">
        <v>411</v>
      </c>
      <c r="M65">
        <v>3</v>
      </c>
      <c r="N65" t="str">
        <f>""</f>
        <v/>
      </c>
      <c r="O65" t="str">
        <f>""</f>
        <v/>
      </c>
      <c r="P65" t="str">
        <f>""</f>
        <v/>
      </c>
      <c r="Q65" t="str">
        <f>""</f>
        <v/>
      </c>
      <c r="R65" t="str">
        <f>""</f>
        <v/>
      </c>
      <c r="S65" t="str">
        <f>""</f>
        <v/>
      </c>
      <c r="T65" t="str">
        <f>""</f>
        <v/>
      </c>
      <c r="W65" t="str">
        <f>""</f>
        <v/>
      </c>
    </row>
    <row r="66" spans="1:23" ht="75" x14ac:dyDescent="0.25">
      <c r="A66" s="1">
        <f t="shared" si="0"/>
        <v>65</v>
      </c>
      <c r="B66" s="10">
        <v>666</v>
      </c>
      <c r="C66" s="10" t="s">
        <v>118</v>
      </c>
      <c r="D66" s="10" t="s">
        <v>455</v>
      </c>
      <c r="E66" s="10" t="s">
        <v>456</v>
      </c>
      <c r="F66" s="1" t="s">
        <v>391</v>
      </c>
      <c r="G66" s="10" t="s">
        <v>457</v>
      </c>
      <c r="H66" s="15" t="s">
        <v>191</v>
      </c>
      <c r="I66" s="15"/>
      <c r="J66" s="10">
        <v>3812</v>
      </c>
      <c r="K66" s="1" t="s">
        <v>451</v>
      </c>
      <c r="L66" t="s">
        <v>458</v>
      </c>
      <c r="M66">
        <v>16</v>
      </c>
      <c r="N66" t="str">
        <f>""</f>
        <v/>
      </c>
      <c r="O66" t="str">
        <f>""</f>
        <v/>
      </c>
      <c r="P66" t="str">
        <f>""</f>
        <v/>
      </c>
      <c r="Q66" t="str">
        <f>""</f>
        <v/>
      </c>
      <c r="R66" t="str">
        <f>""</f>
        <v/>
      </c>
      <c r="S66" t="str">
        <f>""</f>
        <v/>
      </c>
      <c r="T66" t="str">
        <f>""</f>
        <v/>
      </c>
      <c r="W66" t="str">
        <f>""</f>
        <v/>
      </c>
    </row>
    <row r="67" spans="1:23" ht="90" x14ac:dyDescent="0.25">
      <c r="A67" s="1">
        <f t="shared" ref="A67:A130" si="1">ROW(A67)-1</f>
        <v>66</v>
      </c>
      <c r="B67" s="10">
        <v>664</v>
      </c>
      <c r="C67" s="10" t="s">
        <v>118</v>
      </c>
      <c r="D67" s="10" t="s">
        <v>459</v>
      </c>
      <c r="E67" s="10" t="s">
        <v>460</v>
      </c>
      <c r="F67" s="1" t="s">
        <v>461</v>
      </c>
      <c r="G67" s="10" t="s">
        <v>462</v>
      </c>
      <c r="H67" s="15" t="s">
        <v>191</v>
      </c>
      <c r="I67" s="15"/>
      <c r="J67" s="10">
        <v>3943</v>
      </c>
      <c r="K67" s="1" t="s">
        <v>257</v>
      </c>
      <c r="L67" t="s">
        <v>411</v>
      </c>
      <c r="M67">
        <v>22</v>
      </c>
      <c r="N67" t="str">
        <f>""</f>
        <v/>
      </c>
      <c r="O67" t="str">
        <f>""</f>
        <v/>
      </c>
      <c r="P67" t="str">
        <f>""</f>
        <v/>
      </c>
      <c r="Q67" t="str">
        <f>""</f>
        <v/>
      </c>
      <c r="R67" t="str">
        <f>""</f>
        <v/>
      </c>
      <c r="S67" t="str">
        <f>""</f>
        <v/>
      </c>
      <c r="T67" t="str">
        <f>""</f>
        <v/>
      </c>
      <c r="W67" t="str">
        <f>""</f>
        <v/>
      </c>
    </row>
    <row r="68" spans="1:23" ht="120" x14ac:dyDescent="0.25">
      <c r="A68" s="1">
        <f t="shared" si="1"/>
        <v>67</v>
      </c>
      <c r="B68" s="10">
        <v>688</v>
      </c>
      <c r="C68" s="10" t="s">
        <v>118</v>
      </c>
      <c r="D68" s="10" t="s">
        <v>463</v>
      </c>
      <c r="E68" s="10" t="s">
        <v>464</v>
      </c>
      <c r="F68" s="1" t="s">
        <v>465</v>
      </c>
      <c r="G68" s="10" t="s">
        <v>466</v>
      </c>
      <c r="H68" s="15" t="s">
        <v>191</v>
      </c>
      <c r="I68" s="15"/>
      <c r="J68" s="10">
        <v>3820</v>
      </c>
      <c r="K68" s="1" t="s">
        <v>467</v>
      </c>
      <c r="L68" t="s">
        <v>468</v>
      </c>
      <c r="M68">
        <v>15</v>
      </c>
      <c r="N68" t="str">
        <f>""</f>
        <v/>
      </c>
      <c r="O68" t="str">
        <f>""</f>
        <v/>
      </c>
      <c r="P68" t="str">
        <f>""</f>
        <v/>
      </c>
      <c r="Q68" t="str">
        <f>""</f>
        <v/>
      </c>
      <c r="R68" t="str">
        <f>""</f>
        <v/>
      </c>
      <c r="S68" t="str">
        <f>""</f>
        <v/>
      </c>
      <c r="T68" t="str">
        <f>""</f>
        <v/>
      </c>
      <c r="W68" t="str">
        <f>""</f>
        <v/>
      </c>
    </row>
    <row r="69" spans="1:23" ht="60" x14ac:dyDescent="0.25">
      <c r="A69" s="1">
        <f t="shared" si="1"/>
        <v>68</v>
      </c>
      <c r="B69" s="10">
        <v>624</v>
      </c>
      <c r="C69" s="10" t="s">
        <v>118</v>
      </c>
      <c r="D69" s="10" t="s">
        <v>469</v>
      </c>
      <c r="E69" s="10" t="s">
        <v>470</v>
      </c>
      <c r="G69" s="10"/>
      <c r="H69" s="15" t="s">
        <v>191</v>
      </c>
      <c r="I69" s="15"/>
      <c r="J69" s="10">
        <v>3830</v>
      </c>
      <c r="K69" s="1" t="s">
        <v>471</v>
      </c>
      <c r="L69" t="s">
        <v>472</v>
      </c>
      <c r="M69">
        <v>1</v>
      </c>
      <c r="N69" t="str">
        <f>""</f>
        <v/>
      </c>
      <c r="O69" t="str">
        <f>""</f>
        <v/>
      </c>
      <c r="P69" t="str">
        <f>""</f>
        <v/>
      </c>
      <c r="Q69" t="str">
        <f>""</f>
        <v/>
      </c>
      <c r="R69" t="str">
        <f>""</f>
        <v/>
      </c>
      <c r="S69" t="str">
        <f>""</f>
        <v/>
      </c>
      <c r="T69" t="str">
        <f>""</f>
        <v/>
      </c>
      <c r="W69" t="str">
        <f>""</f>
        <v/>
      </c>
    </row>
    <row r="70" spans="1:23" ht="60" x14ac:dyDescent="0.25">
      <c r="A70" s="1">
        <f t="shared" si="1"/>
        <v>69</v>
      </c>
      <c r="B70" s="10">
        <v>616</v>
      </c>
      <c r="C70" s="10" t="s">
        <v>118</v>
      </c>
      <c r="D70" s="10" t="s">
        <v>473</v>
      </c>
      <c r="E70" s="10" t="s">
        <v>474</v>
      </c>
      <c r="G70" s="10"/>
      <c r="H70" s="15" t="s">
        <v>191</v>
      </c>
      <c r="I70" s="15"/>
      <c r="J70" s="10">
        <v>3721</v>
      </c>
      <c r="K70" s="1" t="s">
        <v>475</v>
      </c>
      <c r="M70">
        <v>0</v>
      </c>
      <c r="N70" t="str">
        <f>""</f>
        <v/>
      </c>
      <c r="O70" t="str">
        <f>""</f>
        <v/>
      </c>
      <c r="P70" t="str">
        <f>""</f>
        <v/>
      </c>
      <c r="Q70" t="str">
        <f>""</f>
        <v/>
      </c>
      <c r="R70" t="str">
        <f>""</f>
        <v/>
      </c>
      <c r="S70" t="str">
        <f>""</f>
        <v/>
      </c>
      <c r="T70" t="str">
        <f>""</f>
        <v/>
      </c>
      <c r="W70" t="str">
        <f>""</f>
        <v/>
      </c>
    </row>
    <row r="71" spans="1:23" ht="60" x14ac:dyDescent="0.25">
      <c r="A71" s="1">
        <f t="shared" si="1"/>
        <v>70</v>
      </c>
      <c r="B71" s="10">
        <v>613</v>
      </c>
      <c r="C71" s="10" t="s">
        <v>118</v>
      </c>
      <c r="D71" s="10" t="s">
        <v>476</v>
      </c>
      <c r="E71" s="10" t="s">
        <v>477</v>
      </c>
      <c r="G71" s="10"/>
      <c r="H71" s="15" t="s">
        <v>191</v>
      </c>
      <c r="I71" s="15"/>
      <c r="J71" s="10">
        <v>2091</v>
      </c>
      <c r="K71" s="1" t="s">
        <v>478</v>
      </c>
      <c r="L71" t="s">
        <v>478</v>
      </c>
      <c r="M71">
        <v>55</v>
      </c>
      <c r="N71" t="str">
        <f>""</f>
        <v/>
      </c>
      <c r="O71" t="str">
        <f>""</f>
        <v/>
      </c>
      <c r="P71" t="str">
        <f>""</f>
        <v/>
      </c>
      <c r="Q71" t="str">
        <f>""</f>
        <v/>
      </c>
      <c r="R71" t="str">
        <f>""</f>
        <v/>
      </c>
      <c r="S71" t="str">
        <f>""</f>
        <v/>
      </c>
      <c r="T71" t="str">
        <f>""</f>
        <v/>
      </c>
      <c r="W71" t="str">
        <f>""</f>
        <v/>
      </c>
    </row>
    <row r="72" spans="1:23" ht="45" x14ac:dyDescent="0.25">
      <c r="A72" s="1">
        <f t="shared" si="1"/>
        <v>71</v>
      </c>
      <c r="B72" s="10">
        <v>612</v>
      </c>
      <c r="C72" s="10" t="s">
        <v>118</v>
      </c>
      <c r="D72" s="10" t="s">
        <v>479</v>
      </c>
      <c r="E72" s="10" t="s">
        <v>480</v>
      </c>
      <c r="F72" s="1" t="s">
        <v>353</v>
      </c>
      <c r="G72" s="10" t="s">
        <v>480</v>
      </c>
      <c r="H72" s="15" t="s">
        <v>191</v>
      </c>
      <c r="I72" s="15"/>
      <c r="M72">
        <v>0</v>
      </c>
      <c r="N72" t="str">
        <f>""</f>
        <v/>
      </c>
      <c r="O72" t="str">
        <f>""</f>
        <v/>
      </c>
      <c r="P72" t="str">
        <f>""</f>
        <v/>
      </c>
      <c r="Q72" t="str">
        <f>""</f>
        <v/>
      </c>
      <c r="R72" t="str">
        <f>""</f>
        <v/>
      </c>
      <c r="S72" t="str">
        <f>""</f>
        <v/>
      </c>
      <c r="T72" t="str">
        <f>""</f>
        <v/>
      </c>
      <c r="W72" t="str">
        <f>""</f>
        <v/>
      </c>
    </row>
    <row r="73" spans="1:23" ht="90" x14ac:dyDescent="0.25">
      <c r="A73" s="1">
        <f t="shared" si="1"/>
        <v>72</v>
      </c>
      <c r="B73" s="10">
        <v>611</v>
      </c>
      <c r="C73" s="10" t="s">
        <v>118</v>
      </c>
      <c r="D73" s="10" t="s">
        <v>481</v>
      </c>
      <c r="E73" s="10" t="s">
        <v>482</v>
      </c>
      <c r="F73" s="1" t="s">
        <v>483</v>
      </c>
      <c r="G73" s="10" t="s">
        <v>484</v>
      </c>
      <c r="H73" s="15" t="s">
        <v>191</v>
      </c>
      <c r="I73" s="15"/>
      <c r="J73" s="10">
        <v>3240</v>
      </c>
      <c r="K73" s="1" t="s">
        <v>485</v>
      </c>
      <c r="L73" t="s">
        <v>486</v>
      </c>
      <c r="M73">
        <v>23</v>
      </c>
      <c r="N73" t="str">
        <f>""</f>
        <v/>
      </c>
      <c r="O73" t="str">
        <f>""</f>
        <v/>
      </c>
      <c r="P73" t="str">
        <f>""</f>
        <v/>
      </c>
      <c r="Q73" t="str">
        <f>""</f>
        <v/>
      </c>
      <c r="R73" t="str">
        <f>""</f>
        <v/>
      </c>
      <c r="S73" t="str">
        <f>""</f>
        <v/>
      </c>
      <c r="T73" t="str">
        <f>""</f>
        <v/>
      </c>
      <c r="W73" t="str">
        <f>""</f>
        <v/>
      </c>
    </row>
    <row r="74" spans="1:23" ht="75" x14ac:dyDescent="0.25">
      <c r="A74" s="1">
        <f t="shared" si="1"/>
        <v>73</v>
      </c>
      <c r="B74" s="10">
        <v>609</v>
      </c>
      <c r="C74" s="10" t="s">
        <v>118</v>
      </c>
      <c r="D74" s="10" t="s">
        <v>487</v>
      </c>
      <c r="E74" s="10" t="s">
        <v>488</v>
      </c>
      <c r="G74" s="10"/>
      <c r="H74" s="15" t="s">
        <v>191</v>
      </c>
      <c r="I74" s="15"/>
      <c r="M74">
        <v>0</v>
      </c>
      <c r="N74" t="str">
        <f>""</f>
        <v/>
      </c>
      <c r="O74" t="str">
        <f>""</f>
        <v/>
      </c>
      <c r="P74" t="str">
        <f>""</f>
        <v/>
      </c>
      <c r="Q74" t="str">
        <f>""</f>
        <v/>
      </c>
      <c r="R74" t="str">
        <f>""</f>
        <v/>
      </c>
      <c r="S74" t="str">
        <f>""</f>
        <v/>
      </c>
      <c r="T74" t="str">
        <f>""</f>
        <v/>
      </c>
      <c r="W74" t="str">
        <f>""</f>
        <v/>
      </c>
    </row>
    <row r="75" spans="1:23" ht="105" x14ac:dyDescent="0.25">
      <c r="A75" s="1">
        <f t="shared" si="1"/>
        <v>74</v>
      </c>
      <c r="B75" s="10">
        <v>693</v>
      </c>
      <c r="C75" s="10" t="s">
        <v>118</v>
      </c>
      <c r="D75" s="10" t="s">
        <v>489</v>
      </c>
      <c r="E75" s="10" t="s">
        <v>490</v>
      </c>
      <c r="F75" s="1" t="s">
        <v>491</v>
      </c>
      <c r="G75" s="10" t="s">
        <v>492</v>
      </c>
      <c r="H75" s="15" t="s">
        <v>191</v>
      </c>
      <c r="I75" s="15"/>
      <c r="J75" s="10">
        <v>3962</v>
      </c>
      <c r="K75" s="1" t="s">
        <v>493</v>
      </c>
      <c r="L75" t="s">
        <v>493</v>
      </c>
      <c r="M75">
        <v>20</v>
      </c>
      <c r="N75" t="str">
        <f>""</f>
        <v/>
      </c>
      <c r="O75" t="str">
        <f>""</f>
        <v/>
      </c>
      <c r="P75" t="str">
        <f>""</f>
        <v/>
      </c>
      <c r="Q75" t="str">
        <f>""</f>
        <v/>
      </c>
      <c r="R75" t="str">
        <f>""</f>
        <v/>
      </c>
      <c r="S75" t="str">
        <f>""</f>
        <v/>
      </c>
      <c r="T75" t="str">
        <f>""</f>
        <v/>
      </c>
      <c r="W75" t="str">
        <f>""</f>
        <v/>
      </c>
    </row>
    <row r="76" spans="1:23" ht="75" x14ac:dyDescent="0.25">
      <c r="A76" s="1">
        <f t="shared" si="1"/>
        <v>75</v>
      </c>
      <c r="B76" s="10">
        <v>568</v>
      </c>
      <c r="C76" s="10" t="s">
        <v>118</v>
      </c>
      <c r="D76" s="10" t="s">
        <v>494</v>
      </c>
      <c r="E76" s="10" t="s">
        <v>495</v>
      </c>
      <c r="G76" s="10"/>
      <c r="H76" s="15" t="s">
        <v>191</v>
      </c>
      <c r="I76" s="15"/>
      <c r="J76" s="10">
        <v>3830</v>
      </c>
      <c r="K76" s="1" t="s">
        <v>371</v>
      </c>
      <c r="L76" t="s">
        <v>372</v>
      </c>
      <c r="M76">
        <v>62</v>
      </c>
      <c r="N76" t="str">
        <f>""</f>
        <v/>
      </c>
      <c r="O76" t="str">
        <f>""</f>
        <v/>
      </c>
      <c r="P76" t="str">
        <f>""</f>
        <v/>
      </c>
      <c r="Q76" t="str">
        <f>""</f>
        <v/>
      </c>
      <c r="R76" t="str">
        <f>""</f>
        <v/>
      </c>
      <c r="S76" t="str">
        <f>""</f>
        <v/>
      </c>
      <c r="T76" t="str">
        <f>""</f>
        <v/>
      </c>
      <c r="W76" t="str">
        <f>""</f>
        <v/>
      </c>
    </row>
    <row r="77" spans="1:23" ht="105" x14ac:dyDescent="0.25">
      <c r="A77" s="1">
        <f t="shared" si="1"/>
        <v>76</v>
      </c>
      <c r="B77" s="10">
        <v>594</v>
      </c>
      <c r="C77" s="10" t="s">
        <v>118</v>
      </c>
      <c r="D77" s="10" t="s">
        <v>496</v>
      </c>
      <c r="E77" s="10" t="s">
        <v>497</v>
      </c>
      <c r="F77" s="1" t="s">
        <v>498</v>
      </c>
      <c r="G77" s="10" t="s">
        <v>202</v>
      </c>
      <c r="H77" s="15" t="s">
        <v>191</v>
      </c>
      <c r="I77" s="15"/>
      <c r="J77" s="10">
        <v>3390</v>
      </c>
      <c r="K77" s="1" t="s">
        <v>499</v>
      </c>
      <c r="L77" t="s">
        <v>500</v>
      </c>
      <c r="M77">
        <v>71</v>
      </c>
      <c r="N77" t="str">
        <f>""</f>
        <v/>
      </c>
      <c r="O77" t="str">
        <f>""</f>
        <v/>
      </c>
      <c r="P77" t="str">
        <f>""</f>
        <v/>
      </c>
      <c r="Q77" t="str">
        <f>""</f>
        <v/>
      </c>
      <c r="R77" t="str">
        <f>""</f>
        <v/>
      </c>
      <c r="S77" t="str">
        <f>""</f>
        <v/>
      </c>
      <c r="T77" t="str">
        <f>""</f>
        <v/>
      </c>
      <c r="W77" t="str">
        <f>""</f>
        <v/>
      </c>
    </row>
    <row r="78" spans="1:23" ht="90" x14ac:dyDescent="0.25">
      <c r="A78" s="1">
        <f t="shared" si="1"/>
        <v>77</v>
      </c>
      <c r="B78" s="10">
        <v>593</v>
      </c>
      <c r="C78" s="10" t="s">
        <v>118</v>
      </c>
      <c r="D78" s="10" t="s">
        <v>501</v>
      </c>
      <c r="E78" s="10" t="s">
        <v>502</v>
      </c>
      <c r="G78" s="10"/>
      <c r="H78" s="15" t="s">
        <v>191</v>
      </c>
      <c r="I78" s="15"/>
      <c r="J78" s="10">
        <v>3863</v>
      </c>
      <c r="K78" s="1" t="s">
        <v>503</v>
      </c>
      <c r="M78">
        <v>0</v>
      </c>
      <c r="N78" t="str">
        <f>""</f>
        <v/>
      </c>
      <c r="O78" t="str">
        <f>""</f>
        <v/>
      </c>
      <c r="P78" t="str">
        <f>""</f>
        <v/>
      </c>
      <c r="Q78" t="str">
        <f>""</f>
        <v/>
      </c>
      <c r="R78" t="str">
        <f>""</f>
        <v/>
      </c>
      <c r="S78" t="str">
        <f>""</f>
        <v/>
      </c>
      <c r="T78" t="str">
        <f>""</f>
        <v/>
      </c>
      <c r="W78" t="str">
        <f>""</f>
        <v/>
      </c>
    </row>
    <row r="79" spans="1:23" ht="60" x14ac:dyDescent="0.25">
      <c r="A79" s="1">
        <f t="shared" si="1"/>
        <v>78</v>
      </c>
      <c r="B79" s="10">
        <v>590</v>
      </c>
      <c r="C79" s="10" t="s">
        <v>118</v>
      </c>
      <c r="D79" s="10" t="s">
        <v>504</v>
      </c>
      <c r="E79" s="10" t="s">
        <v>505</v>
      </c>
      <c r="G79" s="10"/>
      <c r="H79" s="15" t="s">
        <v>191</v>
      </c>
      <c r="I79" s="15"/>
      <c r="M79">
        <v>0</v>
      </c>
      <c r="N79" t="str">
        <f>""</f>
        <v/>
      </c>
      <c r="O79" t="str">
        <f>""</f>
        <v/>
      </c>
      <c r="P79" t="str">
        <f>""</f>
        <v/>
      </c>
      <c r="Q79" t="str">
        <f>""</f>
        <v/>
      </c>
      <c r="R79" t="str">
        <f>""</f>
        <v/>
      </c>
      <c r="S79" t="str">
        <f>""</f>
        <v/>
      </c>
      <c r="T79" t="str">
        <f>""</f>
        <v/>
      </c>
      <c r="W79" t="str">
        <f>""</f>
        <v/>
      </c>
    </row>
    <row r="80" spans="1:23" ht="30" x14ac:dyDescent="0.25">
      <c r="A80" s="1">
        <f t="shared" si="1"/>
        <v>79</v>
      </c>
      <c r="B80" s="10">
        <v>587</v>
      </c>
      <c r="C80" s="10" t="s">
        <v>118</v>
      </c>
      <c r="D80" s="10" t="s">
        <v>506</v>
      </c>
      <c r="E80" s="10" t="s">
        <v>507</v>
      </c>
      <c r="G80" s="10"/>
      <c r="H80" s="15" t="s">
        <v>191</v>
      </c>
      <c r="I80" s="15"/>
      <c r="J80" s="10">
        <v>3843</v>
      </c>
      <c r="K80" s="1" t="s">
        <v>437</v>
      </c>
      <c r="M80">
        <v>0</v>
      </c>
      <c r="N80" t="str">
        <f>""</f>
        <v/>
      </c>
      <c r="O80" t="str">
        <f>""</f>
        <v/>
      </c>
      <c r="P80" t="str">
        <f>""</f>
        <v/>
      </c>
      <c r="Q80" t="str">
        <f>""</f>
        <v/>
      </c>
      <c r="R80" t="str">
        <f>""</f>
        <v/>
      </c>
      <c r="S80" t="str">
        <f>""</f>
        <v/>
      </c>
      <c r="T80" t="str">
        <f>""</f>
        <v/>
      </c>
      <c r="W80" t="str">
        <f>""</f>
        <v/>
      </c>
    </row>
    <row r="81" spans="1:23" ht="105" x14ac:dyDescent="0.25">
      <c r="A81" s="1">
        <f t="shared" si="1"/>
        <v>80</v>
      </c>
      <c r="B81" s="10">
        <v>579</v>
      </c>
      <c r="C81" s="10" t="s">
        <v>118</v>
      </c>
      <c r="D81" s="10" t="s">
        <v>508</v>
      </c>
      <c r="E81" s="10" t="s">
        <v>509</v>
      </c>
      <c r="F81" s="1" t="s">
        <v>510</v>
      </c>
      <c r="G81" s="10" t="s">
        <v>509</v>
      </c>
      <c r="H81" s="15" t="s">
        <v>191</v>
      </c>
      <c r="I81" s="15"/>
      <c r="J81" s="10">
        <v>3830</v>
      </c>
      <c r="K81" s="1" t="s">
        <v>511</v>
      </c>
      <c r="L81" t="s">
        <v>511</v>
      </c>
      <c r="M81">
        <v>11</v>
      </c>
      <c r="N81" t="str">
        <f>""</f>
        <v/>
      </c>
      <c r="O81" t="str">
        <f>""</f>
        <v/>
      </c>
      <c r="P81" t="str">
        <f>""</f>
        <v/>
      </c>
      <c r="Q81" t="str">
        <f>""</f>
        <v/>
      </c>
      <c r="R81" t="str">
        <f>""</f>
        <v/>
      </c>
      <c r="S81" t="str">
        <f>""</f>
        <v/>
      </c>
      <c r="T81" t="str">
        <f>""</f>
        <v/>
      </c>
      <c r="W81" t="str">
        <f>""</f>
        <v/>
      </c>
    </row>
    <row r="82" spans="1:23" ht="60" x14ac:dyDescent="0.25">
      <c r="A82" s="1">
        <f t="shared" si="1"/>
        <v>81</v>
      </c>
      <c r="B82" s="10">
        <v>576</v>
      </c>
      <c r="C82" s="10" t="s">
        <v>118</v>
      </c>
      <c r="D82" s="10" t="s">
        <v>512</v>
      </c>
      <c r="E82" s="10" t="s">
        <v>513</v>
      </c>
      <c r="F82" s="1" t="s">
        <v>129</v>
      </c>
      <c r="G82" s="10" t="s">
        <v>513</v>
      </c>
      <c r="H82" s="15" t="s">
        <v>191</v>
      </c>
      <c r="I82" s="15"/>
      <c r="J82" s="10">
        <v>3720</v>
      </c>
      <c r="K82" s="1" t="s">
        <v>514</v>
      </c>
      <c r="L82" t="s">
        <v>411</v>
      </c>
      <c r="M82">
        <v>4</v>
      </c>
      <c r="N82" t="str">
        <f>""</f>
        <v/>
      </c>
      <c r="O82" t="str">
        <f>""</f>
        <v/>
      </c>
      <c r="P82" t="str">
        <f>""</f>
        <v/>
      </c>
      <c r="Q82" t="str">
        <f>""</f>
        <v/>
      </c>
      <c r="R82" t="str">
        <f>""</f>
        <v/>
      </c>
      <c r="S82" t="str">
        <f>""</f>
        <v/>
      </c>
      <c r="T82" t="str">
        <f>""</f>
        <v/>
      </c>
      <c r="W82" t="str">
        <f>""</f>
        <v/>
      </c>
    </row>
    <row r="83" spans="1:23" ht="60" x14ac:dyDescent="0.25">
      <c r="A83" s="1">
        <f t="shared" si="1"/>
        <v>82</v>
      </c>
      <c r="B83" s="10">
        <v>575</v>
      </c>
      <c r="C83" s="10" t="s">
        <v>118</v>
      </c>
      <c r="D83" s="10" t="s">
        <v>515</v>
      </c>
      <c r="E83" s="10" t="s">
        <v>516</v>
      </c>
      <c r="G83" s="10"/>
      <c r="H83" s="15" t="s">
        <v>191</v>
      </c>
      <c r="I83" s="15"/>
      <c r="J83" s="10">
        <v>3542</v>
      </c>
      <c r="K83" s="1" t="s">
        <v>517</v>
      </c>
      <c r="L83" t="s">
        <v>411</v>
      </c>
      <c r="M83">
        <v>7</v>
      </c>
      <c r="N83" t="str">
        <f>""</f>
        <v/>
      </c>
      <c r="O83" t="str">
        <f>""</f>
        <v/>
      </c>
      <c r="P83" t="str">
        <f>""</f>
        <v/>
      </c>
      <c r="Q83" t="str">
        <f>""</f>
        <v/>
      </c>
      <c r="R83" t="str">
        <f>""</f>
        <v/>
      </c>
      <c r="S83" t="str">
        <f>""</f>
        <v/>
      </c>
      <c r="T83" t="str">
        <f>""</f>
        <v/>
      </c>
      <c r="W83" t="str">
        <f>""</f>
        <v/>
      </c>
    </row>
    <row r="84" spans="1:23" ht="60" x14ac:dyDescent="0.25">
      <c r="A84" s="1">
        <f t="shared" si="1"/>
        <v>83</v>
      </c>
      <c r="B84" s="10">
        <v>555</v>
      </c>
      <c r="C84" s="10" t="s">
        <v>118</v>
      </c>
      <c r="D84" s="10" t="s">
        <v>518</v>
      </c>
      <c r="E84" s="10" t="s">
        <v>519</v>
      </c>
      <c r="G84" s="10"/>
      <c r="H84" s="15" t="s">
        <v>191</v>
      </c>
      <c r="I84" s="15"/>
      <c r="J84" s="10">
        <v>3970</v>
      </c>
      <c r="K84" s="1" t="s">
        <v>520</v>
      </c>
      <c r="L84" t="s">
        <v>521</v>
      </c>
      <c r="M84">
        <v>28</v>
      </c>
      <c r="N84" t="str">
        <f>""</f>
        <v/>
      </c>
      <c r="O84" t="str">
        <f>""</f>
        <v/>
      </c>
      <c r="P84" t="str">
        <f>""</f>
        <v/>
      </c>
      <c r="Q84" t="str">
        <f>""</f>
        <v/>
      </c>
      <c r="R84" t="str">
        <f>""</f>
        <v/>
      </c>
      <c r="S84" t="str">
        <f>""</f>
        <v/>
      </c>
      <c r="T84" t="str">
        <f>""</f>
        <v/>
      </c>
      <c r="W84" t="str">
        <f>""</f>
        <v/>
      </c>
    </row>
    <row r="85" spans="1:23" ht="75" x14ac:dyDescent="0.25">
      <c r="A85" s="1">
        <f t="shared" si="1"/>
        <v>84</v>
      </c>
      <c r="B85" s="10">
        <v>549</v>
      </c>
      <c r="C85" s="10" t="s">
        <v>118</v>
      </c>
      <c r="D85" s="10" t="s">
        <v>522</v>
      </c>
      <c r="E85" s="10" t="s">
        <v>523</v>
      </c>
      <c r="G85" s="10"/>
      <c r="H85" s="15" t="s">
        <v>191</v>
      </c>
      <c r="I85" s="15"/>
      <c r="K85" s="1" t="s">
        <v>524</v>
      </c>
      <c r="M85">
        <v>0</v>
      </c>
      <c r="N85" t="str">
        <f>""</f>
        <v/>
      </c>
      <c r="O85" t="str">
        <f>""</f>
        <v/>
      </c>
      <c r="P85" t="str">
        <f>""</f>
        <v/>
      </c>
      <c r="Q85" t="str">
        <f>""</f>
        <v/>
      </c>
      <c r="R85" t="str">
        <f>""</f>
        <v/>
      </c>
      <c r="S85" t="str">
        <f>""</f>
        <v/>
      </c>
      <c r="T85" t="str">
        <f>""</f>
        <v/>
      </c>
      <c r="W85" t="str">
        <f>""</f>
        <v/>
      </c>
    </row>
    <row r="86" spans="1:23" ht="120" x14ac:dyDescent="0.25">
      <c r="A86" s="1">
        <f t="shared" si="1"/>
        <v>85</v>
      </c>
      <c r="B86" s="10">
        <v>547</v>
      </c>
      <c r="C86" s="10" t="s">
        <v>118</v>
      </c>
      <c r="D86" s="10" t="s">
        <v>525</v>
      </c>
      <c r="E86" s="10" t="s">
        <v>526</v>
      </c>
      <c r="F86" s="1" t="s">
        <v>306</v>
      </c>
      <c r="G86" s="10" t="s">
        <v>527</v>
      </c>
      <c r="H86" s="15" t="s">
        <v>191</v>
      </c>
      <c r="I86" s="15"/>
      <c r="J86" s="10">
        <v>3730</v>
      </c>
      <c r="K86" s="1" t="s">
        <v>282</v>
      </c>
      <c r="L86" t="s">
        <v>528</v>
      </c>
      <c r="M86">
        <v>37</v>
      </c>
      <c r="N86" t="str">
        <f>""</f>
        <v/>
      </c>
      <c r="O86" t="str">
        <f>""</f>
        <v/>
      </c>
      <c r="P86" t="str">
        <f>""</f>
        <v/>
      </c>
      <c r="Q86" t="str">
        <f>""</f>
        <v/>
      </c>
      <c r="R86" t="str">
        <f>""</f>
        <v/>
      </c>
      <c r="S86" t="str">
        <f>""</f>
        <v/>
      </c>
      <c r="T86" t="str">
        <f>""</f>
        <v/>
      </c>
      <c r="W86" t="str">
        <f>""</f>
        <v/>
      </c>
    </row>
    <row r="87" spans="1:23" ht="45" x14ac:dyDescent="0.25">
      <c r="A87" s="1">
        <f t="shared" si="1"/>
        <v>86</v>
      </c>
      <c r="B87" s="10">
        <v>511</v>
      </c>
      <c r="C87" s="10" t="s">
        <v>118</v>
      </c>
      <c r="D87" s="10" t="s">
        <v>529</v>
      </c>
      <c r="E87" s="10" t="s">
        <v>530</v>
      </c>
      <c r="F87" s="1" t="s">
        <v>531</v>
      </c>
      <c r="G87" s="10" t="s">
        <v>532</v>
      </c>
      <c r="H87" s="15" t="s">
        <v>191</v>
      </c>
      <c r="I87" s="15"/>
      <c r="J87" s="10">
        <v>3902</v>
      </c>
      <c r="K87" s="1" t="s">
        <v>344</v>
      </c>
      <c r="L87" t="s">
        <v>533</v>
      </c>
      <c r="M87">
        <v>26</v>
      </c>
      <c r="N87" t="str">
        <f>""</f>
        <v/>
      </c>
      <c r="O87" t="str">
        <f>""</f>
        <v/>
      </c>
      <c r="P87" t="str">
        <f>""</f>
        <v/>
      </c>
      <c r="Q87" t="str">
        <f>""</f>
        <v/>
      </c>
      <c r="R87" t="str">
        <f>""</f>
        <v/>
      </c>
      <c r="S87" t="str">
        <f>""</f>
        <v/>
      </c>
      <c r="T87" t="str">
        <f>""</f>
        <v/>
      </c>
      <c r="W87" t="str">
        <f>""</f>
        <v/>
      </c>
    </row>
    <row r="88" spans="1:23" ht="45" x14ac:dyDescent="0.25">
      <c r="A88" s="1">
        <f t="shared" si="1"/>
        <v>87</v>
      </c>
      <c r="B88" s="10">
        <v>487</v>
      </c>
      <c r="C88" s="10" t="s">
        <v>118</v>
      </c>
      <c r="D88" s="10" t="s">
        <v>534</v>
      </c>
      <c r="E88" s="10" t="s">
        <v>535</v>
      </c>
      <c r="F88" s="1" t="s">
        <v>536</v>
      </c>
      <c r="G88" s="10" t="s">
        <v>537</v>
      </c>
      <c r="H88" s="15" t="s">
        <v>191</v>
      </c>
      <c r="I88" s="15"/>
      <c r="J88" s="10">
        <v>3804</v>
      </c>
      <c r="K88" s="1" t="s">
        <v>538</v>
      </c>
      <c r="M88">
        <v>0</v>
      </c>
      <c r="N88" t="str">
        <f>""</f>
        <v/>
      </c>
      <c r="O88" t="str">
        <f>""</f>
        <v/>
      </c>
      <c r="P88" t="str">
        <f>""</f>
        <v/>
      </c>
      <c r="Q88" t="str">
        <f>""</f>
        <v/>
      </c>
      <c r="R88" t="str">
        <f>""</f>
        <v/>
      </c>
      <c r="S88" t="str">
        <f>""</f>
        <v/>
      </c>
      <c r="T88" t="str">
        <f>""</f>
        <v/>
      </c>
      <c r="W88" t="str">
        <f>""</f>
        <v/>
      </c>
    </row>
    <row r="89" spans="1:23" ht="45" x14ac:dyDescent="0.25">
      <c r="A89" s="1">
        <f t="shared" si="1"/>
        <v>88</v>
      </c>
      <c r="B89" s="10">
        <v>397</v>
      </c>
      <c r="C89" s="10" t="s">
        <v>118</v>
      </c>
      <c r="D89" s="10" t="s">
        <v>539</v>
      </c>
      <c r="E89" s="10" t="s">
        <v>540</v>
      </c>
      <c r="F89" s="1" t="s">
        <v>541</v>
      </c>
      <c r="G89" s="10" t="s">
        <v>542</v>
      </c>
      <c r="H89" s="15" t="s">
        <v>191</v>
      </c>
      <c r="I89" s="15"/>
      <c r="J89" s="10">
        <v>3300</v>
      </c>
      <c r="K89" s="1" t="s">
        <v>543</v>
      </c>
      <c r="L89" t="s">
        <v>544</v>
      </c>
      <c r="M89">
        <v>6</v>
      </c>
      <c r="N89" t="str">
        <f>""</f>
        <v/>
      </c>
      <c r="O89" t="str">
        <f>""</f>
        <v/>
      </c>
      <c r="P89" t="str">
        <f>""</f>
        <v/>
      </c>
      <c r="Q89" t="str">
        <f>""</f>
        <v/>
      </c>
      <c r="R89" t="str">
        <f>""</f>
        <v/>
      </c>
      <c r="S89" t="str">
        <f>""</f>
        <v/>
      </c>
      <c r="T89" t="str">
        <f>""</f>
        <v/>
      </c>
      <c r="W89" t="str">
        <f>""</f>
        <v/>
      </c>
    </row>
    <row r="90" spans="1:23" ht="45" x14ac:dyDescent="0.25">
      <c r="A90" s="1">
        <f t="shared" si="1"/>
        <v>89</v>
      </c>
      <c r="B90" s="10">
        <v>3003</v>
      </c>
      <c r="C90" s="10" t="s">
        <v>118</v>
      </c>
      <c r="D90" s="10" t="s">
        <v>545</v>
      </c>
      <c r="E90" s="10" t="s">
        <v>546</v>
      </c>
      <c r="F90" s="1" t="s">
        <v>547</v>
      </c>
      <c r="G90" s="10" t="s">
        <v>548</v>
      </c>
      <c r="H90" s="15" t="s">
        <v>191</v>
      </c>
      <c r="I90" s="15"/>
      <c r="J90" s="10">
        <v>3970</v>
      </c>
      <c r="K90" s="1" t="s">
        <v>520</v>
      </c>
      <c r="L90" t="s">
        <v>549</v>
      </c>
      <c r="M90">
        <v>53</v>
      </c>
      <c r="N90" t="str">
        <f>""</f>
        <v/>
      </c>
      <c r="O90" t="str">
        <f>""</f>
        <v/>
      </c>
      <c r="P90" t="str">
        <f>""</f>
        <v/>
      </c>
      <c r="Q90" t="str">
        <f>""</f>
        <v/>
      </c>
      <c r="R90" t="str">
        <f>""</f>
        <v/>
      </c>
      <c r="S90" t="str">
        <f>""</f>
        <v/>
      </c>
      <c r="T90" t="str">
        <f>""</f>
        <v/>
      </c>
      <c r="W90" t="str">
        <f>""</f>
        <v/>
      </c>
    </row>
    <row r="91" spans="1:23" ht="45" x14ac:dyDescent="0.25">
      <c r="A91" s="1">
        <f t="shared" si="1"/>
        <v>90</v>
      </c>
      <c r="B91" s="10">
        <v>3001</v>
      </c>
      <c r="C91" s="10" t="s">
        <v>118</v>
      </c>
      <c r="D91" s="10" t="s">
        <v>550</v>
      </c>
      <c r="E91" s="10" t="s">
        <v>551</v>
      </c>
      <c r="F91" s="1" t="s">
        <v>552</v>
      </c>
      <c r="G91" s="10" t="s">
        <v>553</v>
      </c>
      <c r="H91" s="15" t="s">
        <v>191</v>
      </c>
      <c r="I91" s="15"/>
      <c r="J91" s="10">
        <v>3800</v>
      </c>
      <c r="K91" s="1" t="s">
        <v>554</v>
      </c>
      <c r="L91" t="s">
        <v>150</v>
      </c>
      <c r="M91">
        <v>71</v>
      </c>
      <c r="N91" t="str">
        <f>""</f>
        <v/>
      </c>
      <c r="O91" t="str">
        <f>""</f>
        <v/>
      </c>
      <c r="P91" t="str">
        <f>""</f>
        <v/>
      </c>
      <c r="Q91" t="str">
        <f>""</f>
        <v/>
      </c>
      <c r="R91" t="str">
        <f>""</f>
        <v/>
      </c>
      <c r="S91" t="str">
        <f>""</f>
        <v/>
      </c>
      <c r="T91" t="str">
        <f>""</f>
        <v/>
      </c>
      <c r="W91" t="str">
        <f>""</f>
        <v/>
      </c>
    </row>
    <row r="92" spans="1:23" ht="45" x14ac:dyDescent="0.25">
      <c r="A92" s="1">
        <f t="shared" si="1"/>
        <v>91</v>
      </c>
      <c r="B92" s="10">
        <v>3002</v>
      </c>
      <c r="C92" s="10" t="s">
        <v>118</v>
      </c>
      <c r="D92" s="10" t="s">
        <v>555</v>
      </c>
      <c r="E92" s="10" t="s">
        <v>556</v>
      </c>
      <c r="F92" s="1" t="s">
        <v>557</v>
      </c>
      <c r="G92" s="10" t="s">
        <v>558</v>
      </c>
      <c r="H92" s="15" t="s">
        <v>191</v>
      </c>
      <c r="I92" s="15"/>
      <c r="J92" s="10">
        <v>3580</v>
      </c>
      <c r="K92" s="1" t="s">
        <v>103</v>
      </c>
      <c r="L92" t="s">
        <v>559</v>
      </c>
      <c r="M92">
        <v>14</v>
      </c>
      <c r="N92" t="str">
        <f>""</f>
        <v/>
      </c>
      <c r="O92" t="str">
        <f>""</f>
        <v/>
      </c>
      <c r="P92" t="str">
        <f>""</f>
        <v/>
      </c>
      <c r="Q92" t="str">
        <f>""</f>
        <v/>
      </c>
      <c r="R92" t="str">
        <f>""</f>
        <v/>
      </c>
      <c r="S92" t="str">
        <f>""</f>
        <v/>
      </c>
      <c r="T92" t="str">
        <f>""</f>
        <v/>
      </c>
      <c r="W92" t="str">
        <f>""</f>
        <v/>
      </c>
    </row>
    <row r="93" spans="1:23" ht="45" x14ac:dyDescent="0.25">
      <c r="A93" s="1">
        <f t="shared" si="1"/>
        <v>92</v>
      </c>
      <c r="B93" s="10">
        <v>3005</v>
      </c>
      <c r="C93" s="10" t="s">
        <v>118</v>
      </c>
      <c r="D93" s="10" t="s">
        <v>550</v>
      </c>
      <c r="E93" s="10" t="s">
        <v>560</v>
      </c>
      <c r="F93" s="1" t="s">
        <v>561</v>
      </c>
      <c r="G93" s="10" t="s">
        <v>562</v>
      </c>
      <c r="H93" s="15" t="s">
        <v>191</v>
      </c>
      <c r="I93" s="15"/>
      <c r="J93" s="10">
        <v>3842</v>
      </c>
      <c r="K93" s="1" t="s">
        <v>563</v>
      </c>
      <c r="L93" t="s">
        <v>564</v>
      </c>
      <c r="M93">
        <v>2</v>
      </c>
      <c r="N93" t="str">
        <f>""</f>
        <v/>
      </c>
      <c r="O93" t="str">
        <f>""</f>
        <v/>
      </c>
      <c r="P93" t="str">
        <f>""</f>
        <v/>
      </c>
      <c r="Q93" t="str">
        <f>""</f>
        <v/>
      </c>
      <c r="R93" t="str">
        <f>""</f>
        <v/>
      </c>
      <c r="S93" t="str">
        <f>""</f>
        <v/>
      </c>
      <c r="T93" t="str">
        <f>""</f>
        <v/>
      </c>
      <c r="W93" t="str">
        <f>""</f>
        <v/>
      </c>
    </row>
    <row r="94" spans="1:23" ht="45" x14ac:dyDescent="0.25">
      <c r="A94" s="1">
        <f t="shared" si="1"/>
        <v>93</v>
      </c>
      <c r="B94" s="10">
        <v>3006</v>
      </c>
      <c r="C94" s="10" t="s">
        <v>118</v>
      </c>
      <c r="D94" s="10" t="s">
        <v>550</v>
      </c>
      <c r="E94" s="10" t="s">
        <v>565</v>
      </c>
      <c r="F94" s="1" t="s">
        <v>547</v>
      </c>
      <c r="G94" s="10" t="s">
        <v>566</v>
      </c>
      <c r="H94" s="15" t="s">
        <v>191</v>
      </c>
      <c r="I94" s="15"/>
      <c r="J94" s="10">
        <v>3931</v>
      </c>
      <c r="K94" s="1" t="s">
        <v>567</v>
      </c>
      <c r="L94" t="s">
        <v>568</v>
      </c>
      <c r="M94">
        <v>17</v>
      </c>
      <c r="N94" t="str">
        <f>""</f>
        <v/>
      </c>
      <c r="O94" t="str">
        <f>""</f>
        <v/>
      </c>
      <c r="P94" t="str">
        <f>""</f>
        <v/>
      </c>
      <c r="Q94" t="str">
        <f>""</f>
        <v/>
      </c>
      <c r="R94" t="str">
        <f>""</f>
        <v/>
      </c>
      <c r="S94" t="str">
        <f>""</f>
        <v/>
      </c>
      <c r="T94" t="str">
        <f>""</f>
        <v/>
      </c>
      <c r="W94" t="str">
        <f>""</f>
        <v/>
      </c>
    </row>
    <row r="95" spans="1:23" ht="45" x14ac:dyDescent="0.25">
      <c r="A95" s="1">
        <f t="shared" si="1"/>
        <v>94</v>
      </c>
      <c r="B95" s="10">
        <v>3008</v>
      </c>
      <c r="C95" s="10" t="s">
        <v>118</v>
      </c>
      <c r="D95" s="10" t="s">
        <v>550</v>
      </c>
      <c r="E95" s="10" t="s">
        <v>569</v>
      </c>
      <c r="F95" s="1" t="s">
        <v>570</v>
      </c>
      <c r="G95" s="10" t="s">
        <v>571</v>
      </c>
      <c r="H95" s="15" t="s">
        <v>191</v>
      </c>
      <c r="I95" s="15"/>
      <c r="J95" s="10">
        <v>3500</v>
      </c>
      <c r="K95" s="1" t="s">
        <v>572</v>
      </c>
      <c r="L95" t="s">
        <v>573</v>
      </c>
      <c r="M95">
        <v>6</v>
      </c>
      <c r="N95" t="str">
        <f>""</f>
        <v/>
      </c>
      <c r="O95" t="str">
        <f>""</f>
        <v/>
      </c>
      <c r="P95" t="str">
        <f>""</f>
        <v/>
      </c>
      <c r="Q95" t="str">
        <f>""</f>
        <v/>
      </c>
      <c r="R95" t="str">
        <f>""</f>
        <v/>
      </c>
      <c r="S95" t="str">
        <f>""</f>
        <v/>
      </c>
      <c r="T95" t="str">
        <f>""</f>
        <v/>
      </c>
      <c r="W95" t="str">
        <f>""</f>
        <v/>
      </c>
    </row>
    <row r="96" spans="1:23" ht="75" x14ac:dyDescent="0.25">
      <c r="A96" s="1">
        <f t="shared" si="1"/>
        <v>95</v>
      </c>
      <c r="B96" s="10">
        <v>3009</v>
      </c>
      <c r="C96" s="10" t="s">
        <v>118</v>
      </c>
      <c r="D96" s="10" t="s">
        <v>574</v>
      </c>
      <c r="E96" s="10" t="s">
        <v>575</v>
      </c>
      <c r="F96" s="1" t="s">
        <v>561</v>
      </c>
      <c r="G96" s="10" t="s">
        <v>576</v>
      </c>
      <c r="H96" s="15" t="s">
        <v>191</v>
      </c>
      <c r="I96" s="15"/>
      <c r="J96" s="10">
        <v>3843</v>
      </c>
      <c r="K96" s="1" t="s">
        <v>437</v>
      </c>
      <c r="L96" t="s">
        <v>577</v>
      </c>
      <c r="M96">
        <v>42</v>
      </c>
      <c r="N96" t="str">
        <f>""</f>
        <v/>
      </c>
      <c r="O96" t="str">
        <f>""</f>
        <v/>
      </c>
      <c r="P96" t="str">
        <f>""</f>
        <v/>
      </c>
      <c r="Q96" t="str">
        <f>""</f>
        <v/>
      </c>
      <c r="R96" t="str">
        <f>""</f>
        <v/>
      </c>
      <c r="S96" t="str">
        <f>""</f>
        <v/>
      </c>
      <c r="T96" t="str">
        <f>""</f>
        <v/>
      </c>
      <c r="W96" t="str">
        <f>""</f>
        <v/>
      </c>
    </row>
    <row r="97" spans="1:23" ht="75" x14ac:dyDescent="0.25">
      <c r="A97" s="1">
        <f t="shared" si="1"/>
        <v>96</v>
      </c>
      <c r="B97" s="10">
        <v>3010</v>
      </c>
      <c r="C97" s="10" t="s">
        <v>118</v>
      </c>
      <c r="D97" s="10" t="s">
        <v>578</v>
      </c>
      <c r="E97" s="10" t="s">
        <v>579</v>
      </c>
      <c r="F97" s="1" t="s">
        <v>580</v>
      </c>
      <c r="G97" s="10" t="s">
        <v>548</v>
      </c>
      <c r="H97" s="15" t="s">
        <v>191</v>
      </c>
      <c r="I97" s="15"/>
      <c r="J97" s="10">
        <v>3902</v>
      </c>
      <c r="K97" s="1" t="s">
        <v>344</v>
      </c>
      <c r="L97" t="s">
        <v>581</v>
      </c>
      <c r="M97">
        <v>9</v>
      </c>
      <c r="N97" t="str">
        <f>""</f>
        <v/>
      </c>
      <c r="O97" t="str">
        <f>""</f>
        <v/>
      </c>
      <c r="P97" t="str">
        <f>""</f>
        <v/>
      </c>
      <c r="Q97" t="str">
        <f>""</f>
        <v/>
      </c>
      <c r="R97" t="str">
        <f>""</f>
        <v/>
      </c>
      <c r="S97" t="str">
        <f>""</f>
        <v/>
      </c>
      <c r="T97" t="str">
        <f>""</f>
        <v/>
      </c>
      <c r="W97" t="str">
        <f>""</f>
        <v/>
      </c>
    </row>
    <row r="98" spans="1:23" ht="45" x14ac:dyDescent="0.25">
      <c r="A98" s="1">
        <f t="shared" si="1"/>
        <v>97</v>
      </c>
      <c r="B98" s="10">
        <v>3011</v>
      </c>
      <c r="C98" s="10" t="s">
        <v>118</v>
      </c>
      <c r="D98" s="10" t="s">
        <v>550</v>
      </c>
      <c r="E98" s="10" t="s">
        <v>582</v>
      </c>
      <c r="F98" s="1" t="s">
        <v>583</v>
      </c>
      <c r="G98" s="10" t="s">
        <v>584</v>
      </c>
      <c r="H98" s="15" t="s">
        <v>191</v>
      </c>
      <c r="I98" s="15"/>
      <c r="J98" s="10">
        <v>3812</v>
      </c>
      <c r="K98" s="1" t="s">
        <v>585</v>
      </c>
      <c r="L98" t="s">
        <v>586</v>
      </c>
      <c r="M98">
        <v>40</v>
      </c>
      <c r="N98" t="str">
        <f>""</f>
        <v/>
      </c>
      <c r="O98" t="str">
        <f>""</f>
        <v/>
      </c>
      <c r="P98" t="str">
        <f>""</f>
        <v/>
      </c>
      <c r="Q98" t="str">
        <f>""</f>
        <v/>
      </c>
      <c r="R98" t="str">
        <f>""</f>
        <v/>
      </c>
      <c r="S98" t="str">
        <f>""</f>
        <v/>
      </c>
      <c r="T98" t="str">
        <f>""</f>
        <v/>
      </c>
      <c r="W98" t="str">
        <f>""</f>
        <v/>
      </c>
    </row>
    <row r="99" spans="1:23" ht="45" x14ac:dyDescent="0.25">
      <c r="A99" s="1">
        <f t="shared" si="1"/>
        <v>98</v>
      </c>
      <c r="B99" s="10">
        <v>3012</v>
      </c>
      <c r="C99" s="10" t="s">
        <v>118</v>
      </c>
      <c r="D99" s="10" t="s">
        <v>550</v>
      </c>
      <c r="E99" s="10" t="s">
        <v>587</v>
      </c>
      <c r="F99" s="1" t="s">
        <v>588</v>
      </c>
      <c r="G99" s="10" t="s">
        <v>589</v>
      </c>
      <c r="H99" s="15" t="s">
        <v>191</v>
      </c>
      <c r="I99" s="15"/>
      <c r="J99" s="10">
        <v>3800</v>
      </c>
      <c r="K99" s="1" t="s">
        <v>554</v>
      </c>
      <c r="L99" t="s">
        <v>150</v>
      </c>
      <c r="M99">
        <v>69</v>
      </c>
      <c r="N99" t="str">
        <f>""</f>
        <v/>
      </c>
      <c r="O99" t="str">
        <f>""</f>
        <v/>
      </c>
      <c r="P99" t="str">
        <f>""</f>
        <v/>
      </c>
      <c r="Q99" t="str">
        <f>""</f>
        <v/>
      </c>
      <c r="R99" t="str">
        <f>""</f>
        <v/>
      </c>
      <c r="S99" t="str">
        <f>""</f>
        <v/>
      </c>
      <c r="T99" t="str">
        <f>""</f>
        <v/>
      </c>
      <c r="W99" t="str">
        <f>""</f>
        <v/>
      </c>
    </row>
    <row r="100" spans="1:23" ht="45" x14ac:dyDescent="0.25">
      <c r="A100" s="1">
        <f t="shared" si="1"/>
        <v>99</v>
      </c>
      <c r="B100" s="10">
        <v>3013</v>
      </c>
      <c r="C100" s="10" t="s">
        <v>118</v>
      </c>
      <c r="D100" s="10" t="s">
        <v>550</v>
      </c>
      <c r="E100" s="10" t="s">
        <v>590</v>
      </c>
      <c r="F100" s="1" t="s">
        <v>591</v>
      </c>
      <c r="G100" s="10" t="s">
        <v>592</v>
      </c>
      <c r="H100" s="15" t="s">
        <v>191</v>
      </c>
      <c r="I100" s="15"/>
      <c r="J100" s="10">
        <v>3812</v>
      </c>
      <c r="K100" s="1" t="s">
        <v>593</v>
      </c>
      <c r="L100" t="s">
        <v>594</v>
      </c>
      <c r="M100">
        <v>2</v>
      </c>
      <c r="N100" t="str">
        <f>""</f>
        <v/>
      </c>
      <c r="O100" t="str">
        <f>""</f>
        <v/>
      </c>
      <c r="P100" t="str">
        <f>""</f>
        <v/>
      </c>
      <c r="Q100" t="str">
        <f>""</f>
        <v/>
      </c>
      <c r="R100" t="str">
        <f>""</f>
        <v/>
      </c>
      <c r="S100" t="str">
        <f>""</f>
        <v/>
      </c>
      <c r="T100" t="str">
        <f>""</f>
        <v/>
      </c>
      <c r="W100" t="str">
        <f>""</f>
        <v/>
      </c>
    </row>
    <row r="101" spans="1:23" ht="120" x14ac:dyDescent="0.25">
      <c r="A101" s="1">
        <f t="shared" si="1"/>
        <v>100</v>
      </c>
      <c r="B101" s="10">
        <v>3014</v>
      </c>
      <c r="C101" s="10" t="s">
        <v>118</v>
      </c>
      <c r="D101" s="10" t="s">
        <v>595</v>
      </c>
      <c r="E101" s="10" t="s">
        <v>596</v>
      </c>
      <c r="F101" s="1" t="s">
        <v>597</v>
      </c>
      <c r="G101" s="10" t="s">
        <v>598</v>
      </c>
      <c r="H101" s="15" t="s">
        <v>599</v>
      </c>
      <c r="I101" s="15"/>
      <c r="J101" s="10">
        <v>3830</v>
      </c>
      <c r="K101" s="1" t="s">
        <v>371</v>
      </c>
      <c r="L101" t="s">
        <v>600</v>
      </c>
      <c r="M101">
        <v>2</v>
      </c>
      <c r="N101" t="str">
        <f>""</f>
        <v/>
      </c>
      <c r="O101" t="str">
        <f>""</f>
        <v/>
      </c>
      <c r="P101" t="str">
        <f>""</f>
        <v/>
      </c>
      <c r="Q101" t="str">
        <f>""</f>
        <v/>
      </c>
      <c r="R101" t="str">
        <f>""</f>
        <v/>
      </c>
      <c r="S101" t="str">
        <f>""</f>
        <v/>
      </c>
      <c r="T101" t="str">
        <f>""</f>
        <v/>
      </c>
      <c r="W101" t="str">
        <f>""</f>
        <v/>
      </c>
    </row>
    <row r="102" spans="1:23" ht="45" x14ac:dyDescent="0.25">
      <c r="A102" s="1">
        <f t="shared" si="1"/>
        <v>101</v>
      </c>
      <c r="B102" s="10">
        <v>3018</v>
      </c>
      <c r="C102" s="10" t="s">
        <v>118</v>
      </c>
      <c r="D102" s="10" t="s">
        <v>550</v>
      </c>
      <c r="E102" s="10" t="s">
        <v>601</v>
      </c>
      <c r="F102" s="1" t="s">
        <v>315</v>
      </c>
      <c r="G102" s="10" t="s">
        <v>602</v>
      </c>
      <c r="H102" s="15" t="s">
        <v>191</v>
      </c>
      <c r="I102" s="15"/>
      <c r="J102" s="10">
        <v>3623</v>
      </c>
      <c r="K102" s="1" t="s">
        <v>603</v>
      </c>
      <c r="L102" t="s">
        <v>212</v>
      </c>
      <c r="M102">
        <v>3</v>
      </c>
      <c r="N102" t="str">
        <f>""</f>
        <v/>
      </c>
      <c r="O102" t="str">
        <f>""</f>
        <v/>
      </c>
      <c r="P102" t="str">
        <f>""</f>
        <v/>
      </c>
      <c r="Q102" t="str">
        <f>""</f>
        <v/>
      </c>
      <c r="R102" t="str">
        <f>""</f>
        <v/>
      </c>
      <c r="S102" t="str">
        <f>""</f>
        <v/>
      </c>
      <c r="T102" t="str">
        <f>""</f>
        <v/>
      </c>
      <c r="W102" t="str">
        <f>""</f>
        <v/>
      </c>
    </row>
    <row r="103" spans="1:23" ht="30" x14ac:dyDescent="0.25">
      <c r="A103" s="1">
        <f t="shared" si="1"/>
        <v>102</v>
      </c>
      <c r="B103" s="10">
        <v>3020</v>
      </c>
      <c r="C103" s="10" t="s">
        <v>118</v>
      </c>
      <c r="D103" s="10" t="s">
        <v>604</v>
      </c>
      <c r="E103" s="10" t="s">
        <v>605</v>
      </c>
      <c r="F103" s="1" t="s">
        <v>606</v>
      </c>
      <c r="G103" s="10" t="s">
        <v>607</v>
      </c>
      <c r="H103" s="15" t="s">
        <v>191</v>
      </c>
      <c r="I103" s="15"/>
      <c r="J103" s="10">
        <v>2295</v>
      </c>
      <c r="K103" s="1" t="s">
        <v>608</v>
      </c>
      <c r="L103" t="s">
        <v>608</v>
      </c>
      <c r="M103">
        <v>8</v>
      </c>
      <c r="N103" t="str">
        <f>""</f>
        <v/>
      </c>
      <c r="O103" t="str">
        <f>""</f>
        <v/>
      </c>
      <c r="P103" t="str">
        <f>""</f>
        <v/>
      </c>
      <c r="Q103" t="str">
        <f>""</f>
        <v/>
      </c>
      <c r="R103" t="str">
        <f>""</f>
        <v/>
      </c>
      <c r="S103" t="str">
        <f>""</f>
        <v/>
      </c>
      <c r="T103" t="str">
        <f>""</f>
        <v/>
      </c>
      <c r="W103" t="str">
        <f>""</f>
        <v/>
      </c>
    </row>
    <row r="104" spans="1:23" ht="45" x14ac:dyDescent="0.25">
      <c r="A104" s="1">
        <f t="shared" si="1"/>
        <v>103</v>
      </c>
      <c r="B104" s="10">
        <v>3022</v>
      </c>
      <c r="C104" s="10" t="s">
        <v>118</v>
      </c>
      <c r="D104" s="10" t="s">
        <v>550</v>
      </c>
      <c r="E104" s="10" t="s">
        <v>609</v>
      </c>
      <c r="F104" s="1" t="s">
        <v>322</v>
      </c>
      <c r="G104" s="10" t="s">
        <v>610</v>
      </c>
      <c r="H104" s="15" t="s">
        <v>191</v>
      </c>
      <c r="I104" s="15"/>
      <c r="J104" s="10">
        <v>3921</v>
      </c>
      <c r="K104" s="1" t="s">
        <v>611</v>
      </c>
      <c r="L104" t="s">
        <v>612</v>
      </c>
      <c r="M104">
        <v>38</v>
      </c>
      <c r="N104" t="str">
        <f>""</f>
        <v/>
      </c>
      <c r="O104" t="str">
        <f>""</f>
        <v/>
      </c>
      <c r="P104" t="str">
        <f>""</f>
        <v/>
      </c>
      <c r="Q104" t="str">
        <f>""</f>
        <v/>
      </c>
      <c r="R104" t="str">
        <f>""</f>
        <v/>
      </c>
      <c r="S104" t="str">
        <f>""</f>
        <v/>
      </c>
      <c r="T104" t="str">
        <f>""</f>
        <v/>
      </c>
      <c r="W104" t="str">
        <f>""</f>
        <v/>
      </c>
    </row>
    <row r="105" spans="1:23" ht="45" x14ac:dyDescent="0.25">
      <c r="A105" s="1">
        <f t="shared" si="1"/>
        <v>104</v>
      </c>
      <c r="B105" s="10">
        <v>3024</v>
      </c>
      <c r="C105" s="10" t="s">
        <v>118</v>
      </c>
      <c r="D105" s="10" t="s">
        <v>550</v>
      </c>
      <c r="F105" s="1" t="s">
        <v>348</v>
      </c>
      <c r="G105" s="10" t="s">
        <v>613</v>
      </c>
      <c r="H105" s="15" t="s">
        <v>191</v>
      </c>
      <c r="I105" s="15"/>
      <c r="J105" s="10">
        <v>3812</v>
      </c>
      <c r="K105" s="1" t="s">
        <v>451</v>
      </c>
      <c r="L105" t="s">
        <v>614</v>
      </c>
      <c r="M105">
        <v>31</v>
      </c>
      <c r="N105" t="str">
        <f>""</f>
        <v/>
      </c>
      <c r="O105" t="str">
        <f>""</f>
        <v/>
      </c>
      <c r="P105" t="str">
        <f>""</f>
        <v/>
      </c>
      <c r="Q105" t="str">
        <f>""</f>
        <v/>
      </c>
      <c r="R105" t="str">
        <f>""</f>
        <v/>
      </c>
      <c r="S105" t="str">
        <f>""</f>
        <v/>
      </c>
      <c r="T105" t="str">
        <f>""</f>
        <v/>
      </c>
      <c r="W105" t="str">
        <f>""</f>
        <v/>
      </c>
    </row>
    <row r="106" spans="1:23" ht="75" x14ac:dyDescent="0.25">
      <c r="A106" s="1">
        <f t="shared" si="1"/>
        <v>105</v>
      </c>
      <c r="B106" s="10">
        <v>3025</v>
      </c>
      <c r="C106" s="10" t="s">
        <v>118</v>
      </c>
      <c r="D106" s="10" t="s">
        <v>615</v>
      </c>
      <c r="E106" s="10" t="s">
        <v>616</v>
      </c>
      <c r="F106" s="1" t="s">
        <v>221</v>
      </c>
      <c r="G106" s="10" t="s">
        <v>617</v>
      </c>
      <c r="H106" s="15" t="s">
        <v>191</v>
      </c>
      <c r="I106" s="15"/>
      <c r="J106" s="10">
        <v>2091</v>
      </c>
      <c r="K106" s="1" t="s">
        <v>618</v>
      </c>
      <c r="L106" t="s">
        <v>618</v>
      </c>
      <c r="M106">
        <v>52</v>
      </c>
      <c r="N106" t="str">
        <f>""</f>
        <v/>
      </c>
      <c r="O106" t="str">
        <f>""</f>
        <v/>
      </c>
      <c r="P106" t="str">
        <f>""</f>
        <v/>
      </c>
      <c r="Q106" t="str">
        <f>""</f>
        <v/>
      </c>
      <c r="R106" t="str">
        <f>""</f>
        <v/>
      </c>
      <c r="S106" t="str">
        <f>""</f>
        <v/>
      </c>
      <c r="T106" t="str">
        <f>""</f>
        <v/>
      </c>
      <c r="W106" t="str">
        <f>""</f>
        <v/>
      </c>
    </row>
    <row r="107" spans="1:23" ht="45" x14ac:dyDescent="0.25">
      <c r="A107" s="1">
        <f t="shared" si="1"/>
        <v>106</v>
      </c>
      <c r="B107" s="10">
        <v>3026</v>
      </c>
      <c r="C107" s="10" t="s">
        <v>118</v>
      </c>
      <c r="D107" s="10" t="s">
        <v>550</v>
      </c>
      <c r="E107" s="10" t="s">
        <v>619</v>
      </c>
      <c r="F107" s="1" t="s">
        <v>620</v>
      </c>
      <c r="G107" s="10" t="s">
        <v>621</v>
      </c>
      <c r="H107" s="15" t="s">
        <v>191</v>
      </c>
      <c r="I107" s="15"/>
      <c r="J107" s="10">
        <v>3532</v>
      </c>
      <c r="K107" s="1" t="s">
        <v>350</v>
      </c>
      <c r="L107" t="s">
        <v>350</v>
      </c>
      <c r="M107">
        <v>88</v>
      </c>
      <c r="N107" t="str">
        <f>""</f>
        <v/>
      </c>
      <c r="O107" t="str">
        <f>""</f>
        <v/>
      </c>
      <c r="P107" t="str">
        <f>""</f>
        <v/>
      </c>
      <c r="Q107" t="str">
        <f>""</f>
        <v/>
      </c>
      <c r="R107" t="str">
        <f>""</f>
        <v/>
      </c>
      <c r="S107" t="str">
        <f>""</f>
        <v/>
      </c>
      <c r="T107" t="str">
        <f>""</f>
        <v/>
      </c>
      <c r="W107" t="str">
        <f>""</f>
        <v/>
      </c>
    </row>
    <row r="108" spans="1:23" ht="75" x14ac:dyDescent="0.25">
      <c r="A108" s="1">
        <f t="shared" si="1"/>
        <v>107</v>
      </c>
      <c r="B108" s="10">
        <v>3029</v>
      </c>
      <c r="C108" s="10" t="s">
        <v>118</v>
      </c>
      <c r="D108" s="10" t="s">
        <v>574</v>
      </c>
      <c r="E108" s="10" t="s">
        <v>622</v>
      </c>
      <c r="F108" s="1" t="s">
        <v>623</v>
      </c>
      <c r="G108" s="10" t="s">
        <v>624</v>
      </c>
      <c r="H108" s="15" t="s">
        <v>191</v>
      </c>
      <c r="I108" s="15" t="s">
        <v>625</v>
      </c>
      <c r="J108" s="10">
        <v>3851</v>
      </c>
      <c r="K108" s="1" t="s">
        <v>626</v>
      </c>
      <c r="L108" t="s">
        <v>411</v>
      </c>
      <c r="M108">
        <v>6</v>
      </c>
      <c r="N108" t="str">
        <f>""</f>
        <v/>
      </c>
      <c r="O108" t="str">
        <f>""</f>
        <v/>
      </c>
      <c r="P108" t="str">
        <f>""</f>
        <v/>
      </c>
      <c r="Q108" t="str">
        <f>""</f>
        <v/>
      </c>
      <c r="R108" t="str">
        <f>""</f>
        <v/>
      </c>
      <c r="S108" t="str">
        <f>""</f>
        <v/>
      </c>
      <c r="T108" t="str">
        <f>""</f>
        <v/>
      </c>
      <c r="W108" t="str">
        <f>""</f>
        <v/>
      </c>
    </row>
    <row r="109" spans="1:23" ht="45" x14ac:dyDescent="0.25">
      <c r="A109" s="1">
        <f t="shared" si="1"/>
        <v>108</v>
      </c>
      <c r="B109" s="10">
        <v>3030</v>
      </c>
      <c r="C109" s="10" t="s">
        <v>118</v>
      </c>
      <c r="D109" s="10" t="s">
        <v>550</v>
      </c>
      <c r="E109" s="10" t="s">
        <v>627</v>
      </c>
      <c r="F109" s="1" t="s">
        <v>628</v>
      </c>
      <c r="G109" s="10" t="s">
        <v>629</v>
      </c>
      <c r="H109" s="15" t="s">
        <v>191</v>
      </c>
      <c r="I109" s="15"/>
      <c r="J109" s="10">
        <v>3730</v>
      </c>
      <c r="K109" s="1" t="s">
        <v>282</v>
      </c>
      <c r="L109" t="s">
        <v>630</v>
      </c>
      <c r="M109">
        <v>42</v>
      </c>
      <c r="N109" t="str">
        <f>""</f>
        <v/>
      </c>
      <c r="O109" t="str">
        <f>""</f>
        <v/>
      </c>
      <c r="P109" t="str">
        <f>""</f>
        <v/>
      </c>
      <c r="Q109" t="str">
        <f>""</f>
        <v/>
      </c>
      <c r="R109" t="str">
        <f>""</f>
        <v/>
      </c>
      <c r="S109" t="str">
        <f>""</f>
        <v/>
      </c>
      <c r="T109" t="str">
        <f>""</f>
        <v/>
      </c>
      <c r="W109" t="str">
        <f>""</f>
        <v/>
      </c>
    </row>
    <row r="110" spans="1:23" ht="105" x14ac:dyDescent="0.25">
      <c r="A110" s="1">
        <f t="shared" si="1"/>
        <v>109</v>
      </c>
      <c r="B110" s="10">
        <v>3032</v>
      </c>
      <c r="C110" s="10" t="s">
        <v>118</v>
      </c>
      <c r="D110" s="10" t="s">
        <v>631</v>
      </c>
      <c r="E110" s="10" t="s">
        <v>632</v>
      </c>
      <c r="F110" s="1" t="s">
        <v>633</v>
      </c>
      <c r="G110" s="10" t="s">
        <v>634</v>
      </c>
      <c r="H110" s="15" t="s">
        <v>191</v>
      </c>
      <c r="I110" s="15"/>
      <c r="J110" s="10">
        <v>3843</v>
      </c>
      <c r="K110" s="1" t="s">
        <v>437</v>
      </c>
      <c r="L110" t="s">
        <v>635</v>
      </c>
      <c r="M110">
        <v>1</v>
      </c>
      <c r="N110" t="str">
        <f>""</f>
        <v/>
      </c>
      <c r="O110" t="str">
        <f>""</f>
        <v/>
      </c>
      <c r="P110" t="str">
        <f>""</f>
        <v/>
      </c>
      <c r="Q110" t="str">
        <f>""</f>
        <v/>
      </c>
      <c r="R110" t="str">
        <f>""</f>
        <v/>
      </c>
      <c r="S110" t="str">
        <f>""</f>
        <v/>
      </c>
      <c r="T110" t="str">
        <f>""</f>
        <v/>
      </c>
      <c r="W110" t="str">
        <f>""</f>
        <v/>
      </c>
    </row>
    <row r="111" spans="1:23" ht="45" x14ac:dyDescent="0.25">
      <c r="A111" s="1">
        <f t="shared" si="1"/>
        <v>110</v>
      </c>
      <c r="B111" s="10">
        <v>3037</v>
      </c>
      <c r="C111" s="10" t="s">
        <v>118</v>
      </c>
      <c r="D111" s="10" t="s">
        <v>550</v>
      </c>
      <c r="E111" s="10" t="s">
        <v>636</v>
      </c>
      <c r="F111" s="1" t="s">
        <v>637</v>
      </c>
      <c r="G111" s="10" t="s">
        <v>638</v>
      </c>
      <c r="H111" s="15" t="s">
        <v>191</v>
      </c>
      <c r="I111" s="15"/>
      <c r="J111" s="10">
        <v>3812</v>
      </c>
      <c r="K111" s="1" t="s">
        <v>585</v>
      </c>
      <c r="L111" t="s">
        <v>639</v>
      </c>
      <c r="M111">
        <v>1</v>
      </c>
      <c r="N111" t="str">
        <f>""</f>
        <v/>
      </c>
      <c r="O111" t="str">
        <f>""</f>
        <v/>
      </c>
      <c r="P111" t="str">
        <f>""</f>
        <v/>
      </c>
      <c r="Q111" t="str">
        <f>""</f>
        <v/>
      </c>
      <c r="R111" t="str">
        <f>""</f>
        <v/>
      </c>
      <c r="S111" t="str">
        <f>""</f>
        <v/>
      </c>
      <c r="T111" t="str">
        <f>""</f>
        <v/>
      </c>
      <c r="W111" t="str">
        <f>""</f>
        <v/>
      </c>
    </row>
    <row r="112" spans="1:23" ht="45" x14ac:dyDescent="0.25">
      <c r="A112" s="1">
        <f t="shared" si="1"/>
        <v>111</v>
      </c>
      <c r="B112" s="10">
        <v>3038</v>
      </c>
      <c r="C112" s="10" t="s">
        <v>118</v>
      </c>
      <c r="D112" s="10" t="s">
        <v>550</v>
      </c>
      <c r="E112" s="10" t="s">
        <v>640</v>
      </c>
      <c r="G112" s="10"/>
      <c r="H112" s="15" t="s">
        <v>191</v>
      </c>
      <c r="I112" s="15"/>
      <c r="J112" s="10">
        <v>3595</v>
      </c>
      <c r="K112" s="1" t="s">
        <v>641</v>
      </c>
      <c r="L112" t="s">
        <v>642</v>
      </c>
      <c r="M112">
        <v>38</v>
      </c>
      <c r="N112" t="str">
        <f>""</f>
        <v/>
      </c>
      <c r="O112" t="str">
        <f>""</f>
        <v/>
      </c>
      <c r="P112" t="str">
        <f>""</f>
        <v/>
      </c>
      <c r="Q112" t="str">
        <f>""</f>
        <v/>
      </c>
      <c r="R112" t="str">
        <f>""</f>
        <v/>
      </c>
      <c r="S112" t="str">
        <f>""</f>
        <v/>
      </c>
      <c r="T112" t="str">
        <f>""</f>
        <v/>
      </c>
      <c r="W112" t="str">
        <f>""</f>
        <v/>
      </c>
    </row>
    <row r="113" spans="1:23" ht="75" x14ac:dyDescent="0.25">
      <c r="A113" s="1">
        <f t="shared" si="1"/>
        <v>112</v>
      </c>
      <c r="B113" s="10">
        <v>3041</v>
      </c>
      <c r="C113" s="10" t="s">
        <v>118</v>
      </c>
      <c r="D113" s="10" t="s">
        <v>643</v>
      </c>
      <c r="E113" s="10" t="s">
        <v>644</v>
      </c>
      <c r="F113" s="1" t="s">
        <v>306</v>
      </c>
      <c r="G113" s="10" t="s">
        <v>645</v>
      </c>
      <c r="H113" s="15" t="s">
        <v>191</v>
      </c>
      <c r="I113" s="15"/>
      <c r="J113" s="10">
        <v>3910</v>
      </c>
      <c r="K113" s="1" t="s">
        <v>125</v>
      </c>
      <c r="L113" t="s">
        <v>646</v>
      </c>
      <c r="M113">
        <v>1</v>
      </c>
      <c r="N113" t="str">
        <f>""</f>
        <v/>
      </c>
      <c r="O113" t="str">
        <f>""</f>
        <v/>
      </c>
      <c r="P113" t="str">
        <f>""</f>
        <v/>
      </c>
      <c r="Q113" t="str">
        <f>""</f>
        <v/>
      </c>
      <c r="R113" t="str">
        <f>""</f>
        <v/>
      </c>
      <c r="S113" t="str">
        <f>""</f>
        <v/>
      </c>
      <c r="T113" t="str">
        <f>""</f>
        <v/>
      </c>
      <c r="W113" t="str">
        <f>""</f>
        <v/>
      </c>
    </row>
    <row r="114" spans="1:23" ht="75" x14ac:dyDescent="0.25">
      <c r="A114" s="1">
        <f t="shared" si="1"/>
        <v>113</v>
      </c>
      <c r="B114" s="10">
        <v>3042</v>
      </c>
      <c r="C114" s="10" t="s">
        <v>118</v>
      </c>
      <c r="D114" s="10" t="s">
        <v>647</v>
      </c>
      <c r="E114" s="10" t="s">
        <v>648</v>
      </c>
      <c r="F114" s="1" t="s">
        <v>649</v>
      </c>
      <c r="G114" s="10" t="s">
        <v>650</v>
      </c>
      <c r="H114" s="15" t="s">
        <v>191</v>
      </c>
      <c r="I114" s="15"/>
      <c r="J114" s="10">
        <v>3843</v>
      </c>
      <c r="K114" s="1" t="s">
        <v>437</v>
      </c>
      <c r="L114" t="s">
        <v>651</v>
      </c>
      <c r="M114">
        <v>2</v>
      </c>
      <c r="N114" t="str">
        <f>""</f>
        <v/>
      </c>
      <c r="O114" t="str">
        <f>""</f>
        <v/>
      </c>
      <c r="P114" t="str">
        <f>""</f>
        <v/>
      </c>
      <c r="Q114" t="str">
        <f>""</f>
        <v/>
      </c>
      <c r="R114" t="str">
        <f>""</f>
        <v/>
      </c>
      <c r="S114" t="str">
        <f>""</f>
        <v/>
      </c>
      <c r="T114" t="str">
        <f>""</f>
        <v/>
      </c>
      <c r="W114" t="str">
        <f>""</f>
        <v/>
      </c>
    </row>
    <row r="115" spans="1:23" ht="75" x14ac:dyDescent="0.25">
      <c r="A115" s="1">
        <f t="shared" si="1"/>
        <v>114</v>
      </c>
      <c r="B115" s="10">
        <v>3043</v>
      </c>
      <c r="C115" s="10" t="s">
        <v>118</v>
      </c>
      <c r="D115" s="10" t="s">
        <v>652</v>
      </c>
      <c r="E115" s="10" t="s">
        <v>653</v>
      </c>
      <c r="F115" s="1" t="s">
        <v>654</v>
      </c>
      <c r="G115" s="10" t="s">
        <v>655</v>
      </c>
      <c r="H115" s="15" t="s">
        <v>191</v>
      </c>
      <c r="I115" s="15"/>
      <c r="J115" s="10">
        <v>3902</v>
      </c>
      <c r="K115" s="1" t="s">
        <v>344</v>
      </c>
      <c r="L115" t="s">
        <v>656</v>
      </c>
      <c r="M115">
        <v>19</v>
      </c>
      <c r="N115" t="str">
        <f>""</f>
        <v/>
      </c>
      <c r="O115" t="str">
        <f>""</f>
        <v/>
      </c>
      <c r="P115" t="str">
        <f>""</f>
        <v/>
      </c>
      <c r="Q115" t="str">
        <f>""</f>
        <v/>
      </c>
      <c r="R115" t="str">
        <f>""</f>
        <v/>
      </c>
      <c r="S115" t="str">
        <f>""</f>
        <v/>
      </c>
      <c r="T115" t="str">
        <f>""</f>
        <v/>
      </c>
      <c r="W115" t="str">
        <f>""</f>
        <v/>
      </c>
    </row>
    <row r="116" spans="1:23" ht="45" x14ac:dyDescent="0.25">
      <c r="A116" s="1">
        <f t="shared" si="1"/>
        <v>115</v>
      </c>
      <c r="B116" s="10">
        <v>3045</v>
      </c>
      <c r="C116" s="10" t="s">
        <v>118</v>
      </c>
      <c r="D116" s="10" t="s">
        <v>657</v>
      </c>
      <c r="E116" s="10" t="s">
        <v>658</v>
      </c>
      <c r="F116" s="1" t="s">
        <v>659</v>
      </c>
      <c r="G116" s="10" t="s">
        <v>660</v>
      </c>
      <c r="H116" s="15" t="s">
        <v>191</v>
      </c>
      <c r="I116" s="15"/>
      <c r="J116" s="10">
        <v>3910</v>
      </c>
      <c r="K116" s="1" t="s">
        <v>125</v>
      </c>
      <c r="L116" t="s">
        <v>661</v>
      </c>
      <c r="M116">
        <v>28</v>
      </c>
      <c r="N116" t="str">
        <f>""</f>
        <v/>
      </c>
      <c r="O116" t="str">
        <f>""</f>
        <v/>
      </c>
      <c r="P116" t="str">
        <f>""</f>
        <v/>
      </c>
      <c r="Q116" t="str">
        <f>""</f>
        <v/>
      </c>
      <c r="R116" t="str">
        <f>""</f>
        <v/>
      </c>
      <c r="S116" t="str">
        <f>""</f>
        <v/>
      </c>
      <c r="T116" t="str">
        <f>""</f>
        <v/>
      </c>
      <c r="W116" t="str">
        <f>""</f>
        <v/>
      </c>
    </row>
    <row r="117" spans="1:23" ht="30" x14ac:dyDescent="0.25">
      <c r="A117" s="1">
        <f t="shared" si="1"/>
        <v>116</v>
      </c>
      <c r="B117" s="10">
        <v>3046</v>
      </c>
      <c r="C117" s="10" t="s">
        <v>118</v>
      </c>
      <c r="D117" s="10" t="s">
        <v>298</v>
      </c>
      <c r="E117" s="10" t="s">
        <v>662</v>
      </c>
      <c r="F117" s="1" t="s">
        <v>253</v>
      </c>
      <c r="G117" s="10" t="s">
        <v>663</v>
      </c>
      <c r="H117" s="15" t="s">
        <v>191</v>
      </c>
      <c r="I117" s="15"/>
      <c r="J117" s="10">
        <v>3921</v>
      </c>
      <c r="K117" s="1" t="s">
        <v>611</v>
      </c>
      <c r="L117" t="s">
        <v>664</v>
      </c>
      <c r="M117">
        <v>170</v>
      </c>
      <c r="N117" t="str">
        <f>""</f>
        <v/>
      </c>
      <c r="O117" t="str">
        <f>""</f>
        <v/>
      </c>
      <c r="P117" t="str">
        <f>""</f>
        <v/>
      </c>
      <c r="Q117" t="str">
        <f>""</f>
        <v/>
      </c>
      <c r="R117" t="str">
        <f>""</f>
        <v/>
      </c>
      <c r="S117" t="str">
        <f>""</f>
        <v/>
      </c>
      <c r="T117" t="str">
        <f>""</f>
        <v/>
      </c>
      <c r="W117" t="str">
        <f>""</f>
        <v/>
      </c>
    </row>
    <row r="118" spans="1:23" ht="60" x14ac:dyDescent="0.25">
      <c r="A118" s="1">
        <f t="shared" si="1"/>
        <v>117</v>
      </c>
      <c r="B118" s="10">
        <v>3047</v>
      </c>
      <c r="C118" s="10" t="s">
        <v>118</v>
      </c>
      <c r="D118" s="10" t="s">
        <v>665</v>
      </c>
      <c r="E118" s="10" t="s">
        <v>666</v>
      </c>
      <c r="F118" s="1" t="s">
        <v>667</v>
      </c>
      <c r="G118" s="10" t="s">
        <v>668</v>
      </c>
      <c r="H118" s="15" t="s">
        <v>191</v>
      </c>
      <c r="I118" s="15"/>
      <c r="J118" s="10">
        <v>3830</v>
      </c>
      <c r="K118" s="1" t="s">
        <v>371</v>
      </c>
      <c r="L118" t="s">
        <v>411</v>
      </c>
      <c r="M118">
        <v>25</v>
      </c>
      <c r="N118" t="str">
        <f>""</f>
        <v/>
      </c>
      <c r="O118" t="str">
        <f>""</f>
        <v/>
      </c>
      <c r="P118" t="str">
        <f>""</f>
        <v/>
      </c>
      <c r="Q118" t="str">
        <f>""</f>
        <v/>
      </c>
      <c r="R118" t="str">
        <f>""</f>
        <v/>
      </c>
      <c r="S118" t="str">
        <f>""</f>
        <v/>
      </c>
      <c r="T118" t="str">
        <f>""</f>
        <v/>
      </c>
      <c r="W118" t="str">
        <f>""</f>
        <v/>
      </c>
    </row>
    <row r="119" spans="1:23" ht="270" x14ac:dyDescent="0.25">
      <c r="A119" s="1">
        <f t="shared" si="1"/>
        <v>118</v>
      </c>
      <c r="B119" s="10">
        <v>3050</v>
      </c>
      <c r="C119" s="10" t="s">
        <v>118</v>
      </c>
      <c r="D119" s="10" t="s">
        <v>669</v>
      </c>
      <c r="E119" s="10" t="s">
        <v>670</v>
      </c>
      <c r="F119" s="1" t="s">
        <v>671</v>
      </c>
      <c r="G119" s="10" t="s">
        <v>672</v>
      </c>
      <c r="H119" s="15" t="s">
        <v>191</v>
      </c>
      <c r="I119" s="15"/>
      <c r="J119" s="10">
        <v>3532</v>
      </c>
      <c r="K119" s="1" t="s">
        <v>350</v>
      </c>
      <c r="L119" t="s">
        <v>673</v>
      </c>
      <c r="M119">
        <v>69</v>
      </c>
      <c r="N119" t="str">
        <f>""</f>
        <v/>
      </c>
      <c r="O119" t="str">
        <f>""</f>
        <v/>
      </c>
      <c r="P119" t="str">
        <f>""</f>
        <v/>
      </c>
      <c r="Q119" t="str">
        <f>""</f>
        <v/>
      </c>
      <c r="R119" t="str">
        <f>""</f>
        <v/>
      </c>
      <c r="S119" t="str">
        <f>""</f>
        <v/>
      </c>
      <c r="T119" t="str">
        <f>""</f>
        <v/>
      </c>
      <c r="W119" t="str">
        <f>""</f>
        <v/>
      </c>
    </row>
    <row r="120" spans="1:23" ht="75" x14ac:dyDescent="0.25">
      <c r="A120" s="1">
        <f t="shared" si="1"/>
        <v>119</v>
      </c>
      <c r="B120" s="10">
        <v>3054</v>
      </c>
      <c r="C120" s="10" t="s">
        <v>118</v>
      </c>
      <c r="D120" s="10" t="s">
        <v>674</v>
      </c>
      <c r="E120" s="10" t="s">
        <v>675</v>
      </c>
      <c r="F120" s="1" t="s">
        <v>541</v>
      </c>
      <c r="G120" s="10" t="s">
        <v>676</v>
      </c>
      <c r="H120" s="15" t="s">
        <v>677</v>
      </c>
      <c r="I120" s="15"/>
      <c r="J120" s="10">
        <v>3580</v>
      </c>
      <c r="K120" s="1" t="s">
        <v>103</v>
      </c>
      <c r="L120" t="s">
        <v>678</v>
      </c>
      <c r="M120">
        <v>21</v>
      </c>
      <c r="N120" t="str">
        <f>""</f>
        <v/>
      </c>
      <c r="O120" t="str">
        <f>""</f>
        <v/>
      </c>
      <c r="P120" t="str">
        <f>""</f>
        <v/>
      </c>
      <c r="Q120" t="str">
        <f>""</f>
        <v/>
      </c>
      <c r="R120" t="str">
        <f>""</f>
        <v/>
      </c>
      <c r="S120" t="str">
        <f>""</f>
        <v/>
      </c>
      <c r="T120" t="str">
        <f>""</f>
        <v/>
      </c>
      <c r="W120" t="str">
        <f>""</f>
        <v/>
      </c>
    </row>
    <row r="121" spans="1:23" ht="45" x14ac:dyDescent="0.25">
      <c r="A121" s="1">
        <f t="shared" si="1"/>
        <v>120</v>
      </c>
      <c r="B121" s="10">
        <v>3055</v>
      </c>
      <c r="C121" s="10" t="s">
        <v>118</v>
      </c>
      <c r="D121" s="10" t="s">
        <v>679</v>
      </c>
      <c r="E121" s="10" t="s">
        <v>680</v>
      </c>
      <c r="F121" s="1" t="s">
        <v>637</v>
      </c>
      <c r="G121" s="10" t="s">
        <v>566</v>
      </c>
      <c r="H121" s="15" t="s">
        <v>191</v>
      </c>
      <c r="I121" s="15"/>
      <c r="J121" s="10">
        <v>3910</v>
      </c>
      <c r="K121" s="1" t="s">
        <v>125</v>
      </c>
      <c r="L121" t="s">
        <v>681</v>
      </c>
      <c r="M121">
        <v>23</v>
      </c>
      <c r="N121" t="str">
        <f>""</f>
        <v/>
      </c>
      <c r="O121" t="str">
        <f>""</f>
        <v/>
      </c>
      <c r="P121" t="str">
        <f>""</f>
        <v/>
      </c>
      <c r="Q121" t="str">
        <f>""</f>
        <v/>
      </c>
      <c r="R121" t="str">
        <f>""</f>
        <v/>
      </c>
      <c r="S121" t="str">
        <f>""</f>
        <v/>
      </c>
      <c r="T121" t="str">
        <f>""</f>
        <v/>
      </c>
      <c r="W121" t="str">
        <f>""</f>
        <v/>
      </c>
    </row>
    <row r="122" spans="1:23" ht="75" x14ac:dyDescent="0.25">
      <c r="A122" s="1">
        <f t="shared" si="1"/>
        <v>121</v>
      </c>
      <c r="B122" s="10">
        <v>3057</v>
      </c>
      <c r="C122" s="10" t="s">
        <v>118</v>
      </c>
      <c r="D122" s="10" t="s">
        <v>682</v>
      </c>
      <c r="E122" s="10" t="s">
        <v>683</v>
      </c>
      <c r="F122" s="1" t="s">
        <v>315</v>
      </c>
      <c r="G122" s="10" t="s">
        <v>684</v>
      </c>
      <c r="H122" s="15" t="s">
        <v>191</v>
      </c>
      <c r="I122" s="15"/>
      <c r="J122" s="10">
        <v>3910</v>
      </c>
      <c r="K122" s="1" t="s">
        <v>125</v>
      </c>
      <c r="L122" t="s">
        <v>661</v>
      </c>
      <c r="M122">
        <v>11</v>
      </c>
      <c r="N122" t="str">
        <f>""</f>
        <v/>
      </c>
      <c r="O122" t="str">
        <f>""</f>
        <v/>
      </c>
      <c r="P122" t="str">
        <f>""</f>
        <v/>
      </c>
      <c r="Q122" t="str">
        <f>""</f>
        <v/>
      </c>
      <c r="R122" t="str">
        <f>""</f>
        <v/>
      </c>
      <c r="S122" t="str">
        <f>""</f>
        <v/>
      </c>
      <c r="T122" t="str">
        <f>""</f>
        <v/>
      </c>
      <c r="W122" t="str">
        <f>""</f>
        <v/>
      </c>
    </row>
    <row r="123" spans="1:23" ht="105" x14ac:dyDescent="0.25">
      <c r="A123" s="1">
        <f t="shared" si="1"/>
        <v>122</v>
      </c>
      <c r="B123" s="10">
        <v>3058</v>
      </c>
      <c r="C123" s="10" t="s">
        <v>118</v>
      </c>
      <c r="D123" s="10" t="s">
        <v>685</v>
      </c>
      <c r="E123" s="10" t="s">
        <v>686</v>
      </c>
      <c r="F123" s="1" t="s">
        <v>483</v>
      </c>
      <c r="G123" s="10" t="s">
        <v>687</v>
      </c>
      <c r="H123" s="15" t="s">
        <v>191</v>
      </c>
      <c r="I123" s="15"/>
      <c r="J123" s="10">
        <v>3902</v>
      </c>
      <c r="K123" s="1" t="s">
        <v>344</v>
      </c>
      <c r="L123" t="s">
        <v>345</v>
      </c>
      <c r="M123">
        <v>19</v>
      </c>
      <c r="N123" t="str">
        <f>""</f>
        <v/>
      </c>
      <c r="O123" t="str">
        <f>""</f>
        <v/>
      </c>
      <c r="P123" t="str">
        <f>""</f>
        <v/>
      </c>
      <c r="Q123" t="str">
        <f>""</f>
        <v/>
      </c>
      <c r="R123" t="str">
        <f>""</f>
        <v/>
      </c>
      <c r="S123" t="str">
        <f>""</f>
        <v/>
      </c>
      <c r="T123" t="str">
        <f>""</f>
        <v/>
      </c>
      <c r="W123" t="str">
        <f>""</f>
        <v/>
      </c>
    </row>
    <row r="124" spans="1:23" ht="150" x14ac:dyDescent="0.25">
      <c r="A124" s="1">
        <f t="shared" si="1"/>
        <v>123</v>
      </c>
      <c r="B124" s="10">
        <v>3059</v>
      </c>
      <c r="C124" s="10" t="s">
        <v>118</v>
      </c>
      <c r="D124" s="10" t="s">
        <v>688</v>
      </c>
      <c r="E124" s="10" t="s">
        <v>689</v>
      </c>
      <c r="F124" s="1" t="s">
        <v>145</v>
      </c>
      <c r="G124" s="10" t="s">
        <v>690</v>
      </c>
      <c r="H124" s="15" t="s">
        <v>191</v>
      </c>
      <c r="I124" s="15"/>
      <c r="J124" s="10">
        <v>3580</v>
      </c>
      <c r="K124" s="1" t="s">
        <v>103</v>
      </c>
      <c r="L124" t="s">
        <v>691</v>
      </c>
      <c r="M124">
        <v>9</v>
      </c>
      <c r="N124" t="str">
        <f>""</f>
        <v/>
      </c>
      <c r="O124" t="str">
        <f>""</f>
        <v/>
      </c>
      <c r="P124" t="str">
        <f>""</f>
        <v/>
      </c>
      <c r="Q124" t="str">
        <f>""</f>
        <v/>
      </c>
      <c r="R124" t="str">
        <f>""</f>
        <v/>
      </c>
      <c r="S124" t="str">
        <f>""</f>
        <v/>
      </c>
      <c r="T124" t="str">
        <f>""</f>
        <v/>
      </c>
      <c r="W124" t="str">
        <f>""</f>
        <v/>
      </c>
    </row>
    <row r="125" spans="1:23" ht="120" x14ac:dyDescent="0.25">
      <c r="A125" s="1">
        <f t="shared" si="1"/>
        <v>124</v>
      </c>
      <c r="B125" s="10">
        <v>3061</v>
      </c>
      <c r="C125" s="10" t="s">
        <v>118</v>
      </c>
      <c r="D125" s="10" t="s">
        <v>692</v>
      </c>
      <c r="E125" s="10" t="s">
        <v>693</v>
      </c>
      <c r="F125" s="1" t="s">
        <v>694</v>
      </c>
      <c r="G125" s="10" t="s">
        <v>695</v>
      </c>
      <c r="H125" s="15" t="s">
        <v>191</v>
      </c>
      <c r="I125" s="15"/>
      <c r="J125" s="10">
        <v>3580</v>
      </c>
      <c r="K125" s="1" t="s">
        <v>103</v>
      </c>
      <c r="L125" t="s">
        <v>696</v>
      </c>
      <c r="M125">
        <v>9</v>
      </c>
      <c r="N125" t="str">
        <f>""</f>
        <v/>
      </c>
      <c r="O125" t="str">
        <f>""</f>
        <v/>
      </c>
      <c r="P125" t="str">
        <f>""</f>
        <v/>
      </c>
      <c r="Q125" t="str">
        <f>""</f>
        <v/>
      </c>
      <c r="R125" t="str">
        <f>""</f>
        <v/>
      </c>
      <c r="S125" t="str">
        <f>""</f>
        <v/>
      </c>
      <c r="T125" t="str">
        <f>""</f>
        <v/>
      </c>
      <c r="W125" t="str">
        <f>""</f>
        <v/>
      </c>
    </row>
    <row r="126" spans="1:23" ht="75" x14ac:dyDescent="0.25">
      <c r="A126" s="1">
        <f t="shared" si="1"/>
        <v>125</v>
      </c>
      <c r="B126" s="10">
        <v>3062</v>
      </c>
      <c r="C126" s="10" t="s">
        <v>118</v>
      </c>
      <c r="D126" s="10" t="s">
        <v>697</v>
      </c>
      <c r="E126" s="10" t="s">
        <v>698</v>
      </c>
      <c r="F126" s="1" t="s">
        <v>348</v>
      </c>
      <c r="G126" s="10" t="s">
        <v>699</v>
      </c>
      <c r="H126" s="15" t="s">
        <v>191</v>
      </c>
      <c r="I126" s="15"/>
      <c r="J126" s="10">
        <v>3580</v>
      </c>
      <c r="K126" s="1" t="s">
        <v>700</v>
      </c>
      <c r="L126" t="s">
        <v>701</v>
      </c>
      <c r="M126">
        <v>34</v>
      </c>
      <c r="N126" t="str">
        <f>""</f>
        <v/>
      </c>
      <c r="O126" t="str">
        <f>""</f>
        <v/>
      </c>
      <c r="P126" t="str">
        <f>""</f>
        <v/>
      </c>
      <c r="Q126" t="str">
        <f>""</f>
        <v/>
      </c>
      <c r="R126" t="str">
        <f>""</f>
        <v/>
      </c>
      <c r="S126" t="str">
        <f>""</f>
        <v/>
      </c>
      <c r="T126" t="str">
        <f>""</f>
        <v/>
      </c>
      <c r="W126" t="str">
        <f>""</f>
        <v/>
      </c>
    </row>
    <row r="127" spans="1:23" ht="165" x14ac:dyDescent="0.25">
      <c r="A127" s="1">
        <f t="shared" si="1"/>
        <v>126</v>
      </c>
      <c r="B127" s="10">
        <v>3063</v>
      </c>
      <c r="C127" s="10" t="s">
        <v>118</v>
      </c>
      <c r="D127" s="10" t="s">
        <v>702</v>
      </c>
      <c r="E127" s="10" t="s">
        <v>703</v>
      </c>
      <c r="F127" s="1" t="s">
        <v>704</v>
      </c>
      <c r="G127" s="10" t="s">
        <v>705</v>
      </c>
      <c r="H127" s="15" t="s">
        <v>191</v>
      </c>
      <c r="I127" s="15"/>
      <c r="J127" s="10">
        <v>3874</v>
      </c>
      <c r="K127" s="1" t="s">
        <v>706</v>
      </c>
      <c r="L127" t="s">
        <v>707</v>
      </c>
      <c r="M127">
        <v>1</v>
      </c>
      <c r="N127" t="str">
        <f>""</f>
        <v/>
      </c>
      <c r="O127" t="str">
        <f>""</f>
        <v/>
      </c>
      <c r="P127" t="str">
        <f>""</f>
        <v/>
      </c>
      <c r="Q127" t="str">
        <f>""</f>
        <v/>
      </c>
      <c r="R127" t="str">
        <f>""</f>
        <v/>
      </c>
      <c r="S127" t="str">
        <f>""</f>
        <v/>
      </c>
      <c r="T127" t="str">
        <f>""</f>
        <v/>
      </c>
      <c r="W127" t="str">
        <f>""</f>
        <v/>
      </c>
    </row>
    <row r="128" spans="1:23" ht="90" x14ac:dyDescent="0.25">
      <c r="A128" s="1">
        <f t="shared" si="1"/>
        <v>127</v>
      </c>
      <c r="B128" s="10">
        <v>3067</v>
      </c>
      <c r="C128" s="10" t="s">
        <v>118</v>
      </c>
      <c r="D128" s="10" t="s">
        <v>708</v>
      </c>
      <c r="E128" s="10" t="s">
        <v>709</v>
      </c>
      <c r="F128" s="1" t="s">
        <v>710</v>
      </c>
      <c r="G128" s="10" t="s">
        <v>711</v>
      </c>
      <c r="H128" s="15" t="s">
        <v>191</v>
      </c>
      <c r="I128" s="15"/>
      <c r="J128" s="10">
        <v>3851</v>
      </c>
      <c r="K128" s="1" t="s">
        <v>626</v>
      </c>
      <c r="L128" t="s">
        <v>712</v>
      </c>
      <c r="M128">
        <v>58</v>
      </c>
      <c r="N128" t="str">
        <f>""</f>
        <v/>
      </c>
      <c r="O128" t="str">
        <f>""</f>
        <v/>
      </c>
      <c r="P128" t="str">
        <f>""</f>
        <v/>
      </c>
      <c r="Q128" t="str">
        <f>""</f>
        <v/>
      </c>
      <c r="R128" t="str">
        <f>""</f>
        <v/>
      </c>
      <c r="S128" t="str">
        <f>""</f>
        <v/>
      </c>
      <c r="T128" t="str">
        <f>""</f>
        <v/>
      </c>
      <c r="W128" t="str">
        <f>""</f>
        <v/>
      </c>
    </row>
    <row r="129" spans="1:23" ht="90" x14ac:dyDescent="0.25">
      <c r="A129" s="1">
        <f t="shared" si="1"/>
        <v>128</v>
      </c>
      <c r="B129" s="10">
        <v>3068</v>
      </c>
      <c r="C129" s="10" t="s">
        <v>118</v>
      </c>
      <c r="D129" s="10" t="s">
        <v>708</v>
      </c>
      <c r="E129" s="10" t="s">
        <v>713</v>
      </c>
      <c r="F129" s="1" t="s">
        <v>183</v>
      </c>
      <c r="G129" s="10" t="s">
        <v>714</v>
      </c>
      <c r="H129" s="15" t="s">
        <v>191</v>
      </c>
      <c r="I129" s="15"/>
      <c r="J129" s="10">
        <v>3910</v>
      </c>
      <c r="K129" s="1" t="s">
        <v>125</v>
      </c>
      <c r="L129" t="s">
        <v>325</v>
      </c>
      <c r="M129">
        <v>3</v>
      </c>
      <c r="N129" t="str">
        <f>""</f>
        <v/>
      </c>
      <c r="O129" t="str">
        <f>""</f>
        <v/>
      </c>
      <c r="P129" t="str">
        <f>""</f>
        <v/>
      </c>
      <c r="Q129" t="str">
        <f>""</f>
        <v/>
      </c>
      <c r="R129" t="str">
        <f>""</f>
        <v/>
      </c>
      <c r="S129" t="str">
        <f>""</f>
        <v/>
      </c>
      <c r="T129" t="str">
        <f>""</f>
        <v/>
      </c>
      <c r="W129" t="str">
        <f>""</f>
        <v/>
      </c>
    </row>
    <row r="130" spans="1:23" ht="45" x14ac:dyDescent="0.25">
      <c r="A130" s="1">
        <f t="shared" si="1"/>
        <v>129</v>
      </c>
      <c r="B130" s="10">
        <v>3070</v>
      </c>
      <c r="C130" s="10" t="s">
        <v>118</v>
      </c>
      <c r="D130" s="10" t="s">
        <v>550</v>
      </c>
      <c r="E130" s="10" t="s">
        <v>715</v>
      </c>
      <c r="F130" s="1" t="s">
        <v>322</v>
      </c>
      <c r="G130" s="10" t="s">
        <v>716</v>
      </c>
      <c r="H130" s="15" t="s">
        <v>191</v>
      </c>
      <c r="I130" s="15"/>
      <c r="J130" s="10">
        <v>3874</v>
      </c>
      <c r="K130" s="1" t="s">
        <v>706</v>
      </c>
      <c r="L130" t="s">
        <v>564</v>
      </c>
      <c r="M130">
        <v>12</v>
      </c>
      <c r="N130" t="str">
        <f>""</f>
        <v/>
      </c>
      <c r="O130" t="str">
        <f>""</f>
        <v/>
      </c>
      <c r="P130" t="str">
        <f>""</f>
        <v/>
      </c>
      <c r="Q130" t="str">
        <f>""</f>
        <v/>
      </c>
      <c r="R130" t="str">
        <f>""</f>
        <v/>
      </c>
      <c r="S130" t="str">
        <f>""</f>
        <v/>
      </c>
      <c r="T130" t="str">
        <f>""</f>
        <v/>
      </c>
      <c r="W130" t="str">
        <f>""</f>
        <v/>
      </c>
    </row>
    <row r="131" spans="1:23" ht="45" x14ac:dyDescent="0.25">
      <c r="A131" s="1">
        <f t="shared" ref="A131:A194" si="2">ROW(A131)-1</f>
        <v>130</v>
      </c>
      <c r="B131" s="10">
        <v>3071</v>
      </c>
      <c r="C131" s="10" t="s">
        <v>118</v>
      </c>
      <c r="D131" s="10" t="s">
        <v>550</v>
      </c>
      <c r="E131" s="10" t="s">
        <v>717</v>
      </c>
      <c r="F131" s="1" t="s">
        <v>221</v>
      </c>
      <c r="G131" s="10" t="s">
        <v>654</v>
      </c>
      <c r="H131" s="15" t="s">
        <v>191</v>
      </c>
      <c r="I131" s="15"/>
      <c r="J131" s="10">
        <v>3722</v>
      </c>
      <c r="K131" s="1" t="s">
        <v>718</v>
      </c>
      <c r="L131" t="s">
        <v>719</v>
      </c>
      <c r="M131">
        <v>39</v>
      </c>
      <c r="N131" t="str">
        <f>""</f>
        <v/>
      </c>
      <c r="O131" t="str">
        <f>""</f>
        <v/>
      </c>
      <c r="P131" t="str">
        <f>""</f>
        <v/>
      </c>
      <c r="Q131" t="str">
        <f>""</f>
        <v/>
      </c>
      <c r="R131" t="str">
        <f>""</f>
        <v/>
      </c>
      <c r="S131" t="str">
        <f>""</f>
        <v/>
      </c>
      <c r="T131" t="str">
        <f>""</f>
        <v/>
      </c>
      <c r="W131" t="str">
        <f>""</f>
        <v/>
      </c>
    </row>
    <row r="132" spans="1:23" ht="45" x14ac:dyDescent="0.25">
      <c r="A132" s="1">
        <f t="shared" si="2"/>
        <v>131</v>
      </c>
      <c r="B132" s="10">
        <v>3081</v>
      </c>
      <c r="C132" s="10" t="s">
        <v>118</v>
      </c>
      <c r="D132" s="10" t="s">
        <v>298</v>
      </c>
      <c r="E132" s="10" t="s">
        <v>720</v>
      </c>
      <c r="F132" s="1" t="s">
        <v>561</v>
      </c>
      <c r="G132" s="10" t="s">
        <v>721</v>
      </c>
      <c r="H132" s="15" t="s">
        <v>191</v>
      </c>
      <c r="I132" s="15"/>
      <c r="J132" s="10">
        <v>3594</v>
      </c>
      <c r="K132" s="1" t="s">
        <v>722</v>
      </c>
      <c r="L132" t="s">
        <v>723</v>
      </c>
      <c r="M132">
        <v>1</v>
      </c>
      <c r="N132" t="str">
        <f>""</f>
        <v/>
      </c>
      <c r="O132" t="str">
        <f>""</f>
        <v/>
      </c>
      <c r="P132" t="str">
        <f>""</f>
        <v/>
      </c>
      <c r="Q132" t="str">
        <f>""</f>
        <v/>
      </c>
      <c r="R132" t="str">
        <f>""</f>
        <v/>
      </c>
      <c r="S132" t="str">
        <f>""</f>
        <v/>
      </c>
      <c r="T132" t="str">
        <f>""</f>
        <v/>
      </c>
      <c r="W132" t="str">
        <f>""</f>
        <v/>
      </c>
    </row>
    <row r="133" spans="1:23" ht="60" x14ac:dyDescent="0.25">
      <c r="A133" s="1">
        <f t="shared" si="2"/>
        <v>132</v>
      </c>
      <c r="B133" s="10">
        <v>3082</v>
      </c>
      <c r="C133" s="10" t="s">
        <v>118</v>
      </c>
      <c r="D133" s="10" t="s">
        <v>724</v>
      </c>
      <c r="E133" s="10" t="s">
        <v>725</v>
      </c>
      <c r="F133" s="1" t="s">
        <v>726</v>
      </c>
      <c r="G133" s="10" t="s">
        <v>727</v>
      </c>
      <c r="H133" s="15" t="s">
        <v>728</v>
      </c>
      <c r="I133" s="15" t="s">
        <v>729</v>
      </c>
      <c r="J133" s="10">
        <v>2042</v>
      </c>
      <c r="K133" s="1" t="s">
        <v>730</v>
      </c>
      <c r="L133" t="s">
        <v>731</v>
      </c>
      <c r="M133">
        <v>301</v>
      </c>
      <c r="N133" t="str">
        <f>""</f>
        <v/>
      </c>
      <c r="O133" t="str">
        <f>""</f>
        <v/>
      </c>
      <c r="P133" t="str">
        <f>""</f>
        <v/>
      </c>
      <c r="Q133" t="str">
        <f>""</f>
        <v/>
      </c>
      <c r="R133" t="str">
        <f>""</f>
        <v/>
      </c>
      <c r="S133" t="str">
        <f>""</f>
        <v/>
      </c>
      <c r="T133" t="str">
        <f>""</f>
        <v/>
      </c>
      <c r="W133" t="str">
        <f>""</f>
        <v/>
      </c>
    </row>
    <row r="134" spans="1:23" ht="75" x14ac:dyDescent="0.25">
      <c r="A134" s="1">
        <f t="shared" si="2"/>
        <v>133</v>
      </c>
      <c r="B134" s="10">
        <v>3084</v>
      </c>
      <c r="C134" s="10" t="s">
        <v>118</v>
      </c>
      <c r="D134" s="10" t="s">
        <v>732</v>
      </c>
      <c r="E134" s="10" t="s">
        <v>733</v>
      </c>
      <c r="F134" s="1" t="s">
        <v>734</v>
      </c>
      <c r="G134" s="10" t="s">
        <v>735</v>
      </c>
      <c r="H134" s="15" t="s">
        <v>191</v>
      </c>
      <c r="I134" s="15"/>
      <c r="J134" s="10">
        <v>3580</v>
      </c>
      <c r="K134" s="1" t="s">
        <v>103</v>
      </c>
      <c r="L134" t="s">
        <v>736</v>
      </c>
      <c r="M134">
        <v>10</v>
      </c>
      <c r="N134" t="str">
        <f>""</f>
        <v/>
      </c>
      <c r="O134" t="str">
        <f>""</f>
        <v/>
      </c>
      <c r="P134" t="str">
        <f>""</f>
        <v/>
      </c>
      <c r="Q134" t="str">
        <f>""</f>
        <v/>
      </c>
      <c r="R134" t="str">
        <f>""</f>
        <v/>
      </c>
      <c r="S134" t="str">
        <f>""</f>
        <v/>
      </c>
      <c r="T134" t="str">
        <f>""</f>
        <v/>
      </c>
      <c r="W134" t="str">
        <f>""</f>
        <v/>
      </c>
    </row>
    <row r="135" spans="1:23" ht="90" x14ac:dyDescent="0.25">
      <c r="A135" s="1">
        <f t="shared" si="2"/>
        <v>134</v>
      </c>
      <c r="B135" s="10">
        <v>3085</v>
      </c>
      <c r="C135" s="10" t="s">
        <v>118</v>
      </c>
      <c r="D135" s="10" t="s">
        <v>737</v>
      </c>
      <c r="E135" s="10" t="s">
        <v>738</v>
      </c>
      <c r="G135" s="10"/>
      <c r="H135" s="15" t="s">
        <v>191</v>
      </c>
      <c r="I135" s="15"/>
      <c r="J135" s="10">
        <v>3902</v>
      </c>
      <c r="K135" s="1" t="s">
        <v>344</v>
      </c>
      <c r="L135" t="s">
        <v>739</v>
      </c>
      <c r="M135">
        <v>30</v>
      </c>
      <c r="N135" t="str">
        <f>""</f>
        <v/>
      </c>
      <c r="O135" t="str">
        <f>""</f>
        <v/>
      </c>
      <c r="P135" t="str">
        <f>""</f>
        <v/>
      </c>
      <c r="Q135" t="str">
        <f>""</f>
        <v/>
      </c>
      <c r="R135" t="str">
        <f>""</f>
        <v/>
      </c>
      <c r="S135" t="str">
        <f>""</f>
        <v/>
      </c>
      <c r="T135" t="str">
        <f>""</f>
        <v/>
      </c>
      <c r="W135" t="str">
        <f>""</f>
        <v/>
      </c>
    </row>
    <row r="136" spans="1:23" ht="90" x14ac:dyDescent="0.25">
      <c r="A136" s="1">
        <f t="shared" si="2"/>
        <v>135</v>
      </c>
      <c r="B136" s="10">
        <v>3086</v>
      </c>
      <c r="C136" s="10" t="s">
        <v>118</v>
      </c>
      <c r="D136" s="10" t="s">
        <v>740</v>
      </c>
      <c r="E136" s="10" t="s">
        <v>741</v>
      </c>
      <c r="G136" s="10"/>
      <c r="H136" s="15" t="s">
        <v>191</v>
      </c>
      <c r="I136" s="15"/>
      <c r="J136" s="10">
        <v>2095</v>
      </c>
      <c r="K136" s="1" t="s">
        <v>742</v>
      </c>
      <c r="L136" t="s">
        <v>411</v>
      </c>
      <c r="M136">
        <v>23</v>
      </c>
      <c r="N136" t="str">
        <f>""</f>
        <v/>
      </c>
      <c r="O136" t="str">
        <f>""</f>
        <v/>
      </c>
      <c r="P136" t="str">
        <f>""</f>
        <v/>
      </c>
      <c r="Q136" t="str">
        <f>""</f>
        <v/>
      </c>
      <c r="R136" t="str">
        <f>""</f>
        <v/>
      </c>
      <c r="S136" t="str">
        <f>""</f>
        <v/>
      </c>
      <c r="T136" t="str">
        <f>""</f>
        <v/>
      </c>
      <c r="W136" t="str">
        <f>""</f>
        <v/>
      </c>
    </row>
    <row r="137" spans="1:23" ht="30" x14ac:dyDescent="0.25">
      <c r="A137" s="1">
        <f t="shared" si="2"/>
        <v>136</v>
      </c>
      <c r="B137" s="10">
        <v>3087</v>
      </c>
      <c r="C137" s="10" t="s">
        <v>118</v>
      </c>
      <c r="D137" s="10" t="s">
        <v>298</v>
      </c>
      <c r="E137" s="10" t="s">
        <v>743</v>
      </c>
      <c r="F137" s="1" t="s">
        <v>510</v>
      </c>
      <c r="G137" s="10" t="s">
        <v>744</v>
      </c>
      <c r="H137" s="15" t="s">
        <v>191</v>
      </c>
      <c r="I137" s="15"/>
      <c r="J137" s="10">
        <v>2070</v>
      </c>
      <c r="K137" s="1" t="s">
        <v>407</v>
      </c>
      <c r="L137" t="s">
        <v>745</v>
      </c>
      <c r="M137">
        <v>3</v>
      </c>
      <c r="N137" t="str">
        <f>""</f>
        <v/>
      </c>
      <c r="O137" t="str">
        <f>""</f>
        <v/>
      </c>
      <c r="P137" t="str">
        <f>""</f>
        <v/>
      </c>
      <c r="Q137" t="str">
        <f>""</f>
        <v/>
      </c>
      <c r="R137" t="str">
        <f>""</f>
        <v/>
      </c>
      <c r="S137" t="str">
        <f>""</f>
        <v/>
      </c>
      <c r="T137" t="str">
        <f>""</f>
        <v/>
      </c>
      <c r="W137" t="str">
        <f>""</f>
        <v/>
      </c>
    </row>
    <row r="138" spans="1:23" ht="90" x14ac:dyDescent="0.25">
      <c r="A138" s="1">
        <f t="shared" si="2"/>
        <v>137</v>
      </c>
      <c r="B138" s="10">
        <v>3088</v>
      </c>
      <c r="C138" s="10" t="s">
        <v>118</v>
      </c>
      <c r="D138" s="10" t="s">
        <v>740</v>
      </c>
      <c r="E138" s="10" t="s">
        <v>746</v>
      </c>
      <c r="F138" s="1" t="s">
        <v>747</v>
      </c>
      <c r="G138" s="10" t="s">
        <v>748</v>
      </c>
      <c r="H138" s="15" t="s">
        <v>191</v>
      </c>
      <c r="I138" s="15"/>
      <c r="J138" s="10">
        <v>3580</v>
      </c>
      <c r="K138" s="1" t="s">
        <v>103</v>
      </c>
      <c r="L138" t="s">
        <v>749</v>
      </c>
      <c r="M138">
        <v>32</v>
      </c>
      <c r="N138" t="str">
        <f>""</f>
        <v/>
      </c>
      <c r="O138" t="str">
        <f>""</f>
        <v/>
      </c>
      <c r="P138" t="str">
        <f>""</f>
        <v/>
      </c>
      <c r="Q138" t="str">
        <f>""</f>
        <v/>
      </c>
      <c r="R138" t="str">
        <f>""</f>
        <v/>
      </c>
      <c r="S138" t="str">
        <f>""</f>
        <v/>
      </c>
      <c r="T138" t="str">
        <f>""</f>
        <v/>
      </c>
      <c r="W138" t="str">
        <f>""</f>
        <v/>
      </c>
    </row>
    <row r="139" spans="1:23" ht="75" x14ac:dyDescent="0.25">
      <c r="A139" s="1">
        <f t="shared" si="2"/>
        <v>138</v>
      </c>
      <c r="B139" s="10">
        <v>3089</v>
      </c>
      <c r="C139" s="10" t="s">
        <v>118</v>
      </c>
      <c r="D139" s="10" t="s">
        <v>750</v>
      </c>
      <c r="E139" s="10" t="s">
        <v>751</v>
      </c>
      <c r="F139" s="1" t="s">
        <v>752</v>
      </c>
      <c r="G139" s="10" t="s">
        <v>753</v>
      </c>
      <c r="H139" s="15" t="s">
        <v>191</v>
      </c>
      <c r="I139" s="15"/>
      <c r="J139" s="10">
        <v>3580</v>
      </c>
      <c r="K139" s="1" t="s">
        <v>103</v>
      </c>
      <c r="L139" t="s">
        <v>754</v>
      </c>
      <c r="M139">
        <v>1</v>
      </c>
      <c r="N139" t="str">
        <f>""</f>
        <v/>
      </c>
      <c r="O139" t="str">
        <f>""</f>
        <v/>
      </c>
      <c r="P139" t="str">
        <f>""</f>
        <v/>
      </c>
      <c r="Q139" t="str">
        <f>""</f>
        <v/>
      </c>
      <c r="R139" t="str">
        <f>""</f>
        <v/>
      </c>
      <c r="S139" t="str">
        <f>""</f>
        <v/>
      </c>
      <c r="T139" t="str">
        <f>""</f>
        <v/>
      </c>
      <c r="W139" t="str">
        <f>""</f>
        <v/>
      </c>
    </row>
    <row r="140" spans="1:23" ht="105" x14ac:dyDescent="0.25">
      <c r="A140" s="1">
        <f t="shared" si="2"/>
        <v>139</v>
      </c>
      <c r="B140" s="10">
        <v>3092</v>
      </c>
      <c r="C140" s="10" t="s">
        <v>118</v>
      </c>
      <c r="D140" s="10" t="s">
        <v>207</v>
      </c>
      <c r="E140" s="10" t="s">
        <v>755</v>
      </c>
      <c r="F140" s="1" t="s">
        <v>756</v>
      </c>
      <c r="G140" s="10" t="s">
        <v>757</v>
      </c>
      <c r="H140" s="15" t="s">
        <v>191</v>
      </c>
      <c r="I140" s="15"/>
      <c r="J140" s="10">
        <v>3580</v>
      </c>
      <c r="K140" s="1" t="s">
        <v>103</v>
      </c>
      <c r="L140" t="s">
        <v>754</v>
      </c>
      <c r="M140">
        <v>3</v>
      </c>
      <c r="N140" t="str">
        <f>""</f>
        <v/>
      </c>
      <c r="O140" t="str">
        <f>""</f>
        <v/>
      </c>
      <c r="P140" t="str">
        <f>""</f>
        <v/>
      </c>
      <c r="Q140" t="str">
        <f>""</f>
        <v/>
      </c>
      <c r="R140" t="str">
        <f>""</f>
        <v/>
      </c>
      <c r="S140" t="str">
        <f>""</f>
        <v/>
      </c>
      <c r="T140" t="str">
        <f>""</f>
        <v/>
      </c>
      <c r="W140" t="str">
        <f>""</f>
        <v/>
      </c>
    </row>
    <row r="141" spans="1:23" ht="75" x14ac:dyDescent="0.25">
      <c r="A141" s="1">
        <f t="shared" si="2"/>
        <v>140</v>
      </c>
      <c r="B141" s="10">
        <v>3094</v>
      </c>
      <c r="C141" s="10" t="s">
        <v>118</v>
      </c>
      <c r="D141" s="10" t="s">
        <v>750</v>
      </c>
      <c r="E141" s="10" t="s">
        <v>758</v>
      </c>
      <c r="F141" s="1" t="s">
        <v>221</v>
      </c>
      <c r="G141" s="10" t="s">
        <v>759</v>
      </c>
      <c r="H141" s="15" t="s">
        <v>191</v>
      </c>
      <c r="I141" s="15"/>
      <c r="J141" s="10">
        <v>3800</v>
      </c>
      <c r="K141" s="1" t="s">
        <v>760</v>
      </c>
      <c r="L141" t="s">
        <v>761</v>
      </c>
      <c r="M141">
        <v>49</v>
      </c>
      <c r="N141" t="str">
        <f>""</f>
        <v/>
      </c>
      <c r="O141" t="str">
        <f>""</f>
        <v/>
      </c>
      <c r="P141" t="str">
        <f>""</f>
        <v/>
      </c>
      <c r="Q141" t="str">
        <f>""</f>
        <v/>
      </c>
      <c r="R141" t="str">
        <f>""</f>
        <v/>
      </c>
      <c r="S141" t="str">
        <f>""</f>
        <v/>
      </c>
      <c r="T141" t="str">
        <f>""</f>
        <v/>
      </c>
      <c r="W141" t="str">
        <f>""</f>
        <v/>
      </c>
    </row>
    <row r="142" spans="1:23" ht="75" x14ac:dyDescent="0.25">
      <c r="A142" s="1">
        <f t="shared" si="2"/>
        <v>141</v>
      </c>
      <c r="B142" s="10">
        <v>3095</v>
      </c>
      <c r="C142" s="10" t="s">
        <v>118</v>
      </c>
      <c r="D142" s="10" t="s">
        <v>750</v>
      </c>
      <c r="E142" s="10" t="s">
        <v>762</v>
      </c>
      <c r="F142" s="1" t="s">
        <v>763</v>
      </c>
      <c r="G142" s="10" t="s">
        <v>764</v>
      </c>
      <c r="H142" s="15" t="s">
        <v>191</v>
      </c>
      <c r="I142" s="15"/>
      <c r="J142" s="10">
        <v>3830</v>
      </c>
      <c r="K142" s="1" t="s">
        <v>371</v>
      </c>
      <c r="L142" t="s">
        <v>765</v>
      </c>
      <c r="M142">
        <v>14</v>
      </c>
      <c r="N142" t="str">
        <f>""</f>
        <v/>
      </c>
      <c r="O142" t="str">
        <f>""</f>
        <v/>
      </c>
      <c r="P142" t="str">
        <f>""</f>
        <v/>
      </c>
      <c r="Q142" t="str">
        <f>""</f>
        <v/>
      </c>
      <c r="R142" t="str">
        <f>""</f>
        <v/>
      </c>
      <c r="S142" t="str">
        <f>""</f>
        <v/>
      </c>
      <c r="T142" t="str">
        <f>""</f>
        <v/>
      </c>
      <c r="W142" t="str">
        <f>""</f>
        <v/>
      </c>
    </row>
    <row r="143" spans="1:23" ht="45" x14ac:dyDescent="0.25">
      <c r="A143" s="1">
        <f t="shared" si="2"/>
        <v>142</v>
      </c>
      <c r="B143" s="10">
        <v>3096</v>
      </c>
      <c r="C143" s="10" t="s">
        <v>118</v>
      </c>
      <c r="D143" s="10" t="s">
        <v>766</v>
      </c>
      <c r="E143" s="10" t="s">
        <v>767</v>
      </c>
      <c r="F143" s="1" t="s">
        <v>768</v>
      </c>
      <c r="G143" s="10" t="s">
        <v>769</v>
      </c>
      <c r="H143" s="15" t="s">
        <v>191</v>
      </c>
      <c r="I143" s="15"/>
      <c r="J143" s="10">
        <v>3800</v>
      </c>
      <c r="K143" s="1" t="s">
        <v>554</v>
      </c>
      <c r="L143" t="s">
        <v>150</v>
      </c>
      <c r="M143">
        <v>77</v>
      </c>
      <c r="N143" t="str">
        <f>""</f>
        <v/>
      </c>
      <c r="O143" t="str">
        <f>""</f>
        <v/>
      </c>
      <c r="P143" t="str">
        <f>""</f>
        <v/>
      </c>
      <c r="Q143" t="str">
        <f>""</f>
        <v/>
      </c>
      <c r="R143" t="str">
        <f>""</f>
        <v/>
      </c>
      <c r="S143" t="str">
        <f>""</f>
        <v/>
      </c>
      <c r="T143" t="str">
        <f>""</f>
        <v/>
      </c>
      <c r="W143" t="str">
        <f>""</f>
        <v/>
      </c>
    </row>
    <row r="144" spans="1:23" ht="120" x14ac:dyDescent="0.25">
      <c r="A144" s="1">
        <f t="shared" si="2"/>
        <v>143</v>
      </c>
      <c r="B144" s="10">
        <v>3098</v>
      </c>
      <c r="C144" s="10" t="s">
        <v>118</v>
      </c>
      <c r="D144" s="10" t="s">
        <v>770</v>
      </c>
      <c r="E144" s="10" t="s">
        <v>771</v>
      </c>
      <c r="F144" s="1" t="s">
        <v>772</v>
      </c>
      <c r="G144" s="10" t="s">
        <v>773</v>
      </c>
      <c r="H144" s="15" t="s">
        <v>191</v>
      </c>
      <c r="I144" s="15"/>
      <c r="J144" s="10">
        <v>3485</v>
      </c>
      <c r="K144" s="1" t="s">
        <v>774</v>
      </c>
      <c r="L144" t="s">
        <v>774</v>
      </c>
      <c r="M144">
        <v>4</v>
      </c>
      <c r="N144" t="str">
        <f>""</f>
        <v/>
      </c>
      <c r="O144" t="str">
        <f>""</f>
        <v/>
      </c>
      <c r="P144" t="str">
        <f>""</f>
        <v/>
      </c>
      <c r="Q144" t="str">
        <f>""</f>
        <v/>
      </c>
      <c r="R144" t="str">
        <f>""</f>
        <v/>
      </c>
      <c r="S144" t="str">
        <f>""</f>
        <v/>
      </c>
      <c r="T144" t="str">
        <f>""</f>
        <v/>
      </c>
      <c r="W144" t="str">
        <f>""</f>
        <v/>
      </c>
    </row>
    <row r="145" spans="1:23" ht="45" x14ac:dyDescent="0.25">
      <c r="A145" s="1">
        <f t="shared" si="2"/>
        <v>144</v>
      </c>
      <c r="B145" s="10">
        <v>3102</v>
      </c>
      <c r="C145" s="10" t="s">
        <v>118</v>
      </c>
      <c r="D145" s="10" t="s">
        <v>298</v>
      </c>
      <c r="E145" s="10" t="s">
        <v>775</v>
      </c>
      <c r="F145" s="1" t="s">
        <v>547</v>
      </c>
      <c r="G145" s="10" t="s">
        <v>776</v>
      </c>
      <c r="H145" s="15" t="s">
        <v>777</v>
      </c>
      <c r="I145" s="15" t="s">
        <v>778</v>
      </c>
      <c r="J145" s="10">
        <v>3572</v>
      </c>
      <c r="K145" s="1" t="s">
        <v>779</v>
      </c>
      <c r="L145" t="s">
        <v>780</v>
      </c>
      <c r="M145">
        <v>4</v>
      </c>
      <c r="N145" t="str">
        <f>""</f>
        <v/>
      </c>
      <c r="O145" t="str">
        <f>""</f>
        <v/>
      </c>
      <c r="P145" t="str">
        <f>""</f>
        <v/>
      </c>
      <c r="Q145" t="str">
        <f>""</f>
        <v/>
      </c>
      <c r="R145" t="str">
        <f>""</f>
        <v/>
      </c>
      <c r="S145" t="str">
        <f>""</f>
        <v/>
      </c>
      <c r="T145" t="str">
        <f>""</f>
        <v/>
      </c>
      <c r="W145" t="str">
        <f>""</f>
        <v/>
      </c>
    </row>
    <row r="146" spans="1:23" ht="30" x14ac:dyDescent="0.25">
      <c r="A146" s="1">
        <f t="shared" si="2"/>
        <v>145</v>
      </c>
      <c r="B146" s="10">
        <v>3105</v>
      </c>
      <c r="C146" s="10" t="s">
        <v>118</v>
      </c>
      <c r="D146" s="10" t="s">
        <v>298</v>
      </c>
      <c r="E146" s="10" t="s">
        <v>781</v>
      </c>
      <c r="F146" s="1" t="s">
        <v>782</v>
      </c>
      <c r="G146" s="10" t="s">
        <v>783</v>
      </c>
      <c r="H146" s="15" t="s">
        <v>191</v>
      </c>
      <c r="I146" s="15"/>
      <c r="J146" s="10">
        <v>2084</v>
      </c>
      <c r="K146" s="1" t="s">
        <v>784</v>
      </c>
      <c r="L146" t="s">
        <v>785</v>
      </c>
      <c r="M146">
        <v>55</v>
      </c>
      <c r="N146" t="str">
        <f>""</f>
        <v/>
      </c>
      <c r="O146" t="str">
        <f>""</f>
        <v/>
      </c>
      <c r="P146" t="str">
        <f>""</f>
        <v/>
      </c>
      <c r="Q146" t="str">
        <f>""</f>
        <v/>
      </c>
      <c r="R146" t="str">
        <f>""</f>
        <v/>
      </c>
      <c r="S146" t="str">
        <f>""</f>
        <v/>
      </c>
      <c r="T146" t="str">
        <f>""</f>
        <v/>
      </c>
      <c r="W146" t="str">
        <f>""</f>
        <v/>
      </c>
    </row>
    <row r="147" spans="1:23" ht="30" x14ac:dyDescent="0.25">
      <c r="A147" s="1">
        <f t="shared" si="2"/>
        <v>146</v>
      </c>
      <c r="B147" s="10">
        <v>3107</v>
      </c>
      <c r="C147" s="10" t="s">
        <v>118</v>
      </c>
      <c r="D147" s="10" t="s">
        <v>298</v>
      </c>
      <c r="E147" s="10" t="s">
        <v>786</v>
      </c>
      <c r="F147" s="1" t="s">
        <v>483</v>
      </c>
      <c r="G147" s="10" t="s">
        <v>787</v>
      </c>
      <c r="H147" s="15" t="s">
        <v>191</v>
      </c>
      <c r="I147" s="15"/>
      <c r="J147" s="10">
        <v>2042</v>
      </c>
      <c r="K147" s="1" t="s">
        <v>730</v>
      </c>
      <c r="L147" t="s">
        <v>730</v>
      </c>
      <c r="M147">
        <v>110</v>
      </c>
      <c r="N147" t="str">
        <f>""</f>
        <v/>
      </c>
      <c r="O147" t="str">
        <f>""</f>
        <v/>
      </c>
      <c r="P147" t="str">
        <f>""</f>
        <v/>
      </c>
      <c r="Q147" t="str">
        <f>""</f>
        <v/>
      </c>
      <c r="R147" t="str">
        <f>""</f>
        <v/>
      </c>
      <c r="S147" t="str">
        <f>""</f>
        <v/>
      </c>
      <c r="T147" t="str">
        <f>""</f>
        <v/>
      </c>
      <c r="W147" t="str">
        <f>""</f>
        <v/>
      </c>
    </row>
    <row r="148" spans="1:23" ht="45" x14ac:dyDescent="0.25">
      <c r="A148" s="1">
        <f t="shared" si="2"/>
        <v>147</v>
      </c>
      <c r="B148" s="10">
        <v>3113</v>
      </c>
      <c r="C148" s="10" t="s">
        <v>118</v>
      </c>
      <c r="D148" s="10" t="s">
        <v>788</v>
      </c>
      <c r="E148" s="10" t="s">
        <v>789</v>
      </c>
      <c r="F148" s="1" t="s">
        <v>790</v>
      </c>
      <c r="G148" s="10" t="s">
        <v>791</v>
      </c>
      <c r="H148" s="15" t="s">
        <v>191</v>
      </c>
      <c r="I148" s="15"/>
      <c r="J148" s="10">
        <v>3910</v>
      </c>
      <c r="K148" s="1" t="s">
        <v>125</v>
      </c>
      <c r="L148" t="s">
        <v>792</v>
      </c>
      <c r="M148">
        <v>2</v>
      </c>
      <c r="N148" t="str">
        <f>""</f>
        <v/>
      </c>
      <c r="O148" t="str">
        <f>""</f>
        <v/>
      </c>
      <c r="P148" t="str">
        <f>""</f>
        <v/>
      </c>
      <c r="Q148" t="str">
        <f>""</f>
        <v/>
      </c>
      <c r="R148" t="str">
        <f>""</f>
        <v/>
      </c>
      <c r="S148" t="str">
        <f>""</f>
        <v/>
      </c>
      <c r="T148" t="str">
        <f>""</f>
        <v/>
      </c>
      <c r="W148" t="str">
        <f>""</f>
        <v/>
      </c>
    </row>
    <row r="149" spans="1:23" ht="45" x14ac:dyDescent="0.25">
      <c r="A149" s="1">
        <f t="shared" si="2"/>
        <v>148</v>
      </c>
      <c r="B149" s="10">
        <v>3116</v>
      </c>
      <c r="C149" s="10" t="s">
        <v>118</v>
      </c>
      <c r="D149" s="10" t="s">
        <v>793</v>
      </c>
      <c r="E149" s="10" t="s">
        <v>794</v>
      </c>
      <c r="F149" s="1" t="s">
        <v>322</v>
      </c>
      <c r="G149" s="10" t="s">
        <v>794</v>
      </c>
      <c r="H149" s="15" t="s">
        <v>191</v>
      </c>
      <c r="I149" s="15"/>
      <c r="J149" s="10">
        <v>3944</v>
      </c>
      <c r="K149" s="1" t="s">
        <v>257</v>
      </c>
      <c r="L149" t="s">
        <v>795</v>
      </c>
      <c r="M149">
        <v>24</v>
      </c>
      <c r="N149" t="str">
        <f>""</f>
        <v/>
      </c>
      <c r="O149" t="str">
        <f>""</f>
        <v/>
      </c>
      <c r="P149" t="str">
        <f>""</f>
        <v/>
      </c>
      <c r="Q149" t="str">
        <f>""</f>
        <v/>
      </c>
      <c r="R149" t="str">
        <f>""</f>
        <v/>
      </c>
      <c r="S149" t="str">
        <f>""</f>
        <v/>
      </c>
      <c r="T149" t="str">
        <f>""</f>
        <v/>
      </c>
      <c r="W149" t="str">
        <f>""</f>
        <v/>
      </c>
    </row>
    <row r="150" spans="1:23" ht="75" x14ac:dyDescent="0.25">
      <c r="A150" s="1">
        <f t="shared" si="2"/>
        <v>149</v>
      </c>
      <c r="B150" s="10">
        <v>3119</v>
      </c>
      <c r="C150" s="10" t="s">
        <v>118</v>
      </c>
      <c r="D150" s="10" t="s">
        <v>796</v>
      </c>
      <c r="E150" s="10" t="s">
        <v>797</v>
      </c>
      <c r="F150" s="1" t="s">
        <v>591</v>
      </c>
      <c r="G150" s="10" t="s">
        <v>798</v>
      </c>
      <c r="H150" s="15" t="s">
        <v>191</v>
      </c>
      <c r="I150" s="15"/>
      <c r="J150" s="10">
        <v>3572</v>
      </c>
      <c r="K150" s="1" t="s">
        <v>799</v>
      </c>
      <c r="L150" t="s">
        <v>800</v>
      </c>
      <c r="M150">
        <v>74</v>
      </c>
      <c r="N150" t="str">
        <f>""</f>
        <v/>
      </c>
      <c r="O150" t="str">
        <f>""</f>
        <v/>
      </c>
      <c r="P150" t="str">
        <f>""</f>
        <v/>
      </c>
      <c r="Q150" t="str">
        <f>""</f>
        <v/>
      </c>
      <c r="R150" t="str">
        <f>""</f>
        <v/>
      </c>
      <c r="S150" t="str">
        <f>""</f>
        <v/>
      </c>
      <c r="T150" t="str">
        <f>""</f>
        <v/>
      </c>
      <c r="W150" t="str">
        <f>""</f>
        <v/>
      </c>
    </row>
    <row r="151" spans="1:23" ht="75" x14ac:dyDescent="0.25">
      <c r="A151" s="1">
        <f t="shared" si="2"/>
        <v>150</v>
      </c>
      <c r="B151" s="10">
        <v>3120</v>
      </c>
      <c r="C151" s="10" t="s">
        <v>118</v>
      </c>
      <c r="D151" s="10" t="s">
        <v>801</v>
      </c>
      <c r="E151" s="10" t="s">
        <v>802</v>
      </c>
      <c r="F151" s="1" t="s">
        <v>803</v>
      </c>
      <c r="G151" s="10" t="s">
        <v>804</v>
      </c>
      <c r="H151" s="15" t="s">
        <v>191</v>
      </c>
      <c r="I151" s="15"/>
      <c r="J151" s="10">
        <v>3580</v>
      </c>
      <c r="K151" s="1" t="s">
        <v>103</v>
      </c>
      <c r="L151" t="s">
        <v>805</v>
      </c>
      <c r="M151">
        <v>7</v>
      </c>
      <c r="N151" t="str">
        <f>""</f>
        <v/>
      </c>
      <c r="O151" t="str">
        <f>""</f>
        <v/>
      </c>
      <c r="P151" t="str">
        <f>""</f>
        <v/>
      </c>
      <c r="Q151" t="str">
        <f>""</f>
        <v/>
      </c>
      <c r="R151" t="str">
        <f>""</f>
        <v/>
      </c>
      <c r="S151" t="str">
        <f>""</f>
        <v/>
      </c>
      <c r="T151" t="str">
        <f>""</f>
        <v/>
      </c>
      <c r="W151" t="str">
        <f>""</f>
        <v/>
      </c>
    </row>
    <row r="152" spans="1:23" ht="90" x14ac:dyDescent="0.25">
      <c r="A152" s="1">
        <f t="shared" si="2"/>
        <v>151</v>
      </c>
      <c r="B152" s="10">
        <v>3121</v>
      </c>
      <c r="C152" s="10" t="s">
        <v>118</v>
      </c>
      <c r="D152" s="10" t="s">
        <v>806</v>
      </c>
      <c r="E152" s="10" t="s">
        <v>807</v>
      </c>
      <c r="F152" s="1" t="s">
        <v>306</v>
      </c>
      <c r="G152" s="10" t="s">
        <v>808</v>
      </c>
      <c r="H152" s="15" t="s">
        <v>191</v>
      </c>
      <c r="I152" s="15"/>
      <c r="J152" s="10">
        <v>3580</v>
      </c>
      <c r="K152" s="1" t="s">
        <v>809</v>
      </c>
      <c r="L152" t="s">
        <v>810</v>
      </c>
      <c r="M152">
        <v>12</v>
      </c>
      <c r="N152" t="str">
        <f>""</f>
        <v/>
      </c>
      <c r="O152" t="str">
        <f>""</f>
        <v/>
      </c>
      <c r="P152" t="str">
        <f>""</f>
        <v/>
      </c>
      <c r="Q152" t="str">
        <f>""</f>
        <v/>
      </c>
      <c r="R152" t="str">
        <f>""</f>
        <v/>
      </c>
      <c r="S152" t="str">
        <f>""</f>
        <v/>
      </c>
      <c r="T152" t="str">
        <f>""</f>
        <v/>
      </c>
      <c r="W152" t="str">
        <f>""</f>
        <v/>
      </c>
    </row>
    <row r="153" spans="1:23" ht="30" x14ac:dyDescent="0.25">
      <c r="A153" s="1">
        <f t="shared" si="2"/>
        <v>152</v>
      </c>
      <c r="B153" s="10">
        <v>3123</v>
      </c>
      <c r="C153" s="10" t="s">
        <v>118</v>
      </c>
      <c r="D153" s="10" t="s">
        <v>298</v>
      </c>
      <c r="E153" s="10" t="s">
        <v>811</v>
      </c>
      <c r="F153" s="1" t="s">
        <v>812</v>
      </c>
      <c r="G153" s="10" t="s">
        <v>813</v>
      </c>
      <c r="H153" s="15" t="s">
        <v>191</v>
      </c>
      <c r="I153" s="15"/>
      <c r="J153" s="10">
        <v>2061</v>
      </c>
      <c r="K153" s="1" t="s">
        <v>814</v>
      </c>
      <c r="L153" t="s">
        <v>815</v>
      </c>
      <c r="M153">
        <v>57</v>
      </c>
      <c r="N153" t="str">
        <f>""</f>
        <v/>
      </c>
      <c r="O153" t="str">
        <f>""</f>
        <v/>
      </c>
      <c r="P153" t="str">
        <f>""</f>
        <v/>
      </c>
      <c r="Q153" t="str">
        <f>""</f>
        <v/>
      </c>
      <c r="R153" t="str">
        <f>""</f>
        <v/>
      </c>
      <c r="S153" t="str">
        <f>""</f>
        <v/>
      </c>
      <c r="T153" t="str">
        <f>""</f>
        <v/>
      </c>
      <c r="W153" t="str">
        <f>""</f>
        <v/>
      </c>
    </row>
    <row r="154" spans="1:23" ht="45" x14ac:dyDescent="0.25">
      <c r="A154" s="1">
        <f t="shared" si="2"/>
        <v>153</v>
      </c>
      <c r="B154" s="10">
        <v>3125</v>
      </c>
      <c r="C154" s="10" t="s">
        <v>118</v>
      </c>
      <c r="D154" s="10" t="s">
        <v>298</v>
      </c>
      <c r="E154" s="10" t="s">
        <v>816</v>
      </c>
      <c r="F154" s="1" t="s">
        <v>315</v>
      </c>
      <c r="G154" s="10" t="s">
        <v>817</v>
      </c>
      <c r="H154" s="15" t="s">
        <v>191</v>
      </c>
      <c r="I154" s="15"/>
      <c r="J154" s="10">
        <v>3500</v>
      </c>
      <c r="K154" s="1" t="s">
        <v>572</v>
      </c>
      <c r="L154" t="s">
        <v>818</v>
      </c>
      <c r="M154">
        <v>10</v>
      </c>
      <c r="N154" t="str">
        <f>""</f>
        <v/>
      </c>
      <c r="O154" t="str">
        <f>""</f>
        <v/>
      </c>
      <c r="P154" t="str">
        <f>""</f>
        <v/>
      </c>
      <c r="Q154" t="str">
        <f>""</f>
        <v/>
      </c>
      <c r="R154" t="str">
        <f>""</f>
        <v/>
      </c>
      <c r="S154" t="str">
        <f>""</f>
        <v/>
      </c>
      <c r="T154" t="str">
        <f>""</f>
        <v/>
      </c>
      <c r="W154" t="str">
        <f>""</f>
        <v/>
      </c>
    </row>
    <row r="155" spans="1:23" ht="45" x14ac:dyDescent="0.25">
      <c r="A155" s="1">
        <f t="shared" si="2"/>
        <v>154</v>
      </c>
      <c r="B155" s="10">
        <v>3126</v>
      </c>
      <c r="C155" s="10" t="s">
        <v>118</v>
      </c>
      <c r="D155" s="10" t="s">
        <v>298</v>
      </c>
      <c r="E155" s="10" t="s">
        <v>819</v>
      </c>
      <c r="F155" s="1" t="s">
        <v>782</v>
      </c>
      <c r="G155" s="10" t="s">
        <v>820</v>
      </c>
      <c r="H155" s="15" t="s">
        <v>191</v>
      </c>
      <c r="I155" s="15"/>
      <c r="J155" s="10">
        <v>3812</v>
      </c>
      <c r="K155" s="1" t="s">
        <v>585</v>
      </c>
      <c r="L155" t="s">
        <v>821</v>
      </c>
      <c r="M155">
        <v>4</v>
      </c>
      <c r="N155" t="str">
        <f>""</f>
        <v/>
      </c>
      <c r="O155" t="str">
        <f>""</f>
        <v/>
      </c>
      <c r="P155" t="str">
        <f>""</f>
        <v/>
      </c>
      <c r="Q155" t="str">
        <f>""</f>
        <v/>
      </c>
      <c r="R155" t="str">
        <f>""</f>
        <v/>
      </c>
      <c r="S155" t="str">
        <f>""</f>
        <v/>
      </c>
      <c r="T155" t="str">
        <f>""</f>
        <v/>
      </c>
      <c r="W155" t="str">
        <f>""</f>
        <v/>
      </c>
    </row>
    <row r="156" spans="1:23" ht="45" x14ac:dyDescent="0.25">
      <c r="A156" s="1">
        <f t="shared" si="2"/>
        <v>155</v>
      </c>
      <c r="B156" s="10">
        <v>3127</v>
      </c>
      <c r="C156" s="10" t="s">
        <v>118</v>
      </c>
      <c r="D156" s="10" t="s">
        <v>298</v>
      </c>
      <c r="E156" s="10" t="s">
        <v>822</v>
      </c>
      <c r="F156" s="1" t="s">
        <v>823</v>
      </c>
      <c r="G156" s="10" t="s">
        <v>247</v>
      </c>
      <c r="H156" s="15" t="s">
        <v>191</v>
      </c>
      <c r="I156" s="15"/>
      <c r="J156" s="10">
        <v>3500</v>
      </c>
      <c r="K156" s="1" t="s">
        <v>572</v>
      </c>
      <c r="L156" t="s">
        <v>824</v>
      </c>
      <c r="M156">
        <v>30</v>
      </c>
      <c r="N156" t="str">
        <f>""</f>
        <v/>
      </c>
      <c r="O156" t="str">
        <f>""</f>
        <v/>
      </c>
      <c r="P156" t="str">
        <f>""</f>
        <v/>
      </c>
      <c r="Q156" t="str">
        <f>""</f>
        <v/>
      </c>
      <c r="R156" t="str">
        <f>""</f>
        <v/>
      </c>
      <c r="S156" t="str">
        <f>""</f>
        <v/>
      </c>
      <c r="T156" t="str">
        <f>""</f>
        <v/>
      </c>
      <c r="W156" t="str">
        <f>""</f>
        <v/>
      </c>
    </row>
    <row r="157" spans="1:23" ht="30" x14ac:dyDescent="0.25">
      <c r="A157" s="1">
        <f t="shared" si="2"/>
        <v>156</v>
      </c>
      <c r="B157" s="10">
        <v>3128</v>
      </c>
      <c r="C157" s="10" t="s">
        <v>118</v>
      </c>
      <c r="D157" s="10" t="s">
        <v>298</v>
      </c>
      <c r="E157" s="10" t="s">
        <v>825</v>
      </c>
      <c r="F157" s="1" t="s">
        <v>335</v>
      </c>
      <c r="G157" s="10" t="s">
        <v>826</v>
      </c>
      <c r="H157" s="15" t="s">
        <v>191</v>
      </c>
      <c r="I157" s="15"/>
      <c r="J157" s="10">
        <v>3920</v>
      </c>
      <c r="K157" s="1" t="s">
        <v>827</v>
      </c>
      <c r="L157" t="s">
        <v>828</v>
      </c>
      <c r="M157">
        <v>15</v>
      </c>
      <c r="N157" t="str">
        <f>""</f>
        <v/>
      </c>
      <c r="O157" t="str">
        <f>""</f>
        <v/>
      </c>
      <c r="P157" t="str">
        <f>""</f>
        <v/>
      </c>
      <c r="Q157" t="str">
        <f>""</f>
        <v/>
      </c>
      <c r="R157" t="str">
        <f>""</f>
        <v/>
      </c>
      <c r="S157" t="str">
        <f>""</f>
        <v/>
      </c>
      <c r="T157" t="str">
        <f>""</f>
        <v/>
      </c>
      <c r="W157" t="str">
        <f>""</f>
        <v/>
      </c>
    </row>
    <row r="158" spans="1:23" ht="45" x14ac:dyDescent="0.25">
      <c r="A158" s="1">
        <f t="shared" si="2"/>
        <v>157</v>
      </c>
      <c r="B158" s="10">
        <v>3129</v>
      </c>
      <c r="C158" s="10" t="s">
        <v>118</v>
      </c>
      <c r="D158" s="10" t="s">
        <v>298</v>
      </c>
      <c r="E158" s="10" t="s">
        <v>272</v>
      </c>
      <c r="F158" s="1" t="s">
        <v>541</v>
      </c>
      <c r="G158" s="10" t="s">
        <v>757</v>
      </c>
      <c r="H158" s="15" t="s">
        <v>191</v>
      </c>
      <c r="I158" s="15"/>
      <c r="J158" s="10">
        <v>3500</v>
      </c>
      <c r="K158" s="1" t="s">
        <v>572</v>
      </c>
      <c r="L158" t="s">
        <v>829</v>
      </c>
      <c r="M158">
        <v>5</v>
      </c>
      <c r="N158" t="str">
        <f>""</f>
        <v/>
      </c>
      <c r="O158" t="str">
        <f>""</f>
        <v/>
      </c>
      <c r="P158" t="str">
        <f>""</f>
        <v/>
      </c>
      <c r="Q158" t="str">
        <f>""</f>
        <v/>
      </c>
      <c r="R158" t="str">
        <f>""</f>
        <v/>
      </c>
      <c r="S158" t="str">
        <f>""</f>
        <v/>
      </c>
      <c r="T158" t="str">
        <f>""</f>
        <v/>
      </c>
      <c r="W158" t="str">
        <f>""</f>
        <v/>
      </c>
    </row>
    <row r="159" spans="1:23" ht="120" x14ac:dyDescent="0.25">
      <c r="A159" s="1">
        <f t="shared" si="2"/>
        <v>158</v>
      </c>
      <c r="B159" s="10">
        <v>3130</v>
      </c>
      <c r="C159" s="10" t="s">
        <v>118</v>
      </c>
      <c r="D159" s="10" t="s">
        <v>830</v>
      </c>
      <c r="E159" s="10" t="s">
        <v>831</v>
      </c>
      <c r="F159" s="1" t="s">
        <v>832</v>
      </c>
      <c r="G159" s="10" t="s">
        <v>576</v>
      </c>
      <c r="H159" s="15" t="s">
        <v>191</v>
      </c>
      <c r="I159" s="15"/>
      <c r="J159" s="10">
        <v>3830</v>
      </c>
      <c r="K159" s="1" t="s">
        <v>371</v>
      </c>
      <c r="L159" t="s">
        <v>415</v>
      </c>
      <c r="M159">
        <v>57</v>
      </c>
      <c r="N159" t="str">
        <f>""</f>
        <v/>
      </c>
      <c r="O159" t="str">
        <f>""</f>
        <v/>
      </c>
      <c r="P159" t="str">
        <f>""</f>
        <v/>
      </c>
      <c r="Q159" t="str">
        <f>""</f>
        <v/>
      </c>
      <c r="R159" t="str">
        <f>""</f>
        <v/>
      </c>
      <c r="S159" t="str">
        <f>""</f>
        <v/>
      </c>
      <c r="T159" t="str">
        <f>""</f>
        <v/>
      </c>
      <c r="W159" t="str">
        <f>""</f>
        <v/>
      </c>
    </row>
    <row r="160" spans="1:23" ht="30" x14ac:dyDescent="0.25">
      <c r="A160" s="1">
        <f t="shared" si="2"/>
        <v>159</v>
      </c>
      <c r="B160" s="10">
        <v>3132</v>
      </c>
      <c r="C160" s="10" t="s">
        <v>118</v>
      </c>
      <c r="D160" s="10" t="s">
        <v>298</v>
      </c>
      <c r="E160" s="10" t="s">
        <v>833</v>
      </c>
      <c r="F160" s="1" t="s">
        <v>498</v>
      </c>
      <c r="G160" s="10" t="s">
        <v>834</v>
      </c>
      <c r="H160" s="15" t="s">
        <v>191</v>
      </c>
      <c r="I160" s="15"/>
      <c r="J160" s="10">
        <v>3753</v>
      </c>
      <c r="K160" s="1" t="s">
        <v>363</v>
      </c>
      <c r="L160" t="s">
        <v>363</v>
      </c>
      <c r="M160">
        <v>1</v>
      </c>
      <c r="N160" t="str">
        <f>""</f>
        <v/>
      </c>
      <c r="O160" t="str">
        <f>""</f>
        <v/>
      </c>
      <c r="P160" t="str">
        <f>""</f>
        <v/>
      </c>
      <c r="Q160" t="str">
        <f>""</f>
        <v/>
      </c>
      <c r="R160" t="str">
        <f>""</f>
        <v/>
      </c>
      <c r="S160" t="str">
        <f>""</f>
        <v/>
      </c>
      <c r="T160" t="str">
        <f>""</f>
        <v/>
      </c>
      <c r="W160" t="str">
        <f>""</f>
        <v/>
      </c>
    </row>
    <row r="161" spans="1:23" ht="45" x14ac:dyDescent="0.25">
      <c r="A161" s="1">
        <f t="shared" si="2"/>
        <v>160</v>
      </c>
      <c r="B161" s="10">
        <v>3133</v>
      </c>
      <c r="C161" s="10" t="s">
        <v>118</v>
      </c>
      <c r="D161" s="10" t="s">
        <v>835</v>
      </c>
      <c r="E161" s="10" t="s">
        <v>836</v>
      </c>
      <c r="F161" s="1" t="s">
        <v>348</v>
      </c>
      <c r="G161" s="10" t="s">
        <v>837</v>
      </c>
      <c r="H161" s="15" t="s">
        <v>191</v>
      </c>
      <c r="I161" s="15"/>
      <c r="J161" s="10">
        <v>3925</v>
      </c>
      <c r="K161" s="1" t="s">
        <v>838</v>
      </c>
      <c r="L161" t="s">
        <v>838</v>
      </c>
      <c r="M161">
        <v>77</v>
      </c>
      <c r="N161" t="str">
        <f>""</f>
        <v/>
      </c>
      <c r="O161" t="str">
        <f>""</f>
        <v/>
      </c>
      <c r="P161" t="str">
        <f>""</f>
        <v/>
      </c>
      <c r="Q161" t="str">
        <f>""</f>
        <v/>
      </c>
      <c r="R161" t="str">
        <f>""</f>
        <v/>
      </c>
      <c r="S161" t="str">
        <f>""</f>
        <v/>
      </c>
      <c r="T161" t="str">
        <f>""</f>
        <v/>
      </c>
      <c r="W161" t="str">
        <f>""</f>
        <v/>
      </c>
    </row>
    <row r="162" spans="1:23" ht="60" x14ac:dyDescent="0.25">
      <c r="A162" s="1">
        <f t="shared" si="2"/>
        <v>161</v>
      </c>
      <c r="B162" s="10">
        <v>3135</v>
      </c>
      <c r="C162" s="10" t="s">
        <v>118</v>
      </c>
      <c r="D162" s="10" t="s">
        <v>839</v>
      </c>
      <c r="E162" s="10" t="s">
        <v>840</v>
      </c>
      <c r="F162" s="1" t="s">
        <v>153</v>
      </c>
      <c r="G162" s="10" t="s">
        <v>235</v>
      </c>
      <c r="H162" s="15" t="s">
        <v>191</v>
      </c>
      <c r="I162" s="15"/>
      <c r="J162" s="10">
        <v>2130</v>
      </c>
      <c r="K162" s="1" t="s">
        <v>841</v>
      </c>
      <c r="L162" t="s">
        <v>842</v>
      </c>
      <c r="M162">
        <v>44</v>
      </c>
      <c r="N162" t="str">
        <f>""</f>
        <v/>
      </c>
      <c r="O162" t="str">
        <f>""</f>
        <v/>
      </c>
      <c r="P162" t="str">
        <f>""</f>
        <v/>
      </c>
      <c r="Q162" t="str">
        <f>""</f>
        <v/>
      </c>
      <c r="R162" t="str">
        <f>""</f>
        <v/>
      </c>
      <c r="S162" t="str">
        <f>""</f>
        <v/>
      </c>
      <c r="T162" t="str">
        <f>""</f>
        <v/>
      </c>
      <c r="W162" t="str">
        <f>""</f>
        <v/>
      </c>
    </row>
    <row r="163" spans="1:23" ht="45" x14ac:dyDescent="0.25">
      <c r="A163" s="1">
        <f t="shared" si="2"/>
        <v>162</v>
      </c>
      <c r="B163" s="10">
        <v>3137</v>
      </c>
      <c r="C163" s="10" t="s">
        <v>118</v>
      </c>
      <c r="D163" s="10" t="s">
        <v>298</v>
      </c>
      <c r="E163" s="10" t="s">
        <v>843</v>
      </c>
      <c r="F163" s="1" t="s">
        <v>541</v>
      </c>
      <c r="G163" s="10" t="s">
        <v>844</v>
      </c>
      <c r="H163" s="15" t="s">
        <v>191</v>
      </c>
      <c r="I163" s="15"/>
      <c r="J163" s="10">
        <v>3562</v>
      </c>
      <c r="K163" s="1" t="s">
        <v>845</v>
      </c>
      <c r="L163" t="s">
        <v>846</v>
      </c>
      <c r="M163">
        <v>21</v>
      </c>
      <c r="N163" t="str">
        <f>""</f>
        <v/>
      </c>
      <c r="O163" t="str">
        <f>""</f>
        <v/>
      </c>
      <c r="P163" t="str">
        <f>""</f>
        <v/>
      </c>
      <c r="Q163" t="str">
        <f>""</f>
        <v/>
      </c>
      <c r="R163" t="str">
        <f>""</f>
        <v/>
      </c>
      <c r="S163" t="str">
        <f>""</f>
        <v/>
      </c>
      <c r="T163" t="str">
        <f>""</f>
        <v/>
      </c>
      <c r="W163" t="str">
        <f>""</f>
        <v/>
      </c>
    </row>
    <row r="164" spans="1:23" ht="60" x14ac:dyDescent="0.25">
      <c r="A164" s="1">
        <f t="shared" si="2"/>
        <v>163</v>
      </c>
      <c r="B164" s="10">
        <v>3139</v>
      </c>
      <c r="C164" s="10" t="s">
        <v>118</v>
      </c>
      <c r="D164" s="10" t="s">
        <v>847</v>
      </c>
      <c r="E164" s="10" t="s">
        <v>848</v>
      </c>
      <c r="F164" s="1" t="s">
        <v>832</v>
      </c>
      <c r="G164" s="10" t="s">
        <v>849</v>
      </c>
      <c r="H164" s="15" t="s">
        <v>191</v>
      </c>
      <c r="I164" s="15"/>
      <c r="J164" s="10">
        <v>3591</v>
      </c>
      <c r="K164" s="1" t="s">
        <v>357</v>
      </c>
      <c r="L164" t="s">
        <v>850</v>
      </c>
      <c r="M164">
        <v>1</v>
      </c>
      <c r="N164" t="str">
        <f>""</f>
        <v/>
      </c>
      <c r="O164" t="str">
        <f>""</f>
        <v/>
      </c>
      <c r="P164" t="str">
        <f>""</f>
        <v/>
      </c>
      <c r="Q164" t="str">
        <f>""</f>
        <v/>
      </c>
      <c r="R164" t="str">
        <f>""</f>
        <v/>
      </c>
      <c r="S164" t="str">
        <f>""</f>
        <v/>
      </c>
      <c r="T164" t="str">
        <f>""</f>
        <v/>
      </c>
      <c r="W164" t="str">
        <f>""</f>
        <v/>
      </c>
    </row>
    <row r="165" spans="1:23" x14ac:dyDescent="0.25">
      <c r="A165" s="1">
        <f t="shared" si="2"/>
        <v>164</v>
      </c>
      <c r="B165" s="10">
        <v>3142</v>
      </c>
      <c r="C165" s="10" t="s">
        <v>118</v>
      </c>
      <c r="D165" s="10" t="s">
        <v>298</v>
      </c>
      <c r="E165" s="10" t="s">
        <v>851</v>
      </c>
      <c r="F165" s="1" t="s">
        <v>234</v>
      </c>
      <c r="G165" s="10" t="s">
        <v>852</v>
      </c>
      <c r="H165" s="15" t="s">
        <v>191</v>
      </c>
      <c r="I165" s="15"/>
      <c r="J165" s="10">
        <v>3580</v>
      </c>
      <c r="K165" s="1" t="s">
        <v>103</v>
      </c>
      <c r="L165" t="s">
        <v>853</v>
      </c>
      <c r="M165">
        <v>7</v>
      </c>
      <c r="N165" t="str">
        <f>""</f>
        <v/>
      </c>
      <c r="O165" t="str">
        <f>""</f>
        <v/>
      </c>
      <c r="P165" t="str">
        <f>""</f>
        <v/>
      </c>
      <c r="Q165" t="str">
        <f>""</f>
        <v/>
      </c>
      <c r="R165" t="str">
        <f>""</f>
        <v/>
      </c>
      <c r="S165" t="str">
        <f>""</f>
        <v/>
      </c>
      <c r="T165" t="str">
        <f>""</f>
        <v/>
      </c>
      <c r="W165" t="str">
        <f>""</f>
        <v/>
      </c>
    </row>
    <row r="166" spans="1:23" ht="30" x14ac:dyDescent="0.25">
      <c r="A166" s="1">
        <f t="shared" si="2"/>
        <v>165</v>
      </c>
      <c r="B166" s="10">
        <v>3144</v>
      </c>
      <c r="C166" s="10" t="s">
        <v>118</v>
      </c>
      <c r="D166" s="10" t="s">
        <v>854</v>
      </c>
      <c r="E166" s="10" t="s">
        <v>855</v>
      </c>
      <c r="F166" s="1" t="s">
        <v>201</v>
      </c>
      <c r="G166" s="10" t="s">
        <v>856</v>
      </c>
      <c r="H166" s="15" t="s">
        <v>191</v>
      </c>
      <c r="I166" s="15"/>
      <c r="J166" s="10">
        <v>3730</v>
      </c>
      <c r="K166" s="1" t="s">
        <v>282</v>
      </c>
      <c r="L166" t="s">
        <v>857</v>
      </c>
      <c r="M166">
        <v>1</v>
      </c>
      <c r="N166" t="str">
        <f>""</f>
        <v/>
      </c>
      <c r="O166" t="str">
        <f>""</f>
        <v/>
      </c>
      <c r="P166" t="str">
        <f>""</f>
        <v/>
      </c>
      <c r="Q166" t="str">
        <f>""</f>
        <v/>
      </c>
      <c r="R166" t="str">
        <f>""</f>
        <v/>
      </c>
      <c r="S166" t="str">
        <f>""</f>
        <v/>
      </c>
      <c r="T166" t="str">
        <f>""</f>
        <v/>
      </c>
      <c r="W166" t="str">
        <f>""</f>
        <v/>
      </c>
    </row>
    <row r="167" spans="1:23" ht="45" x14ac:dyDescent="0.25">
      <c r="A167" s="1">
        <f t="shared" si="2"/>
        <v>166</v>
      </c>
      <c r="B167" s="10">
        <v>3146</v>
      </c>
      <c r="C167" s="10" t="s">
        <v>118</v>
      </c>
      <c r="D167" s="10" t="s">
        <v>858</v>
      </c>
      <c r="E167" s="10" t="s">
        <v>859</v>
      </c>
      <c r="F167" s="1" t="s">
        <v>620</v>
      </c>
      <c r="G167" s="10" t="s">
        <v>860</v>
      </c>
      <c r="H167" s="15" t="s">
        <v>191</v>
      </c>
      <c r="I167" s="15"/>
      <c r="J167" s="10">
        <v>3753</v>
      </c>
      <c r="K167" s="1" t="s">
        <v>433</v>
      </c>
      <c r="L167" t="s">
        <v>434</v>
      </c>
      <c r="M167">
        <v>58</v>
      </c>
      <c r="N167" t="str">
        <f>""</f>
        <v/>
      </c>
      <c r="O167" t="str">
        <f>""</f>
        <v/>
      </c>
      <c r="P167" t="str">
        <f>""</f>
        <v/>
      </c>
      <c r="Q167" t="str">
        <f>""</f>
        <v/>
      </c>
      <c r="R167" t="str">
        <f>""</f>
        <v/>
      </c>
      <c r="S167" t="str">
        <f>""</f>
        <v/>
      </c>
      <c r="T167" t="str">
        <f>""</f>
        <v/>
      </c>
      <c r="W167" t="str">
        <f>""</f>
        <v/>
      </c>
    </row>
    <row r="168" spans="1:23" ht="45" x14ac:dyDescent="0.25">
      <c r="A168" s="1">
        <f t="shared" si="2"/>
        <v>167</v>
      </c>
      <c r="B168" s="10">
        <v>3147</v>
      </c>
      <c r="C168" s="10" t="s">
        <v>118</v>
      </c>
      <c r="D168" s="10" t="s">
        <v>861</v>
      </c>
      <c r="E168" s="10" t="s">
        <v>862</v>
      </c>
      <c r="F168" s="1" t="s">
        <v>863</v>
      </c>
      <c r="G168" s="10" t="s">
        <v>864</v>
      </c>
      <c r="H168" s="15" t="s">
        <v>191</v>
      </c>
      <c r="I168" s="15"/>
      <c r="J168" s="10">
        <v>3822</v>
      </c>
      <c r="K168" s="1" t="s">
        <v>865</v>
      </c>
      <c r="L168" t="s">
        <v>866</v>
      </c>
      <c r="M168">
        <v>7</v>
      </c>
      <c r="N168" t="str">
        <f>""</f>
        <v/>
      </c>
      <c r="O168" t="str">
        <f>""</f>
        <v/>
      </c>
      <c r="P168" t="str">
        <f>""</f>
        <v/>
      </c>
      <c r="Q168" t="str">
        <f>""</f>
        <v/>
      </c>
      <c r="R168" t="str">
        <f>""</f>
        <v/>
      </c>
      <c r="S168" t="str">
        <f>""</f>
        <v/>
      </c>
      <c r="T168" t="str">
        <f>""</f>
        <v/>
      </c>
      <c r="W168" t="str">
        <f>""</f>
        <v/>
      </c>
    </row>
    <row r="169" spans="1:23" ht="75" x14ac:dyDescent="0.25">
      <c r="A169" s="1">
        <f t="shared" si="2"/>
        <v>168</v>
      </c>
      <c r="B169" s="10">
        <v>3153</v>
      </c>
      <c r="C169" s="10" t="s">
        <v>118</v>
      </c>
      <c r="D169" s="10" t="s">
        <v>867</v>
      </c>
      <c r="E169" s="10" t="s">
        <v>868</v>
      </c>
      <c r="F169" s="1" t="s">
        <v>869</v>
      </c>
      <c r="G169" s="10" t="s">
        <v>870</v>
      </c>
      <c r="H169" s="15" t="s">
        <v>191</v>
      </c>
      <c r="I169" s="15"/>
      <c r="J169" s="10">
        <v>3860</v>
      </c>
      <c r="K169" s="1" t="s">
        <v>250</v>
      </c>
      <c r="L169" t="s">
        <v>871</v>
      </c>
      <c r="M169">
        <v>6</v>
      </c>
      <c r="N169" t="str">
        <f>""</f>
        <v/>
      </c>
      <c r="O169" t="str">
        <f>""</f>
        <v/>
      </c>
      <c r="P169" t="str">
        <f>""</f>
        <v/>
      </c>
      <c r="Q169" t="str">
        <f>""</f>
        <v/>
      </c>
      <c r="R169" t="str">
        <f>""</f>
        <v/>
      </c>
      <c r="S169" t="str">
        <f>""</f>
        <v/>
      </c>
      <c r="T169" t="str">
        <f>""</f>
        <v/>
      </c>
      <c r="W169" t="str">
        <f>""</f>
        <v/>
      </c>
    </row>
    <row r="170" spans="1:23" ht="45" x14ac:dyDescent="0.25">
      <c r="A170" s="1">
        <f t="shared" si="2"/>
        <v>169</v>
      </c>
      <c r="B170" s="10">
        <v>3154</v>
      </c>
      <c r="C170" s="10" t="s">
        <v>118</v>
      </c>
      <c r="D170" s="10" t="s">
        <v>872</v>
      </c>
      <c r="E170" s="10" t="s">
        <v>873</v>
      </c>
      <c r="G170" s="10"/>
      <c r="H170" s="15" t="s">
        <v>191</v>
      </c>
      <c r="I170" s="15"/>
      <c r="J170" s="10">
        <v>3902</v>
      </c>
      <c r="K170" s="1" t="s">
        <v>344</v>
      </c>
      <c r="L170" t="s">
        <v>345</v>
      </c>
      <c r="M170">
        <v>19</v>
      </c>
      <c r="N170" t="str">
        <f>""</f>
        <v/>
      </c>
      <c r="O170" t="str">
        <f>""</f>
        <v/>
      </c>
      <c r="P170" t="str">
        <f>""</f>
        <v/>
      </c>
      <c r="Q170" t="str">
        <f>""</f>
        <v/>
      </c>
      <c r="R170" t="str">
        <f>""</f>
        <v/>
      </c>
      <c r="S170" t="str">
        <f>""</f>
        <v/>
      </c>
      <c r="T170" t="str">
        <f>""</f>
        <v/>
      </c>
      <c r="W170" t="str">
        <f>""</f>
        <v/>
      </c>
    </row>
    <row r="171" spans="1:23" ht="45" x14ac:dyDescent="0.25">
      <c r="A171" s="1">
        <f t="shared" si="2"/>
        <v>170</v>
      </c>
      <c r="B171" s="10">
        <v>3155</v>
      </c>
      <c r="C171" s="10" t="s">
        <v>118</v>
      </c>
      <c r="D171" s="10" t="s">
        <v>277</v>
      </c>
      <c r="E171" s="10" t="s">
        <v>874</v>
      </c>
      <c r="F171" s="1" t="s">
        <v>145</v>
      </c>
      <c r="G171" s="10" t="s">
        <v>875</v>
      </c>
      <c r="H171" s="15" t="s">
        <v>191</v>
      </c>
      <c r="I171" s="15" t="s">
        <v>876</v>
      </c>
      <c r="J171" s="10">
        <v>3564</v>
      </c>
      <c r="K171" s="1" t="s">
        <v>845</v>
      </c>
      <c r="L171" t="s">
        <v>877</v>
      </c>
      <c r="M171">
        <v>11</v>
      </c>
      <c r="N171" t="str">
        <f>""</f>
        <v/>
      </c>
      <c r="O171" t="str">
        <f>""</f>
        <v/>
      </c>
      <c r="P171" t="str">
        <f>""</f>
        <v/>
      </c>
      <c r="Q171" t="str">
        <f>""</f>
        <v/>
      </c>
      <c r="R171" t="str">
        <f>""</f>
        <v/>
      </c>
      <c r="S171" t="str">
        <f>""</f>
        <v/>
      </c>
      <c r="T171" t="str">
        <f>""</f>
        <v/>
      </c>
      <c r="W171" t="str">
        <f>""</f>
        <v/>
      </c>
    </row>
    <row r="172" spans="1:23" ht="120" x14ac:dyDescent="0.25">
      <c r="A172" s="1">
        <f t="shared" si="2"/>
        <v>171</v>
      </c>
      <c r="B172" s="10">
        <v>3159</v>
      </c>
      <c r="C172" s="10" t="s">
        <v>118</v>
      </c>
      <c r="D172" s="10" t="s">
        <v>181</v>
      </c>
      <c r="E172" s="10" t="s">
        <v>878</v>
      </c>
      <c r="F172" s="1" t="s">
        <v>405</v>
      </c>
      <c r="G172" s="10" t="s">
        <v>879</v>
      </c>
      <c r="H172" s="15" t="s">
        <v>880</v>
      </c>
      <c r="I172" s="15" t="s">
        <v>881</v>
      </c>
      <c r="J172" s="10">
        <v>3500</v>
      </c>
      <c r="K172" s="1" t="s">
        <v>572</v>
      </c>
      <c r="L172" t="s">
        <v>882</v>
      </c>
      <c r="M172">
        <v>7</v>
      </c>
      <c r="N172" t="str">
        <f>""</f>
        <v/>
      </c>
      <c r="O172" t="str">
        <f>""</f>
        <v/>
      </c>
      <c r="P172" t="str">
        <f>""</f>
        <v/>
      </c>
      <c r="Q172" t="str">
        <f>""</f>
        <v/>
      </c>
      <c r="R172" t="str">
        <f>""</f>
        <v/>
      </c>
      <c r="S172" t="str">
        <f>""</f>
        <v/>
      </c>
      <c r="T172" t="str">
        <f>""</f>
        <v/>
      </c>
      <c r="W172" t="str">
        <f>""</f>
        <v/>
      </c>
    </row>
    <row r="173" spans="1:23" ht="75" x14ac:dyDescent="0.25">
      <c r="A173" s="1">
        <f t="shared" si="2"/>
        <v>172</v>
      </c>
      <c r="B173" s="10">
        <v>3160</v>
      </c>
      <c r="C173" s="10" t="s">
        <v>118</v>
      </c>
      <c r="D173" s="10" t="s">
        <v>883</v>
      </c>
      <c r="E173" s="10" t="s">
        <v>884</v>
      </c>
      <c r="F173" s="1" t="s">
        <v>335</v>
      </c>
      <c r="G173" s="10" t="s">
        <v>242</v>
      </c>
      <c r="H173" s="15" t="s">
        <v>191</v>
      </c>
      <c r="I173" s="15" t="s">
        <v>885</v>
      </c>
      <c r="J173" s="10">
        <v>3910</v>
      </c>
      <c r="K173" s="1" t="s">
        <v>125</v>
      </c>
      <c r="L173" t="s">
        <v>886</v>
      </c>
      <c r="M173">
        <v>10</v>
      </c>
      <c r="N173" t="str">
        <f>""</f>
        <v/>
      </c>
      <c r="O173" t="str">
        <f>""</f>
        <v/>
      </c>
      <c r="P173" t="str">
        <f>""</f>
        <v/>
      </c>
      <c r="Q173" t="str">
        <f>""</f>
        <v/>
      </c>
      <c r="R173" t="str">
        <f>""</f>
        <v/>
      </c>
      <c r="S173" t="str">
        <f>""</f>
        <v/>
      </c>
      <c r="T173" t="str">
        <f>""</f>
        <v/>
      </c>
      <c r="W173" t="str">
        <f>""</f>
        <v/>
      </c>
    </row>
    <row r="174" spans="1:23" ht="60" x14ac:dyDescent="0.25">
      <c r="A174" s="1">
        <f t="shared" si="2"/>
        <v>173</v>
      </c>
      <c r="B174" s="10">
        <v>3162</v>
      </c>
      <c r="C174" s="10" t="s">
        <v>118</v>
      </c>
      <c r="D174" s="10" t="s">
        <v>887</v>
      </c>
      <c r="E174" s="10" t="s">
        <v>888</v>
      </c>
      <c r="G174" s="10"/>
      <c r="H174" s="15" t="s">
        <v>191</v>
      </c>
      <c r="I174" s="15" t="s">
        <v>889</v>
      </c>
      <c r="J174" s="10">
        <v>3571</v>
      </c>
      <c r="K174" s="1" t="s">
        <v>133</v>
      </c>
      <c r="L174" t="s">
        <v>890</v>
      </c>
      <c r="M174">
        <v>621</v>
      </c>
      <c r="N174" t="str">
        <f>""</f>
        <v/>
      </c>
      <c r="O174" t="str">
        <f>""</f>
        <v/>
      </c>
      <c r="P174" t="str">
        <f>""</f>
        <v/>
      </c>
      <c r="Q174" t="str">
        <f>""</f>
        <v/>
      </c>
      <c r="R174" t="str">
        <f>""</f>
        <v/>
      </c>
      <c r="S174" t="str">
        <f>""</f>
        <v/>
      </c>
      <c r="T174" t="str">
        <f>""</f>
        <v/>
      </c>
      <c r="W174" t="str">
        <f>""</f>
        <v/>
      </c>
    </row>
    <row r="175" spans="1:23" ht="75" x14ac:dyDescent="0.25">
      <c r="A175" s="1">
        <f t="shared" si="2"/>
        <v>174</v>
      </c>
      <c r="B175" s="10">
        <v>3164</v>
      </c>
      <c r="C175" s="10" t="s">
        <v>118</v>
      </c>
      <c r="D175" s="10" t="s">
        <v>891</v>
      </c>
      <c r="E175" s="10" t="s">
        <v>892</v>
      </c>
      <c r="F175" s="1" t="s">
        <v>893</v>
      </c>
      <c r="G175" s="10" t="s">
        <v>894</v>
      </c>
      <c r="H175" s="15" t="s">
        <v>191</v>
      </c>
      <c r="I175" s="15" t="s">
        <v>895</v>
      </c>
      <c r="J175" s="10">
        <v>3972</v>
      </c>
      <c r="K175" s="1" t="s">
        <v>896</v>
      </c>
      <c r="L175" t="s">
        <v>896</v>
      </c>
      <c r="M175">
        <v>72</v>
      </c>
      <c r="N175" t="str">
        <f>""</f>
        <v/>
      </c>
      <c r="O175" t="str">
        <f>""</f>
        <v/>
      </c>
      <c r="P175" t="str">
        <f>""</f>
        <v/>
      </c>
      <c r="Q175" t="str">
        <f>""</f>
        <v/>
      </c>
      <c r="R175" t="str">
        <f>""</f>
        <v/>
      </c>
      <c r="S175" t="str">
        <f>""</f>
        <v/>
      </c>
      <c r="T175" t="str">
        <f>""</f>
        <v/>
      </c>
      <c r="W175" t="str">
        <f>""</f>
        <v/>
      </c>
    </row>
    <row r="176" spans="1:23" ht="60" x14ac:dyDescent="0.25">
      <c r="A176" s="1">
        <f t="shared" si="2"/>
        <v>175</v>
      </c>
      <c r="B176" s="10">
        <v>854</v>
      </c>
      <c r="C176" s="10" t="s">
        <v>118</v>
      </c>
      <c r="D176" s="10" t="s">
        <v>897</v>
      </c>
      <c r="E176" s="10" t="s">
        <v>898</v>
      </c>
      <c r="F176" s="1" t="s">
        <v>832</v>
      </c>
      <c r="G176" s="10" t="s">
        <v>849</v>
      </c>
      <c r="H176" s="15" t="s">
        <v>191</v>
      </c>
      <c r="I176" s="15"/>
      <c r="J176" s="10">
        <v>3591</v>
      </c>
      <c r="K176" s="1" t="s">
        <v>357</v>
      </c>
      <c r="L176" t="s">
        <v>850</v>
      </c>
      <c r="M176">
        <v>1</v>
      </c>
      <c r="N176" t="str">
        <f>""</f>
        <v/>
      </c>
      <c r="O176" t="str">
        <f>""</f>
        <v/>
      </c>
      <c r="P176" t="str">
        <f>""</f>
        <v/>
      </c>
      <c r="Q176" t="str">
        <f>""</f>
        <v/>
      </c>
      <c r="R176" t="str">
        <f>""</f>
        <v/>
      </c>
      <c r="S176" t="str">
        <f>""</f>
        <v/>
      </c>
      <c r="T176" t="str">
        <f>""</f>
        <v/>
      </c>
      <c r="W176" t="str">
        <f>""</f>
        <v/>
      </c>
    </row>
    <row r="177" spans="1:23" ht="60" x14ac:dyDescent="0.25">
      <c r="A177" s="1">
        <f t="shared" si="2"/>
        <v>176</v>
      </c>
      <c r="B177" s="10">
        <v>846</v>
      </c>
      <c r="C177" s="10" t="s">
        <v>118</v>
      </c>
      <c r="D177" s="10" t="s">
        <v>899</v>
      </c>
      <c r="E177" s="10" t="s">
        <v>900</v>
      </c>
      <c r="F177" s="1" t="s">
        <v>201</v>
      </c>
      <c r="G177" s="10" t="s">
        <v>901</v>
      </c>
      <c r="H177" s="15" t="s">
        <v>191</v>
      </c>
      <c r="I177" s="15"/>
      <c r="J177" s="10">
        <v>3200</v>
      </c>
      <c r="K177" s="1" t="s">
        <v>902</v>
      </c>
      <c r="L177" t="s">
        <v>411</v>
      </c>
      <c r="M177">
        <v>2</v>
      </c>
      <c r="N177" t="str">
        <f>""</f>
        <v/>
      </c>
      <c r="O177" t="str">
        <f>""</f>
        <v/>
      </c>
      <c r="P177" t="str">
        <f>""</f>
        <v/>
      </c>
      <c r="Q177" t="str">
        <f>""</f>
        <v/>
      </c>
      <c r="R177" t="str">
        <f>""</f>
        <v/>
      </c>
      <c r="S177" t="str">
        <f>""</f>
        <v/>
      </c>
      <c r="T177" t="str">
        <f>""</f>
        <v/>
      </c>
      <c r="W177" t="str">
        <f>""</f>
        <v/>
      </c>
    </row>
    <row r="178" spans="1:23" ht="90" x14ac:dyDescent="0.25">
      <c r="A178" s="1">
        <f t="shared" si="2"/>
        <v>177</v>
      </c>
      <c r="B178" s="10">
        <v>840</v>
      </c>
      <c r="C178" s="10" t="s">
        <v>118</v>
      </c>
      <c r="D178" s="10" t="s">
        <v>903</v>
      </c>
      <c r="E178" s="10" t="s">
        <v>904</v>
      </c>
      <c r="G178" s="10"/>
      <c r="H178" s="15" t="s">
        <v>191</v>
      </c>
      <c r="I178" s="15"/>
      <c r="J178" s="10">
        <v>2500</v>
      </c>
      <c r="K178" s="1" t="s">
        <v>905</v>
      </c>
      <c r="L178" t="s">
        <v>906</v>
      </c>
      <c r="M178">
        <v>5</v>
      </c>
      <c r="N178" t="str">
        <f>""</f>
        <v/>
      </c>
      <c r="O178" t="str">
        <f>""</f>
        <v/>
      </c>
      <c r="P178" t="str">
        <f>""</f>
        <v/>
      </c>
      <c r="Q178" t="str">
        <f>""</f>
        <v/>
      </c>
      <c r="R178" t="str">
        <f>""</f>
        <v/>
      </c>
      <c r="S178" t="str">
        <f>""</f>
        <v/>
      </c>
      <c r="T178" t="str">
        <f>""</f>
        <v/>
      </c>
      <c r="W178" t="str">
        <f>""</f>
        <v/>
      </c>
    </row>
    <row r="179" spans="1:23" ht="75" x14ac:dyDescent="0.25">
      <c r="A179" s="1">
        <f t="shared" si="2"/>
        <v>178</v>
      </c>
      <c r="B179" s="10">
        <v>839</v>
      </c>
      <c r="C179" s="10" t="s">
        <v>118</v>
      </c>
      <c r="D179" s="10" t="s">
        <v>907</v>
      </c>
      <c r="E179" s="10" t="s">
        <v>908</v>
      </c>
      <c r="F179" s="1" t="s">
        <v>441</v>
      </c>
      <c r="G179" s="10" t="s">
        <v>909</v>
      </c>
      <c r="H179" s="15" t="s">
        <v>191</v>
      </c>
      <c r="I179" s="15"/>
      <c r="J179" s="10">
        <v>3804</v>
      </c>
      <c r="K179" s="1" t="s">
        <v>538</v>
      </c>
      <c r="L179" t="s">
        <v>910</v>
      </c>
      <c r="M179">
        <v>20</v>
      </c>
      <c r="N179" t="str">
        <f>""</f>
        <v/>
      </c>
      <c r="O179" t="str">
        <f>""</f>
        <v/>
      </c>
      <c r="P179" t="str">
        <f>""</f>
        <v/>
      </c>
      <c r="Q179" t="str">
        <f>""</f>
        <v/>
      </c>
      <c r="R179" t="str">
        <f>""</f>
        <v/>
      </c>
      <c r="S179" t="str">
        <f>""</f>
        <v/>
      </c>
      <c r="T179" t="str">
        <f>""</f>
        <v/>
      </c>
      <c r="W179" t="str">
        <f>""</f>
        <v/>
      </c>
    </row>
    <row r="180" spans="1:23" ht="105" x14ac:dyDescent="0.25">
      <c r="A180" s="1">
        <f t="shared" si="2"/>
        <v>179</v>
      </c>
      <c r="B180" s="10">
        <v>838</v>
      </c>
      <c r="C180" s="10" t="s">
        <v>118</v>
      </c>
      <c r="D180" s="10" t="s">
        <v>911</v>
      </c>
      <c r="E180" s="10" t="s">
        <v>912</v>
      </c>
      <c r="F180" s="1" t="s">
        <v>405</v>
      </c>
      <c r="G180" s="10" t="s">
        <v>913</v>
      </c>
      <c r="H180" s="15" t="s">
        <v>191</v>
      </c>
      <c r="I180" s="15"/>
      <c r="J180" s="10">
        <v>3931</v>
      </c>
      <c r="K180" s="1" t="s">
        <v>567</v>
      </c>
      <c r="L180" t="s">
        <v>914</v>
      </c>
      <c r="M180">
        <v>10</v>
      </c>
      <c r="N180" t="str">
        <f>""</f>
        <v/>
      </c>
      <c r="O180" t="str">
        <f>""</f>
        <v/>
      </c>
      <c r="P180" t="str">
        <f>""</f>
        <v/>
      </c>
      <c r="Q180" t="str">
        <f>""</f>
        <v/>
      </c>
      <c r="R180" t="str">
        <f>""</f>
        <v/>
      </c>
      <c r="S180" t="str">
        <f>""</f>
        <v/>
      </c>
      <c r="T180" t="str">
        <f>""</f>
        <v/>
      </c>
      <c r="W180" t="str">
        <f>""</f>
        <v/>
      </c>
    </row>
    <row r="181" spans="1:23" ht="30" x14ac:dyDescent="0.25">
      <c r="A181" s="1">
        <f t="shared" si="2"/>
        <v>180</v>
      </c>
      <c r="C181" s="10" t="s">
        <v>118</v>
      </c>
      <c r="D181" s="10" t="s">
        <v>915</v>
      </c>
      <c r="E181" s="10" t="s">
        <v>916</v>
      </c>
      <c r="G181" s="10"/>
      <c r="H181" s="15" t="s">
        <v>191</v>
      </c>
      <c r="I181" s="15"/>
      <c r="J181" s="10">
        <v>2042</v>
      </c>
      <c r="K181" s="1" t="s">
        <v>730</v>
      </c>
      <c r="L181" t="s">
        <v>917</v>
      </c>
      <c r="M181">
        <v>3</v>
      </c>
      <c r="N181" t="str">
        <f>""</f>
        <v/>
      </c>
      <c r="O181" t="str">
        <f>""</f>
        <v/>
      </c>
      <c r="P181" t="str">
        <f>""</f>
        <v/>
      </c>
      <c r="Q181" t="str">
        <f>""</f>
        <v/>
      </c>
      <c r="R181" t="str">
        <f>""</f>
        <v/>
      </c>
      <c r="S181" t="str">
        <f>""</f>
        <v/>
      </c>
      <c r="T181" t="str">
        <f>""</f>
        <v/>
      </c>
      <c r="W181" t="str">
        <f>""</f>
        <v/>
      </c>
    </row>
    <row r="182" spans="1:23" ht="45" x14ac:dyDescent="0.25">
      <c r="A182" s="1">
        <f t="shared" si="2"/>
        <v>181</v>
      </c>
      <c r="B182" s="10">
        <v>828</v>
      </c>
      <c r="C182" s="10" t="s">
        <v>118</v>
      </c>
      <c r="D182" s="10" t="s">
        <v>918</v>
      </c>
      <c r="E182" s="10" t="s">
        <v>919</v>
      </c>
      <c r="F182" s="1" t="s">
        <v>541</v>
      </c>
      <c r="G182" s="10" t="s">
        <v>920</v>
      </c>
      <c r="H182" s="15" t="s">
        <v>191</v>
      </c>
      <c r="I182" s="15"/>
      <c r="J182" s="10">
        <v>3472</v>
      </c>
      <c r="K182" s="1" t="s">
        <v>921</v>
      </c>
      <c r="L182" t="s">
        <v>150</v>
      </c>
      <c r="M182">
        <v>25</v>
      </c>
      <c r="N182" t="str">
        <f>""</f>
        <v/>
      </c>
      <c r="O182" t="str">
        <f>""</f>
        <v/>
      </c>
      <c r="P182" t="str">
        <f>""</f>
        <v/>
      </c>
      <c r="Q182" t="str">
        <f>""</f>
        <v/>
      </c>
      <c r="R182" t="str">
        <f>""</f>
        <v/>
      </c>
      <c r="S182" t="str">
        <f>""</f>
        <v/>
      </c>
      <c r="T182" t="str">
        <f>""</f>
        <v/>
      </c>
      <c r="W182" t="str">
        <f>""</f>
        <v/>
      </c>
    </row>
    <row r="183" spans="1:23" ht="45" x14ac:dyDescent="0.25">
      <c r="A183" s="1">
        <f t="shared" si="2"/>
        <v>182</v>
      </c>
      <c r="B183" s="10">
        <v>819</v>
      </c>
      <c r="C183" s="10" t="s">
        <v>118</v>
      </c>
      <c r="E183" s="10" t="s">
        <v>922</v>
      </c>
      <c r="F183" s="1" t="s">
        <v>183</v>
      </c>
      <c r="G183" s="10" t="s">
        <v>923</v>
      </c>
      <c r="H183" s="15" t="s">
        <v>924</v>
      </c>
      <c r="I183" s="15"/>
      <c r="J183" s="10">
        <v>3300</v>
      </c>
      <c r="K183" s="1" t="s">
        <v>543</v>
      </c>
      <c r="L183" t="s">
        <v>925</v>
      </c>
      <c r="N183" t="str">
        <f>""</f>
        <v/>
      </c>
      <c r="O183" t="str">
        <f>""</f>
        <v/>
      </c>
      <c r="P183" t="str">
        <f>""</f>
        <v/>
      </c>
      <c r="Q183" t="str">
        <f>""</f>
        <v/>
      </c>
      <c r="R183" t="str">
        <f>""</f>
        <v/>
      </c>
      <c r="S183" t="str">
        <f>""</f>
        <v/>
      </c>
      <c r="T183" t="str">
        <f>""</f>
        <v/>
      </c>
      <c r="W183" t="str">
        <f>""</f>
        <v/>
      </c>
    </row>
    <row r="184" spans="1:23" ht="60" x14ac:dyDescent="0.25">
      <c r="A184" s="1">
        <f t="shared" si="2"/>
        <v>183</v>
      </c>
      <c r="B184" s="10">
        <v>813</v>
      </c>
      <c r="C184" s="10" t="s">
        <v>118</v>
      </c>
      <c r="D184" s="10" t="s">
        <v>926</v>
      </c>
      <c r="G184" s="10"/>
      <c r="H184" s="15" t="s">
        <v>927</v>
      </c>
      <c r="I184" s="15"/>
      <c r="J184" s="10">
        <v>3830</v>
      </c>
      <c r="K184" s="1" t="s">
        <v>371</v>
      </c>
      <c r="L184" t="s">
        <v>928</v>
      </c>
      <c r="M184">
        <v>2</v>
      </c>
      <c r="N184" t="str">
        <f>""</f>
        <v/>
      </c>
      <c r="O184" t="str">
        <f>""</f>
        <v/>
      </c>
      <c r="P184" t="str">
        <f>""</f>
        <v/>
      </c>
      <c r="Q184" t="str">
        <f>""</f>
        <v/>
      </c>
      <c r="R184" t="str">
        <f>""</f>
        <v/>
      </c>
      <c r="S184" t="str">
        <f>""</f>
        <v/>
      </c>
      <c r="T184" t="str">
        <f>""</f>
        <v/>
      </c>
      <c r="W184" t="str">
        <f>""</f>
        <v/>
      </c>
    </row>
    <row r="185" spans="1:23" ht="30" x14ac:dyDescent="0.25">
      <c r="A185" s="1">
        <f t="shared" si="2"/>
        <v>184</v>
      </c>
      <c r="B185" s="10">
        <v>802</v>
      </c>
      <c r="C185" s="10" t="s">
        <v>118</v>
      </c>
      <c r="D185" s="10" t="s">
        <v>929</v>
      </c>
      <c r="E185" s="10" t="s">
        <v>930</v>
      </c>
      <c r="F185" s="1" t="s">
        <v>931</v>
      </c>
      <c r="G185" s="10" t="s">
        <v>932</v>
      </c>
      <c r="H185" s="15" t="s">
        <v>191</v>
      </c>
      <c r="I185" s="15"/>
      <c r="J185" s="10">
        <v>3730</v>
      </c>
      <c r="K185" s="1" t="s">
        <v>282</v>
      </c>
      <c r="L185" t="s">
        <v>408</v>
      </c>
      <c r="M185">
        <v>3</v>
      </c>
      <c r="N185" t="str">
        <f>""</f>
        <v/>
      </c>
      <c r="O185" t="str">
        <f>""</f>
        <v/>
      </c>
      <c r="P185" t="str">
        <f>""</f>
        <v/>
      </c>
      <c r="Q185" t="str">
        <f>""</f>
        <v/>
      </c>
      <c r="R185" t="str">
        <f>""</f>
        <v/>
      </c>
      <c r="S185" t="str">
        <f>""</f>
        <v/>
      </c>
      <c r="T185" t="str">
        <f>""</f>
        <v/>
      </c>
      <c r="W185" t="str">
        <f>""</f>
        <v/>
      </c>
    </row>
    <row r="186" spans="1:23" ht="30" x14ac:dyDescent="0.25">
      <c r="A186" s="1">
        <f t="shared" si="2"/>
        <v>185</v>
      </c>
      <c r="C186" s="10" t="s">
        <v>118</v>
      </c>
      <c r="E186" s="10" t="s">
        <v>933</v>
      </c>
      <c r="G186" s="10"/>
      <c r="H186" s="15" t="s">
        <v>934</v>
      </c>
      <c r="I186" s="15"/>
      <c r="J186" s="10">
        <v>3100</v>
      </c>
      <c r="K186" s="1" t="s">
        <v>935</v>
      </c>
      <c r="L186" t="s">
        <v>936</v>
      </c>
      <c r="M186">
        <v>1</v>
      </c>
      <c r="N186" t="str">
        <f>""</f>
        <v/>
      </c>
      <c r="O186" t="str">
        <f>""</f>
        <v/>
      </c>
      <c r="P186" t="str">
        <f>""</f>
        <v/>
      </c>
      <c r="Q186" t="str">
        <f>""</f>
        <v/>
      </c>
      <c r="R186" t="str">
        <f>""</f>
        <v/>
      </c>
      <c r="S186" t="str">
        <f>""</f>
        <v/>
      </c>
      <c r="T186" t="str">
        <f>""</f>
        <v/>
      </c>
      <c r="W186" t="str">
        <f>""</f>
        <v/>
      </c>
    </row>
    <row r="187" spans="1:23" ht="75" x14ac:dyDescent="0.25">
      <c r="A187" s="1">
        <f t="shared" si="2"/>
        <v>186</v>
      </c>
      <c r="B187" s="10">
        <v>792</v>
      </c>
      <c r="C187" s="10" t="s">
        <v>118</v>
      </c>
      <c r="D187" s="10" t="s">
        <v>937</v>
      </c>
      <c r="E187" s="10" t="s">
        <v>938</v>
      </c>
      <c r="G187" s="10"/>
      <c r="H187" s="15" t="s">
        <v>939</v>
      </c>
      <c r="I187" s="15"/>
      <c r="J187" s="10">
        <v>3812</v>
      </c>
      <c r="K187" s="1" t="s">
        <v>198</v>
      </c>
      <c r="L187" t="s">
        <v>940</v>
      </c>
      <c r="M187">
        <v>5</v>
      </c>
      <c r="N187" t="str">
        <f>""</f>
        <v/>
      </c>
      <c r="O187" t="str">
        <f>""</f>
        <v/>
      </c>
      <c r="P187" t="str">
        <f>""</f>
        <v/>
      </c>
      <c r="Q187" t="str">
        <f>""</f>
        <v/>
      </c>
      <c r="R187" t="str">
        <f>""</f>
        <v/>
      </c>
      <c r="S187" t="str">
        <f>""</f>
        <v/>
      </c>
      <c r="T187" t="str">
        <f>""</f>
        <v/>
      </c>
      <c r="W187" t="str">
        <f>""</f>
        <v/>
      </c>
    </row>
    <row r="188" spans="1:23" ht="75" x14ac:dyDescent="0.25">
      <c r="A188" s="1">
        <f t="shared" si="2"/>
        <v>187</v>
      </c>
      <c r="B188" s="10">
        <v>791</v>
      </c>
      <c r="C188" s="10" t="s">
        <v>118</v>
      </c>
      <c r="D188" s="10" t="s">
        <v>941</v>
      </c>
      <c r="E188" s="10" t="s">
        <v>942</v>
      </c>
      <c r="G188" s="10"/>
      <c r="H188" s="15" t="s">
        <v>943</v>
      </c>
      <c r="I188" s="15"/>
      <c r="J188" s="10">
        <v>3643</v>
      </c>
      <c r="K188" s="1" t="s">
        <v>944</v>
      </c>
      <c r="L188" t="s">
        <v>945</v>
      </c>
      <c r="M188">
        <v>1</v>
      </c>
      <c r="N188" t="str">
        <f>""</f>
        <v/>
      </c>
      <c r="O188" t="str">
        <f>""</f>
        <v/>
      </c>
      <c r="P188" t="str">
        <f>""</f>
        <v/>
      </c>
      <c r="Q188" t="str">
        <f>""</f>
        <v/>
      </c>
      <c r="R188" t="str">
        <f>""</f>
        <v/>
      </c>
      <c r="S188" t="str">
        <f>""</f>
        <v/>
      </c>
      <c r="T188" t="str">
        <f>""</f>
        <v/>
      </c>
      <c r="W188" t="str">
        <f>""</f>
        <v/>
      </c>
    </row>
    <row r="189" spans="1:23" ht="75" x14ac:dyDescent="0.25">
      <c r="A189" s="1">
        <f t="shared" si="2"/>
        <v>188</v>
      </c>
      <c r="B189" s="10">
        <v>789</v>
      </c>
      <c r="C189" s="10" t="s">
        <v>118</v>
      </c>
      <c r="D189" s="10" t="s">
        <v>946</v>
      </c>
      <c r="E189" s="10" t="s">
        <v>404</v>
      </c>
      <c r="G189" s="10"/>
      <c r="H189" s="15" t="s">
        <v>947</v>
      </c>
      <c r="I189" s="15"/>
      <c r="J189" s="10">
        <v>2070</v>
      </c>
      <c r="K189" s="1" t="s">
        <v>407</v>
      </c>
      <c r="L189" t="s">
        <v>408</v>
      </c>
      <c r="M189">
        <v>17</v>
      </c>
      <c r="N189" t="str">
        <f>""</f>
        <v/>
      </c>
      <c r="O189" t="str">
        <f>""</f>
        <v/>
      </c>
      <c r="P189" t="str">
        <f>""</f>
        <v/>
      </c>
      <c r="Q189" t="str">
        <f>""</f>
        <v/>
      </c>
      <c r="R189" t="str">
        <f>""</f>
        <v/>
      </c>
      <c r="S189" t="str">
        <f>""</f>
        <v/>
      </c>
      <c r="T189" t="str">
        <f>""</f>
        <v/>
      </c>
      <c r="W189" t="str">
        <f>""</f>
        <v/>
      </c>
    </row>
    <row r="190" spans="1:23" ht="45" x14ac:dyDescent="0.25">
      <c r="A190" s="1">
        <f t="shared" si="2"/>
        <v>189</v>
      </c>
      <c r="B190" s="10">
        <v>782</v>
      </c>
      <c r="C190" s="10" t="s">
        <v>118</v>
      </c>
      <c r="D190" s="10" t="s">
        <v>948</v>
      </c>
      <c r="E190" s="10" t="s">
        <v>949</v>
      </c>
      <c r="G190" s="10"/>
      <c r="H190" s="15" t="s">
        <v>950</v>
      </c>
      <c r="I190" s="15"/>
      <c r="J190" s="10">
        <v>3950</v>
      </c>
      <c r="K190" s="1" t="s">
        <v>951</v>
      </c>
      <c r="L190" t="s">
        <v>564</v>
      </c>
      <c r="M190">
        <v>36</v>
      </c>
      <c r="N190" t="str">
        <f>""</f>
        <v/>
      </c>
      <c r="O190" t="str">
        <f>""</f>
        <v/>
      </c>
      <c r="P190" t="str">
        <f>""</f>
        <v/>
      </c>
      <c r="Q190" t="str">
        <f>""</f>
        <v/>
      </c>
      <c r="R190" t="str">
        <f>""</f>
        <v/>
      </c>
      <c r="S190" t="str">
        <f>""</f>
        <v/>
      </c>
      <c r="T190" t="str">
        <f>""</f>
        <v/>
      </c>
      <c r="W190" t="str">
        <f>""</f>
        <v/>
      </c>
    </row>
    <row r="191" spans="1:23" ht="75" x14ac:dyDescent="0.25">
      <c r="A191" s="1">
        <f t="shared" si="2"/>
        <v>190</v>
      </c>
      <c r="B191" s="10">
        <v>779</v>
      </c>
      <c r="C191" s="10" t="s">
        <v>118</v>
      </c>
      <c r="D191" s="10" t="s">
        <v>952</v>
      </c>
      <c r="E191" s="10" t="s">
        <v>953</v>
      </c>
      <c r="G191" s="10"/>
      <c r="H191" s="15" t="s">
        <v>954</v>
      </c>
      <c r="I191" s="15"/>
      <c r="J191" s="10">
        <v>3843</v>
      </c>
      <c r="K191" s="1" t="s">
        <v>437</v>
      </c>
      <c r="L191" t="s">
        <v>486</v>
      </c>
      <c r="M191">
        <v>2</v>
      </c>
      <c r="N191" t="str">
        <f>""</f>
        <v/>
      </c>
      <c r="O191" t="str">
        <f>""</f>
        <v/>
      </c>
      <c r="P191" t="str">
        <f>""</f>
        <v/>
      </c>
      <c r="Q191" t="str">
        <f>""</f>
        <v/>
      </c>
      <c r="R191" t="str">
        <f>""</f>
        <v/>
      </c>
      <c r="S191" t="str">
        <f>""</f>
        <v/>
      </c>
      <c r="T191" t="str">
        <f>""</f>
        <v/>
      </c>
      <c r="W191" t="str">
        <f>""</f>
        <v/>
      </c>
    </row>
    <row r="192" spans="1:23" ht="75" x14ac:dyDescent="0.25">
      <c r="A192" s="1">
        <f t="shared" si="2"/>
        <v>191</v>
      </c>
      <c r="B192" s="10">
        <v>777</v>
      </c>
      <c r="C192" s="10" t="s">
        <v>118</v>
      </c>
      <c r="D192" s="10" t="s">
        <v>955</v>
      </c>
      <c r="E192" s="10" t="s">
        <v>956</v>
      </c>
      <c r="F192" s="1" t="s">
        <v>498</v>
      </c>
      <c r="G192" s="10" t="s">
        <v>957</v>
      </c>
      <c r="H192" s="15" t="s">
        <v>958</v>
      </c>
      <c r="I192" s="15"/>
      <c r="J192" s="10">
        <v>2034</v>
      </c>
      <c r="K192" s="1" t="s">
        <v>956</v>
      </c>
      <c r="L192" t="s">
        <v>956</v>
      </c>
      <c r="M192">
        <v>145</v>
      </c>
      <c r="N192" t="str">
        <f>""</f>
        <v/>
      </c>
      <c r="O192" t="str">
        <f>""</f>
        <v/>
      </c>
      <c r="P192" t="str">
        <f>""</f>
        <v/>
      </c>
      <c r="Q192" t="str">
        <f>""</f>
        <v/>
      </c>
      <c r="R192" t="str">
        <f>""</f>
        <v/>
      </c>
      <c r="S192" t="str">
        <f>""</f>
        <v/>
      </c>
      <c r="T192" t="str">
        <f>""</f>
        <v/>
      </c>
      <c r="W192" t="str">
        <f>""</f>
        <v/>
      </c>
    </row>
    <row r="193" spans="1:23" ht="75" x14ac:dyDescent="0.25">
      <c r="A193" s="1">
        <f t="shared" si="2"/>
        <v>192</v>
      </c>
      <c r="B193" s="10">
        <v>776</v>
      </c>
      <c r="C193" s="10" t="s">
        <v>118</v>
      </c>
      <c r="D193" s="10" t="s">
        <v>959</v>
      </c>
      <c r="E193" s="10" t="s">
        <v>960</v>
      </c>
      <c r="G193" s="10"/>
      <c r="H193" s="15" t="s">
        <v>961</v>
      </c>
      <c r="I193" s="15"/>
      <c r="J193" s="10">
        <v>2164</v>
      </c>
      <c r="K193" s="1" t="s">
        <v>962</v>
      </c>
      <c r="L193" t="s">
        <v>962</v>
      </c>
      <c r="M193">
        <v>95</v>
      </c>
      <c r="N193" t="str">
        <f>""</f>
        <v/>
      </c>
      <c r="O193" t="str">
        <f>""</f>
        <v/>
      </c>
      <c r="P193" t="str">
        <f>""</f>
        <v/>
      </c>
      <c r="Q193" t="str">
        <f>""</f>
        <v/>
      </c>
      <c r="R193" t="str">
        <f>""</f>
        <v/>
      </c>
      <c r="S193" t="str">
        <f>""</f>
        <v/>
      </c>
      <c r="T193" t="str">
        <f>""</f>
        <v/>
      </c>
      <c r="W193" t="str">
        <f>""</f>
        <v/>
      </c>
    </row>
    <row r="194" spans="1:23" ht="75" x14ac:dyDescent="0.25">
      <c r="A194" s="1">
        <f t="shared" si="2"/>
        <v>193</v>
      </c>
      <c r="B194" s="10">
        <v>774</v>
      </c>
      <c r="C194" s="10" t="s">
        <v>118</v>
      </c>
      <c r="D194" s="10" t="s">
        <v>963</v>
      </c>
      <c r="E194" s="10" t="s">
        <v>964</v>
      </c>
      <c r="G194" s="10"/>
      <c r="H194" s="15" t="s">
        <v>191</v>
      </c>
      <c r="I194" s="15"/>
      <c r="J194" s="10">
        <v>3543</v>
      </c>
      <c r="K194" s="1" t="s">
        <v>964</v>
      </c>
      <c r="L194" t="s">
        <v>965</v>
      </c>
      <c r="M194">
        <v>22</v>
      </c>
      <c r="N194" t="str">
        <f>""</f>
        <v/>
      </c>
      <c r="O194" t="str">
        <f>""</f>
        <v/>
      </c>
      <c r="P194" t="str">
        <f>""</f>
        <v/>
      </c>
      <c r="Q194" t="str">
        <f>""</f>
        <v/>
      </c>
      <c r="R194" t="str">
        <f>""</f>
        <v/>
      </c>
      <c r="S194" t="str">
        <f>""</f>
        <v/>
      </c>
      <c r="T194" t="str">
        <f>""</f>
        <v/>
      </c>
      <c r="W194" t="str">
        <f>""</f>
        <v/>
      </c>
    </row>
    <row r="195" spans="1:23" ht="45" x14ac:dyDescent="0.25">
      <c r="A195" s="1">
        <f t="shared" ref="A195:A258" si="3">ROW(A195)-1</f>
        <v>194</v>
      </c>
      <c r="B195" s="10">
        <v>771</v>
      </c>
      <c r="C195" s="10" t="s">
        <v>118</v>
      </c>
      <c r="D195" s="10" t="s">
        <v>966</v>
      </c>
      <c r="E195" s="10" t="s">
        <v>967</v>
      </c>
      <c r="F195" s="1" t="s">
        <v>145</v>
      </c>
      <c r="G195" s="10" t="s">
        <v>968</v>
      </c>
      <c r="H195" s="15" t="s">
        <v>969</v>
      </c>
      <c r="I195" s="15"/>
      <c r="J195" s="10">
        <v>3722</v>
      </c>
      <c r="K195" s="1" t="s">
        <v>719</v>
      </c>
      <c r="L195" t="s">
        <v>719</v>
      </c>
      <c r="M195">
        <v>114</v>
      </c>
      <c r="N195" t="str">
        <f>""</f>
        <v/>
      </c>
      <c r="O195" t="str">
        <f>""</f>
        <v/>
      </c>
      <c r="P195" t="str">
        <f>""</f>
        <v/>
      </c>
      <c r="Q195" t="str">
        <f>""</f>
        <v/>
      </c>
      <c r="R195" t="str">
        <f>""</f>
        <v/>
      </c>
      <c r="S195" t="str">
        <f>""</f>
        <v/>
      </c>
      <c r="T195" t="str">
        <f>""</f>
        <v/>
      </c>
      <c r="W195" t="str">
        <f>""</f>
        <v/>
      </c>
    </row>
    <row r="196" spans="1:23" ht="30" x14ac:dyDescent="0.25">
      <c r="A196" s="1">
        <f t="shared" si="3"/>
        <v>195</v>
      </c>
      <c r="B196" s="10">
        <v>770</v>
      </c>
      <c r="C196" s="10" t="s">
        <v>118</v>
      </c>
      <c r="E196" s="10" t="s">
        <v>970</v>
      </c>
      <c r="G196" s="10"/>
      <c r="H196" s="15" t="s">
        <v>971</v>
      </c>
      <c r="I196" s="15"/>
      <c r="J196" s="10">
        <v>2500</v>
      </c>
      <c r="K196" s="1" t="s">
        <v>905</v>
      </c>
      <c r="L196" t="s">
        <v>972</v>
      </c>
      <c r="M196">
        <v>23</v>
      </c>
      <c r="N196" t="str">
        <f>""</f>
        <v/>
      </c>
      <c r="O196" t="str">
        <f>""</f>
        <v/>
      </c>
      <c r="P196" t="str">
        <f>""</f>
        <v/>
      </c>
      <c r="Q196" t="str">
        <f>""</f>
        <v/>
      </c>
      <c r="R196" t="str">
        <f>""</f>
        <v/>
      </c>
      <c r="S196" t="str">
        <f>""</f>
        <v/>
      </c>
      <c r="T196" t="str">
        <f>""</f>
        <v/>
      </c>
      <c r="W196" t="str">
        <f>""</f>
        <v/>
      </c>
    </row>
    <row r="197" spans="1:23" ht="60" x14ac:dyDescent="0.25">
      <c r="A197" s="1">
        <f t="shared" si="3"/>
        <v>196</v>
      </c>
      <c r="B197" s="10">
        <v>721</v>
      </c>
      <c r="C197" s="10" t="s">
        <v>118</v>
      </c>
      <c r="D197" s="10" t="s">
        <v>973</v>
      </c>
      <c r="E197" s="10" t="s">
        <v>974</v>
      </c>
      <c r="G197" s="10"/>
      <c r="H197" s="15" t="s">
        <v>975</v>
      </c>
      <c r="I197" s="15" t="s">
        <v>976</v>
      </c>
      <c r="J197" s="10">
        <v>3931</v>
      </c>
      <c r="K197" s="1" t="s">
        <v>567</v>
      </c>
      <c r="L197" t="s">
        <v>411</v>
      </c>
      <c r="M197">
        <v>25</v>
      </c>
      <c r="N197" t="str">
        <f>""</f>
        <v/>
      </c>
      <c r="O197" t="str">
        <f>""</f>
        <v/>
      </c>
      <c r="P197" t="str">
        <f>""</f>
        <v/>
      </c>
      <c r="Q197" t="str">
        <f>""</f>
        <v/>
      </c>
      <c r="R197" t="str">
        <f>""</f>
        <v/>
      </c>
      <c r="S197" t="str">
        <f>""</f>
        <v/>
      </c>
      <c r="T197" t="str">
        <f>""</f>
        <v/>
      </c>
      <c r="W197" t="str">
        <f>""</f>
        <v/>
      </c>
    </row>
    <row r="198" spans="1:23" ht="45" x14ac:dyDescent="0.25">
      <c r="A198" s="1">
        <f t="shared" si="3"/>
        <v>197</v>
      </c>
      <c r="B198" s="10">
        <v>719</v>
      </c>
      <c r="C198" s="10" t="s">
        <v>118</v>
      </c>
      <c r="D198" s="10" t="s">
        <v>977</v>
      </c>
      <c r="E198" s="10" t="s">
        <v>314</v>
      </c>
      <c r="F198" s="1" t="s">
        <v>315</v>
      </c>
      <c r="G198" s="10" t="s">
        <v>316</v>
      </c>
      <c r="H198" s="15" t="s">
        <v>191</v>
      </c>
      <c r="I198" s="15"/>
      <c r="J198" s="10">
        <v>3633</v>
      </c>
      <c r="K198" s="1" t="s">
        <v>319</v>
      </c>
      <c r="L198" t="s">
        <v>319</v>
      </c>
      <c r="M198">
        <v>2</v>
      </c>
      <c r="N198" t="str">
        <f>""</f>
        <v/>
      </c>
      <c r="O198" t="str">
        <f>""</f>
        <v/>
      </c>
      <c r="P198" t="str">
        <f>""</f>
        <v/>
      </c>
      <c r="Q198" t="str">
        <f>""</f>
        <v/>
      </c>
      <c r="R198" t="str">
        <f>""</f>
        <v/>
      </c>
      <c r="S198" t="str">
        <f>""</f>
        <v/>
      </c>
      <c r="T198" t="str">
        <f>""</f>
        <v/>
      </c>
      <c r="W198" t="str">
        <f>""</f>
        <v/>
      </c>
    </row>
    <row r="199" spans="1:23" ht="30" x14ac:dyDescent="0.25">
      <c r="A199" s="1">
        <f t="shared" si="3"/>
        <v>198</v>
      </c>
      <c r="B199" s="10">
        <v>768</v>
      </c>
      <c r="C199" s="10" t="s">
        <v>118</v>
      </c>
      <c r="D199" s="10" t="s">
        <v>189</v>
      </c>
      <c r="E199" s="10" t="s">
        <v>978</v>
      </c>
      <c r="G199" s="10"/>
      <c r="H199" s="15" t="s">
        <v>191</v>
      </c>
      <c r="I199" s="15"/>
      <c r="J199" s="10">
        <v>3970</v>
      </c>
      <c r="K199" s="1" t="s">
        <v>979</v>
      </c>
      <c r="L199" t="s">
        <v>980</v>
      </c>
      <c r="M199">
        <v>1</v>
      </c>
      <c r="N199" t="str">
        <f>""</f>
        <v/>
      </c>
      <c r="O199" t="str">
        <f>""</f>
        <v/>
      </c>
      <c r="P199" t="str">
        <f>""</f>
        <v/>
      </c>
      <c r="Q199" t="str">
        <f>""</f>
        <v/>
      </c>
      <c r="R199" t="str">
        <f>""</f>
        <v/>
      </c>
      <c r="S199" t="str">
        <f>""</f>
        <v/>
      </c>
      <c r="T199" t="str">
        <f>""</f>
        <v/>
      </c>
      <c r="W199" t="str">
        <f>""</f>
        <v/>
      </c>
    </row>
    <row r="200" spans="1:23" ht="60" x14ac:dyDescent="0.25">
      <c r="A200" s="1">
        <f t="shared" si="3"/>
        <v>199</v>
      </c>
      <c r="B200" s="10">
        <v>767</v>
      </c>
      <c r="C200" s="10" t="s">
        <v>118</v>
      </c>
      <c r="D200" s="10" t="s">
        <v>981</v>
      </c>
      <c r="E200" s="10" t="s">
        <v>982</v>
      </c>
      <c r="G200" s="10"/>
      <c r="H200" s="15" t="s">
        <v>983</v>
      </c>
      <c r="I200" s="15"/>
      <c r="J200" s="10">
        <v>3910</v>
      </c>
      <c r="K200" s="1" t="s">
        <v>125</v>
      </c>
      <c r="L200" t="s">
        <v>984</v>
      </c>
      <c r="M200">
        <v>4</v>
      </c>
      <c r="N200" t="str">
        <f>""</f>
        <v/>
      </c>
      <c r="O200" t="str">
        <f>""</f>
        <v/>
      </c>
      <c r="P200" t="str">
        <f>""</f>
        <v/>
      </c>
      <c r="Q200" t="str">
        <f>""</f>
        <v/>
      </c>
      <c r="R200" t="str">
        <f>""</f>
        <v/>
      </c>
      <c r="S200" t="str">
        <f>""</f>
        <v/>
      </c>
      <c r="T200" t="str">
        <f>""</f>
        <v/>
      </c>
      <c r="W200" t="str">
        <f>""</f>
        <v/>
      </c>
    </row>
    <row r="201" spans="1:23" ht="45" x14ac:dyDescent="0.25">
      <c r="A201" s="1">
        <f t="shared" si="3"/>
        <v>200</v>
      </c>
      <c r="B201" s="10">
        <v>764</v>
      </c>
      <c r="C201" s="10" t="s">
        <v>118</v>
      </c>
      <c r="D201" s="10" t="s">
        <v>985</v>
      </c>
      <c r="E201" s="10" t="s">
        <v>986</v>
      </c>
      <c r="G201" s="10"/>
      <c r="H201" s="15" t="s">
        <v>987</v>
      </c>
      <c r="I201" s="15"/>
      <c r="J201" s="10">
        <v>3932</v>
      </c>
      <c r="K201" s="1" t="s">
        <v>986</v>
      </c>
      <c r="L201" t="s">
        <v>986</v>
      </c>
      <c r="M201">
        <v>7</v>
      </c>
      <c r="N201" t="str">
        <f>""</f>
        <v/>
      </c>
      <c r="O201" t="str">
        <f>""</f>
        <v/>
      </c>
      <c r="P201" t="str">
        <f>""</f>
        <v/>
      </c>
      <c r="Q201" t="str">
        <f>""</f>
        <v/>
      </c>
      <c r="R201" t="str">
        <f>""</f>
        <v/>
      </c>
      <c r="S201" t="str">
        <f>""</f>
        <v/>
      </c>
      <c r="T201" t="str">
        <f>""</f>
        <v/>
      </c>
      <c r="W201" t="str">
        <f>""</f>
        <v/>
      </c>
    </row>
    <row r="202" spans="1:23" ht="30" x14ac:dyDescent="0.25">
      <c r="A202" s="1">
        <f t="shared" si="3"/>
        <v>201</v>
      </c>
      <c r="B202" s="10">
        <v>762</v>
      </c>
      <c r="C202" s="10" t="s">
        <v>118</v>
      </c>
      <c r="E202" s="10" t="s">
        <v>988</v>
      </c>
      <c r="G202" s="10"/>
      <c r="H202" s="15" t="s">
        <v>989</v>
      </c>
      <c r="I202" s="15"/>
      <c r="J202" s="10">
        <v>2134</v>
      </c>
      <c r="K202" s="1" t="s">
        <v>990</v>
      </c>
      <c r="L202" t="s">
        <v>991</v>
      </c>
      <c r="M202">
        <v>3</v>
      </c>
      <c r="N202" t="str">
        <f>""</f>
        <v/>
      </c>
      <c r="O202" t="str">
        <f>""</f>
        <v/>
      </c>
      <c r="P202" t="str">
        <f>""</f>
        <v/>
      </c>
      <c r="Q202" t="str">
        <f>""</f>
        <v/>
      </c>
      <c r="R202" t="str">
        <f>""</f>
        <v/>
      </c>
      <c r="S202" t="str">
        <f>""</f>
        <v/>
      </c>
      <c r="T202" t="str">
        <f>""</f>
        <v/>
      </c>
      <c r="W202" t="str">
        <f>""</f>
        <v/>
      </c>
    </row>
    <row r="203" spans="1:23" ht="45" x14ac:dyDescent="0.25">
      <c r="A203" s="1">
        <f t="shared" si="3"/>
        <v>202</v>
      </c>
      <c r="B203" s="10">
        <v>761</v>
      </c>
      <c r="C203" s="10" t="s">
        <v>118</v>
      </c>
      <c r="D203" s="10" t="s">
        <v>992</v>
      </c>
      <c r="E203" s="10" t="s">
        <v>993</v>
      </c>
      <c r="G203" s="10"/>
      <c r="H203" s="15" t="s">
        <v>994</v>
      </c>
      <c r="I203" s="15"/>
      <c r="J203" s="10">
        <v>2500</v>
      </c>
      <c r="K203" s="1" t="s">
        <v>905</v>
      </c>
      <c r="L203" t="s">
        <v>995</v>
      </c>
      <c r="M203">
        <v>109</v>
      </c>
      <c r="N203" t="str">
        <f>""</f>
        <v/>
      </c>
      <c r="O203" t="str">
        <f>""</f>
        <v/>
      </c>
      <c r="P203" t="str">
        <f>""</f>
        <v/>
      </c>
      <c r="Q203" t="str">
        <f>""</f>
        <v/>
      </c>
      <c r="R203" t="str">
        <f>""</f>
        <v/>
      </c>
      <c r="S203" t="str">
        <f>""</f>
        <v/>
      </c>
      <c r="T203" t="str">
        <f>""</f>
        <v/>
      </c>
      <c r="W203" t="str">
        <f>""</f>
        <v/>
      </c>
    </row>
    <row r="204" spans="1:23" ht="45" x14ac:dyDescent="0.25">
      <c r="A204" s="1">
        <f t="shared" si="3"/>
        <v>203</v>
      </c>
      <c r="B204" s="10">
        <v>759</v>
      </c>
      <c r="C204" s="10" t="s">
        <v>118</v>
      </c>
      <c r="D204" s="10" t="s">
        <v>996</v>
      </c>
      <c r="E204" s="10" t="s">
        <v>997</v>
      </c>
      <c r="G204" s="10"/>
      <c r="H204" s="15" t="s">
        <v>998</v>
      </c>
      <c r="I204" s="15"/>
      <c r="J204" s="10">
        <v>3872</v>
      </c>
      <c r="K204" s="1" t="s">
        <v>999</v>
      </c>
      <c r="L204" t="s">
        <v>150</v>
      </c>
      <c r="M204">
        <v>190</v>
      </c>
      <c r="N204" t="str">
        <f>""</f>
        <v/>
      </c>
      <c r="O204" t="str">
        <f>""</f>
        <v/>
      </c>
      <c r="P204" t="str">
        <f>""</f>
        <v/>
      </c>
      <c r="Q204" t="str">
        <f>""</f>
        <v/>
      </c>
      <c r="R204" t="str">
        <f>""</f>
        <v/>
      </c>
      <c r="S204" t="str">
        <f>""</f>
        <v/>
      </c>
      <c r="T204" t="str">
        <f>""</f>
        <v/>
      </c>
      <c r="W204" t="str">
        <f>""</f>
        <v/>
      </c>
    </row>
    <row r="205" spans="1:23" ht="45" x14ac:dyDescent="0.25">
      <c r="A205" s="1">
        <f t="shared" si="3"/>
        <v>204</v>
      </c>
      <c r="B205" s="10">
        <v>739</v>
      </c>
      <c r="C205" s="10" t="s">
        <v>118</v>
      </c>
      <c r="D205" s="10" t="s">
        <v>977</v>
      </c>
      <c r="E205" s="10" t="s">
        <v>1000</v>
      </c>
      <c r="G205" s="10"/>
      <c r="H205" s="15" t="s">
        <v>1001</v>
      </c>
      <c r="I205" s="15"/>
      <c r="J205" s="10">
        <v>2070</v>
      </c>
      <c r="K205" s="1" t="s">
        <v>407</v>
      </c>
      <c r="L205" t="s">
        <v>411</v>
      </c>
      <c r="M205">
        <v>30</v>
      </c>
      <c r="N205" t="str">
        <f>""</f>
        <v/>
      </c>
      <c r="O205" t="str">
        <f>""</f>
        <v/>
      </c>
      <c r="P205" t="str">
        <f>""</f>
        <v/>
      </c>
      <c r="Q205" t="str">
        <f>""</f>
        <v/>
      </c>
      <c r="R205" t="str">
        <f>""</f>
        <v/>
      </c>
      <c r="S205" t="str">
        <f>""</f>
        <v/>
      </c>
      <c r="T205" t="str">
        <f>""</f>
        <v/>
      </c>
      <c r="W205" t="str">
        <f>""</f>
        <v/>
      </c>
    </row>
    <row r="206" spans="1:23" ht="30" x14ac:dyDescent="0.25">
      <c r="A206" s="1">
        <f t="shared" si="3"/>
        <v>205</v>
      </c>
      <c r="B206" s="10">
        <v>1047</v>
      </c>
      <c r="C206" s="10" t="s">
        <v>118</v>
      </c>
      <c r="D206" s="10" t="s">
        <v>1289</v>
      </c>
      <c r="F206" s="1" t="s">
        <v>1744</v>
      </c>
      <c r="G206" s="1" t="s">
        <v>1745</v>
      </c>
      <c r="H206" s="10" t="s">
        <v>1746</v>
      </c>
      <c r="I206" s="23" t="s">
        <v>1747</v>
      </c>
      <c r="J206" s="10">
        <v>2211</v>
      </c>
      <c r="K206" s="1" t="s">
        <v>1748</v>
      </c>
      <c r="L206" t="s">
        <v>411</v>
      </c>
      <c r="M206">
        <v>3</v>
      </c>
      <c r="N206" t="str">
        <f>""</f>
        <v/>
      </c>
      <c r="O206" t="str">
        <f>""</f>
        <v/>
      </c>
      <c r="P206" t="str">
        <f>""</f>
        <v/>
      </c>
      <c r="Q206" t="str">
        <f>""</f>
        <v/>
      </c>
      <c r="R206" t="str">
        <f>""</f>
        <v/>
      </c>
      <c r="S206" t="str">
        <f>""</f>
        <v/>
      </c>
      <c r="T206" t="str">
        <f>""</f>
        <v/>
      </c>
      <c r="V206" s="22">
        <v>45957</v>
      </c>
      <c r="W206" t="s">
        <v>1749</v>
      </c>
    </row>
    <row r="207" spans="1:23" ht="45" x14ac:dyDescent="0.25">
      <c r="A207" s="1">
        <f t="shared" si="3"/>
        <v>206</v>
      </c>
      <c r="C207" s="10" t="s">
        <v>118</v>
      </c>
      <c r="D207" s="10" t="s">
        <v>1296</v>
      </c>
      <c r="F207" s="1" t="s">
        <v>541</v>
      </c>
      <c r="G207" s="1" t="s">
        <v>1752</v>
      </c>
      <c r="H207" s="10" t="s">
        <v>1753</v>
      </c>
      <c r="I207" s="23" t="s">
        <v>1754</v>
      </c>
      <c r="J207" s="10">
        <v>3500</v>
      </c>
      <c r="K207" s="1" t="s">
        <v>572</v>
      </c>
      <c r="L207" t="s">
        <v>1755</v>
      </c>
      <c r="M207">
        <v>64</v>
      </c>
      <c r="N207" t="str">
        <f>""</f>
        <v/>
      </c>
      <c r="O207" t="str">
        <f>""</f>
        <v/>
      </c>
      <c r="P207" t="str">
        <f>""</f>
        <v/>
      </c>
      <c r="Q207" t="str">
        <f>""</f>
        <v/>
      </c>
      <c r="R207" t="str">
        <f>""</f>
        <v/>
      </c>
      <c r="S207" t="str">
        <f>""</f>
        <v/>
      </c>
      <c r="T207" t="str">
        <f>""</f>
        <v/>
      </c>
      <c r="W207" t="s">
        <v>1756</v>
      </c>
    </row>
    <row r="208" spans="1:23" ht="45" x14ac:dyDescent="0.25">
      <c r="A208" s="1">
        <f t="shared" si="3"/>
        <v>207</v>
      </c>
      <c r="B208" s="10">
        <v>3016</v>
      </c>
      <c r="C208" s="10" t="s">
        <v>118</v>
      </c>
      <c r="D208" s="10" t="s">
        <v>550</v>
      </c>
      <c r="F208" s="1" t="s">
        <v>1757</v>
      </c>
      <c r="G208" s="1" t="s">
        <v>1758</v>
      </c>
      <c r="H208" s="10" t="s">
        <v>1759</v>
      </c>
      <c r="I208" s="23" t="s">
        <v>1760</v>
      </c>
      <c r="J208" s="10">
        <v>3580</v>
      </c>
      <c r="K208" s="1" t="s">
        <v>103</v>
      </c>
      <c r="L208" t="s">
        <v>372</v>
      </c>
      <c r="M208">
        <v>19</v>
      </c>
      <c r="N208" t="str">
        <f>""</f>
        <v/>
      </c>
      <c r="O208" t="str">
        <f>""</f>
        <v/>
      </c>
      <c r="P208" t="str">
        <f>""</f>
        <v/>
      </c>
      <c r="Q208" t="str">
        <f>""</f>
        <v/>
      </c>
      <c r="R208" t="str">
        <f>""</f>
        <v/>
      </c>
      <c r="S208" t="str">
        <f>""</f>
        <v/>
      </c>
      <c r="T208" t="str">
        <f>""</f>
        <v/>
      </c>
      <c r="W208" t="s">
        <v>1751</v>
      </c>
    </row>
    <row r="209" spans="1:23" ht="45" x14ac:dyDescent="0.25">
      <c r="A209" s="1">
        <f t="shared" si="3"/>
        <v>208</v>
      </c>
      <c r="B209" s="10">
        <v>3033</v>
      </c>
      <c r="C209" s="10" t="s">
        <v>118</v>
      </c>
      <c r="D209" s="10" t="s">
        <v>550</v>
      </c>
      <c r="F209" s="1" t="s">
        <v>1761</v>
      </c>
      <c r="G209" s="1" t="s">
        <v>1762</v>
      </c>
      <c r="H209" s="10" t="s">
        <v>1763</v>
      </c>
      <c r="I209" s="23" t="s">
        <v>1764</v>
      </c>
      <c r="J209" s="10">
        <v>3843</v>
      </c>
      <c r="K209" s="1" t="s">
        <v>437</v>
      </c>
      <c r="L209" t="s">
        <v>1765</v>
      </c>
      <c r="M209">
        <v>13</v>
      </c>
      <c r="N209" t="str">
        <f>""</f>
        <v/>
      </c>
      <c r="O209" t="str">
        <f>""</f>
        <v/>
      </c>
      <c r="P209" t="str">
        <f>""</f>
        <v/>
      </c>
      <c r="Q209" t="str">
        <f>""</f>
        <v/>
      </c>
      <c r="R209" t="str">
        <f>""</f>
        <v/>
      </c>
      <c r="S209" t="str">
        <f>""</f>
        <v/>
      </c>
      <c r="T209" t="str">
        <f>""</f>
        <v/>
      </c>
      <c r="W209" t="str">
        <f>""</f>
        <v/>
      </c>
    </row>
    <row r="210" spans="1:23" ht="75" x14ac:dyDescent="0.25">
      <c r="A210" s="1">
        <f t="shared" si="3"/>
        <v>209</v>
      </c>
      <c r="B210" s="10">
        <v>386</v>
      </c>
      <c r="C210" s="10" t="s">
        <v>118</v>
      </c>
      <c r="D210" s="10" t="s">
        <v>1302</v>
      </c>
      <c r="F210" s="1" t="s">
        <v>1766</v>
      </c>
      <c r="G210" s="1" t="s">
        <v>1767</v>
      </c>
      <c r="H210" s="10" t="s">
        <v>1768</v>
      </c>
      <c r="I210" s="23" t="s">
        <v>1769</v>
      </c>
      <c r="J210" s="10">
        <v>3830</v>
      </c>
      <c r="K210" s="1" t="s">
        <v>1304</v>
      </c>
      <c r="L210" t="s">
        <v>411</v>
      </c>
      <c r="M210">
        <v>18</v>
      </c>
      <c r="N210" t="str">
        <f>""</f>
        <v/>
      </c>
      <c r="O210" t="str">
        <f>""</f>
        <v/>
      </c>
      <c r="P210" t="str">
        <f>""</f>
        <v/>
      </c>
      <c r="Q210" t="str">
        <f>""</f>
        <v/>
      </c>
      <c r="R210" t="str">
        <f>""</f>
        <v/>
      </c>
      <c r="S210" t="str">
        <f>""</f>
        <v/>
      </c>
      <c r="T210" t="str">
        <f>""</f>
        <v/>
      </c>
      <c r="W210" t="s">
        <v>1770</v>
      </c>
    </row>
    <row r="211" spans="1:23" x14ac:dyDescent="0.25">
      <c r="A211" s="1">
        <f t="shared" si="3"/>
        <v>210</v>
      </c>
      <c r="B211" s="10">
        <v>3168</v>
      </c>
      <c r="C211" s="10" t="s">
        <v>118</v>
      </c>
      <c r="H211" s="10">
        <v>0</v>
      </c>
      <c r="I211" s="23"/>
      <c r="M211">
        <v>0</v>
      </c>
      <c r="N211" t="str">
        <f>""</f>
        <v/>
      </c>
      <c r="O211" t="str">
        <f>""</f>
        <v/>
      </c>
      <c r="P211" t="str">
        <f>""</f>
        <v/>
      </c>
      <c r="Q211" t="str">
        <f>""</f>
        <v/>
      </c>
      <c r="R211" t="str">
        <f>""</f>
        <v/>
      </c>
      <c r="S211" t="str">
        <f>""</f>
        <v/>
      </c>
      <c r="T211" t="str">
        <f>""</f>
        <v/>
      </c>
      <c r="W211" t="str">
        <f>""</f>
        <v/>
      </c>
    </row>
    <row r="212" spans="1:23" x14ac:dyDescent="0.25">
      <c r="A212" s="1">
        <f t="shared" si="3"/>
        <v>211</v>
      </c>
      <c r="B212" s="10">
        <v>3152</v>
      </c>
      <c r="C212" s="10" t="s">
        <v>118</v>
      </c>
      <c r="H212" s="10">
        <v>0</v>
      </c>
      <c r="I212" s="23"/>
      <c r="M212">
        <v>0</v>
      </c>
      <c r="N212" t="str">
        <f>""</f>
        <v/>
      </c>
      <c r="O212" t="str">
        <f>""</f>
        <v/>
      </c>
      <c r="P212" t="str">
        <f>""</f>
        <v/>
      </c>
      <c r="Q212" t="str">
        <f>""</f>
        <v/>
      </c>
      <c r="R212" t="str">
        <f>""</f>
        <v/>
      </c>
      <c r="S212" t="str">
        <f>""</f>
        <v/>
      </c>
      <c r="T212" t="str">
        <f>""</f>
        <v/>
      </c>
      <c r="W212" t="str">
        <f>""</f>
        <v/>
      </c>
    </row>
    <row r="213" spans="1:23" x14ac:dyDescent="0.25">
      <c r="A213" s="1">
        <f t="shared" si="3"/>
        <v>212</v>
      </c>
      <c r="B213" s="10">
        <v>3158</v>
      </c>
      <c r="C213" s="10" t="s">
        <v>118</v>
      </c>
      <c r="H213" s="10">
        <v>0</v>
      </c>
      <c r="I213" s="23"/>
      <c r="M213">
        <v>0</v>
      </c>
      <c r="N213" t="str">
        <f>""</f>
        <v/>
      </c>
      <c r="O213" t="str">
        <f>""</f>
        <v/>
      </c>
      <c r="P213" t="str">
        <f>""</f>
        <v/>
      </c>
      <c r="Q213" t="str">
        <f>""</f>
        <v/>
      </c>
      <c r="R213" t="str">
        <f>""</f>
        <v/>
      </c>
      <c r="S213" t="str">
        <f>""</f>
        <v/>
      </c>
      <c r="T213" t="str">
        <f>""</f>
        <v/>
      </c>
      <c r="W213" t="str">
        <f>""</f>
        <v/>
      </c>
    </row>
    <row r="214" spans="1:23" x14ac:dyDescent="0.25">
      <c r="A214" s="1">
        <f t="shared" si="3"/>
        <v>213</v>
      </c>
      <c r="B214" s="10">
        <v>3163</v>
      </c>
      <c r="C214" s="10" t="s">
        <v>118</v>
      </c>
      <c r="H214" s="10">
        <v>0</v>
      </c>
      <c r="I214" s="23"/>
      <c r="M214">
        <v>0</v>
      </c>
      <c r="N214" t="str">
        <f>""</f>
        <v/>
      </c>
      <c r="O214" t="str">
        <f>""</f>
        <v/>
      </c>
      <c r="P214" t="str">
        <f>""</f>
        <v/>
      </c>
      <c r="Q214" t="str">
        <f>""</f>
        <v/>
      </c>
      <c r="R214" t="str">
        <f>""</f>
        <v/>
      </c>
      <c r="S214" t="str">
        <f>""</f>
        <v/>
      </c>
      <c r="T214" t="str">
        <f>""</f>
        <v/>
      </c>
      <c r="W214" t="str">
        <f>""</f>
        <v/>
      </c>
    </row>
    <row r="215" spans="1:23" x14ac:dyDescent="0.25">
      <c r="A215" s="1">
        <f t="shared" si="3"/>
        <v>214</v>
      </c>
      <c r="B215" s="10">
        <v>3165</v>
      </c>
      <c r="C215" s="10" t="s">
        <v>118</v>
      </c>
      <c r="H215" s="10">
        <v>0</v>
      </c>
      <c r="I215" s="23"/>
      <c r="M215">
        <v>0</v>
      </c>
      <c r="N215" t="str">
        <f>""</f>
        <v/>
      </c>
      <c r="O215" t="str">
        <f>""</f>
        <v/>
      </c>
      <c r="P215" t="str">
        <f>""</f>
        <v/>
      </c>
      <c r="Q215" t="str">
        <f>""</f>
        <v/>
      </c>
      <c r="R215" t="str">
        <f>""</f>
        <v/>
      </c>
      <c r="S215" t="str">
        <f>""</f>
        <v/>
      </c>
      <c r="T215" t="str">
        <f>""</f>
        <v/>
      </c>
      <c r="W215" t="str">
        <f>""</f>
        <v/>
      </c>
    </row>
    <row r="216" spans="1:23" x14ac:dyDescent="0.25">
      <c r="A216" s="1">
        <f t="shared" si="3"/>
        <v>215</v>
      </c>
      <c r="B216" s="10">
        <v>3167</v>
      </c>
      <c r="C216" s="10" t="s">
        <v>118</v>
      </c>
      <c r="H216" s="10">
        <v>0</v>
      </c>
      <c r="I216" s="23"/>
      <c r="M216">
        <v>0</v>
      </c>
      <c r="N216" t="str">
        <f>""</f>
        <v/>
      </c>
      <c r="O216" t="str">
        <f>""</f>
        <v/>
      </c>
      <c r="P216" t="str">
        <f>""</f>
        <v/>
      </c>
      <c r="Q216" t="str">
        <f>""</f>
        <v/>
      </c>
      <c r="R216" t="str">
        <f>""</f>
        <v/>
      </c>
      <c r="S216" t="str">
        <f>""</f>
        <v/>
      </c>
      <c r="T216" t="str">
        <f>""</f>
        <v/>
      </c>
      <c r="W216" t="str">
        <f>""</f>
        <v/>
      </c>
    </row>
    <row r="217" spans="1:23" ht="30" x14ac:dyDescent="0.25">
      <c r="A217" s="1">
        <f t="shared" si="3"/>
        <v>216</v>
      </c>
      <c r="B217" s="10">
        <v>594</v>
      </c>
      <c r="C217" s="10" t="s">
        <v>118</v>
      </c>
      <c r="D217" s="10" t="s">
        <v>277</v>
      </c>
      <c r="F217" s="1" t="s">
        <v>306</v>
      </c>
      <c r="G217" s="1" t="s">
        <v>1771</v>
      </c>
      <c r="H217" s="10" t="s">
        <v>1772</v>
      </c>
      <c r="I217" s="23"/>
      <c r="J217" s="10">
        <v>3580</v>
      </c>
      <c r="K217" s="1" t="s">
        <v>103</v>
      </c>
      <c r="L217" t="s">
        <v>1313</v>
      </c>
      <c r="M217">
        <v>14</v>
      </c>
      <c r="N217" t="str">
        <f>""</f>
        <v/>
      </c>
      <c r="O217" t="str">
        <f>""</f>
        <v/>
      </c>
      <c r="P217" t="str">
        <f>""</f>
        <v/>
      </c>
      <c r="Q217" t="str">
        <f>""</f>
        <v/>
      </c>
      <c r="R217" t="str">
        <f>""</f>
        <v/>
      </c>
      <c r="S217" t="str">
        <f>""</f>
        <v/>
      </c>
      <c r="T217" t="str">
        <f>""</f>
        <v/>
      </c>
      <c r="W217" t="str">
        <f>""</f>
        <v/>
      </c>
    </row>
    <row r="218" spans="1:23" x14ac:dyDescent="0.25">
      <c r="A218" s="1">
        <f t="shared" si="3"/>
        <v>217</v>
      </c>
      <c r="B218" s="10">
        <v>837</v>
      </c>
      <c r="C218" s="10" t="s">
        <v>118</v>
      </c>
      <c r="H218" s="10">
        <v>0</v>
      </c>
      <c r="I218" s="23"/>
      <c r="M218">
        <v>0</v>
      </c>
      <c r="N218" t="str">
        <f>""</f>
        <v/>
      </c>
      <c r="O218" t="str">
        <f>""</f>
        <v/>
      </c>
      <c r="P218" t="str">
        <f>""</f>
        <v/>
      </c>
      <c r="Q218" t="str">
        <f>""</f>
        <v/>
      </c>
      <c r="R218" t="str">
        <f>""</f>
        <v/>
      </c>
      <c r="S218" t="str">
        <f>""</f>
        <v/>
      </c>
      <c r="T218" t="str">
        <f>""</f>
        <v/>
      </c>
      <c r="W218" t="str">
        <f>""</f>
        <v/>
      </c>
    </row>
    <row r="219" spans="1:23" ht="30" x14ac:dyDescent="0.25">
      <c r="A219" s="1">
        <f t="shared" si="3"/>
        <v>218</v>
      </c>
      <c r="B219" s="10">
        <v>3136</v>
      </c>
      <c r="C219" s="10" t="s">
        <v>118</v>
      </c>
      <c r="D219" s="10" t="s">
        <v>854</v>
      </c>
      <c r="F219" s="1" t="s">
        <v>153</v>
      </c>
      <c r="G219" s="1" t="s">
        <v>235</v>
      </c>
      <c r="H219" s="10">
        <v>0</v>
      </c>
      <c r="I219" s="23"/>
      <c r="J219" s="10">
        <v>2224</v>
      </c>
      <c r="K219" s="1" t="s">
        <v>1773</v>
      </c>
      <c r="L219" t="s">
        <v>1773</v>
      </c>
      <c r="M219">
        <v>250</v>
      </c>
      <c r="N219" t="str">
        <f>""</f>
        <v/>
      </c>
      <c r="O219" t="str">
        <f>""</f>
        <v/>
      </c>
      <c r="P219" t="str">
        <f>""</f>
        <v/>
      </c>
      <c r="Q219" t="str">
        <f>""</f>
        <v/>
      </c>
      <c r="R219" t="str">
        <f>""</f>
        <v/>
      </c>
      <c r="S219" t="str">
        <f>""</f>
        <v/>
      </c>
      <c r="T219" t="str">
        <f>""</f>
        <v/>
      </c>
      <c r="W219" t="str">
        <f>""</f>
        <v/>
      </c>
    </row>
    <row r="220" spans="1:23" ht="60" x14ac:dyDescent="0.25">
      <c r="A220" s="1">
        <f t="shared" si="3"/>
        <v>219</v>
      </c>
      <c r="B220" s="10">
        <v>495</v>
      </c>
      <c r="C220" s="10" t="s">
        <v>118</v>
      </c>
      <c r="D220" s="10" t="s">
        <v>1315</v>
      </c>
      <c r="F220" s="1" t="s">
        <v>1774</v>
      </c>
      <c r="G220" s="1" t="s">
        <v>1775</v>
      </c>
      <c r="H220" s="10" t="s">
        <v>1776</v>
      </c>
      <c r="I220" s="23" t="s">
        <v>1777</v>
      </c>
      <c r="J220" s="10">
        <v>3902</v>
      </c>
      <c r="K220" s="1" t="s">
        <v>344</v>
      </c>
      <c r="L220" t="s">
        <v>358</v>
      </c>
      <c r="M220">
        <v>19</v>
      </c>
      <c r="N220" t="str">
        <f>""</f>
        <v/>
      </c>
      <c r="O220" t="str">
        <f>""</f>
        <v/>
      </c>
      <c r="P220" t="str">
        <f>""</f>
        <v/>
      </c>
      <c r="Q220" t="str">
        <f>""</f>
        <v/>
      </c>
      <c r="R220" t="str">
        <f>""</f>
        <v/>
      </c>
      <c r="S220" t="str">
        <f>""</f>
        <v/>
      </c>
      <c r="T220" t="str">
        <f>""</f>
        <v/>
      </c>
      <c r="W220" t="str">
        <f>""</f>
        <v/>
      </c>
    </row>
    <row r="221" spans="1:23" ht="45" x14ac:dyDescent="0.25">
      <c r="A221" s="1">
        <f t="shared" si="3"/>
        <v>220</v>
      </c>
      <c r="B221" s="10">
        <v>375</v>
      </c>
      <c r="C221" s="10" t="s">
        <v>118</v>
      </c>
      <c r="D221" s="10" t="s">
        <v>1317</v>
      </c>
      <c r="F221" s="1" t="s">
        <v>145</v>
      </c>
      <c r="G221" s="1" t="s">
        <v>1318</v>
      </c>
      <c r="H221" s="10" t="s">
        <v>1778</v>
      </c>
      <c r="I221" s="23" t="s">
        <v>1779</v>
      </c>
      <c r="J221" s="10">
        <v>3800</v>
      </c>
      <c r="K221" s="1" t="s">
        <v>554</v>
      </c>
      <c r="L221" t="s">
        <v>761</v>
      </c>
      <c r="M221">
        <v>1</v>
      </c>
      <c r="N221" t="str">
        <f>""</f>
        <v/>
      </c>
      <c r="O221" t="str">
        <f>""</f>
        <v/>
      </c>
      <c r="P221" t="str">
        <f>""</f>
        <v/>
      </c>
      <c r="Q221" t="str">
        <f>""</f>
        <v/>
      </c>
      <c r="R221" t="str">
        <f>""</f>
        <v/>
      </c>
      <c r="S221" t="str">
        <f>""</f>
        <v/>
      </c>
      <c r="T221" t="str">
        <f>""</f>
        <v/>
      </c>
      <c r="W221" t="str">
        <f>""</f>
        <v/>
      </c>
    </row>
    <row r="222" spans="1:23" ht="45" x14ac:dyDescent="0.25">
      <c r="A222" s="1">
        <f t="shared" si="3"/>
        <v>221</v>
      </c>
      <c r="B222" s="10">
        <v>563</v>
      </c>
      <c r="C222" s="10" t="s">
        <v>118</v>
      </c>
      <c r="D222" s="10" t="s">
        <v>423</v>
      </c>
      <c r="F222" s="1" t="s">
        <v>1780</v>
      </c>
      <c r="G222" s="1" t="s">
        <v>1781</v>
      </c>
      <c r="H222" s="10" t="s">
        <v>1782</v>
      </c>
      <c r="I222" s="23"/>
      <c r="J222" s="10">
        <v>3830</v>
      </c>
      <c r="K222" s="1" t="s">
        <v>179</v>
      </c>
      <c r="L222" t="s">
        <v>1324</v>
      </c>
      <c r="M222">
        <v>2</v>
      </c>
      <c r="N222" t="str">
        <f>""</f>
        <v/>
      </c>
      <c r="O222" t="str">
        <f>""</f>
        <v/>
      </c>
      <c r="P222" t="str">
        <f>""</f>
        <v/>
      </c>
      <c r="Q222" t="str">
        <f>""</f>
        <v/>
      </c>
      <c r="R222" t="str">
        <f>""</f>
        <v/>
      </c>
      <c r="S222" t="str">
        <f>""</f>
        <v/>
      </c>
      <c r="T222" t="str">
        <f>""</f>
        <v/>
      </c>
      <c r="W222" t="str">
        <f>""</f>
        <v/>
      </c>
    </row>
    <row r="223" spans="1:23" ht="45" x14ac:dyDescent="0.25">
      <c r="A223" s="1">
        <f t="shared" si="3"/>
        <v>222</v>
      </c>
      <c r="B223" s="10">
        <v>580</v>
      </c>
      <c r="C223" s="10" t="s">
        <v>118</v>
      </c>
      <c r="D223" s="10" t="s">
        <v>423</v>
      </c>
      <c r="F223" s="1" t="s">
        <v>1783</v>
      </c>
      <c r="G223" s="1" t="s">
        <v>1784</v>
      </c>
      <c r="H223" s="10" t="s">
        <v>1785</v>
      </c>
      <c r="I223" s="23"/>
      <c r="J223" s="10">
        <v>3580</v>
      </c>
      <c r="K223" s="1" t="s">
        <v>103</v>
      </c>
      <c r="L223" t="s">
        <v>372</v>
      </c>
      <c r="M223">
        <v>15</v>
      </c>
      <c r="N223" t="str">
        <f>""</f>
        <v/>
      </c>
      <c r="O223" t="str">
        <f>""</f>
        <v/>
      </c>
      <c r="P223" t="str">
        <f>""</f>
        <v/>
      </c>
      <c r="Q223" t="str">
        <f>""</f>
        <v/>
      </c>
      <c r="R223" t="str">
        <f>""</f>
        <v/>
      </c>
      <c r="S223" t="str">
        <f>""</f>
        <v/>
      </c>
      <c r="T223" t="str">
        <f>""</f>
        <v/>
      </c>
      <c r="W223" t="str">
        <f>""</f>
        <v/>
      </c>
    </row>
    <row r="224" spans="1:23" ht="105" x14ac:dyDescent="0.25">
      <c r="A224" s="1">
        <f t="shared" si="3"/>
        <v>223</v>
      </c>
      <c r="B224" s="10">
        <v>444</v>
      </c>
      <c r="C224" s="10" t="s">
        <v>118</v>
      </c>
      <c r="D224" s="10" t="s">
        <v>1329</v>
      </c>
      <c r="H224" s="10">
        <v>0</v>
      </c>
      <c r="I224" s="23"/>
      <c r="J224" s="10">
        <v>3860</v>
      </c>
      <c r="K224" s="1" t="s">
        <v>250</v>
      </c>
      <c r="L224" t="s">
        <v>1333</v>
      </c>
      <c r="M224">
        <v>80</v>
      </c>
      <c r="N224" t="str">
        <f>""</f>
        <v/>
      </c>
      <c r="O224" t="str">
        <f>""</f>
        <v/>
      </c>
      <c r="P224" t="str">
        <f>""</f>
        <v/>
      </c>
      <c r="Q224" t="str">
        <f>""</f>
        <v/>
      </c>
      <c r="R224" t="str">
        <f>""</f>
        <v/>
      </c>
      <c r="S224" t="str">
        <f>""</f>
        <v/>
      </c>
      <c r="T224" t="str">
        <f>""</f>
        <v/>
      </c>
      <c r="W224" t="str">
        <f>""</f>
        <v/>
      </c>
    </row>
    <row r="225" spans="1:23" ht="30" x14ac:dyDescent="0.25">
      <c r="A225" s="1">
        <f t="shared" si="3"/>
        <v>224</v>
      </c>
      <c r="B225" s="10">
        <v>586</v>
      </c>
      <c r="C225" s="10" t="s">
        <v>118</v>
      </c>
      <c r="D225" s="10" t="s">
        <v>1335</v>
      </c>
      <c r="H225" s="10">
        <v>0</v>
      </c>
      <c r="I225" s="23"/>
      <c r="J225" s="10">
        <v>3580</v>
      </c>
      <c r="K225" s="1" t="s">
        <v>103</v>
      </c>
      <c r="L225" t="s">
        <v>805</v>
      </c>
      <c r="M225">
        <v>6</v>
      </c>
      <c r="N225" t="str">
        <f>""</f>
        <v/>
      </c>
      <c r="O225" t="str">
        <f>""</f>
        <v/>
      </c>
      <c r="P225" t="str">
        <f>""</f>
        <v/>
      </c>
      <c r="Q225" t="str">
        <f>""</f>
        <v/>
      </c>
      <c r="R225" t="str">
        <f>""</f>
        <v/>
      </c>
      <c r="S225" t="str">
        <f>""</f>
        <v/>
      </c>
      <c r="T225" t="str">
        <f>""</f>
        <v/>
      </c>
      <c r="W225" t="str">
        <f>""</f>
        <v/>
      </c>
    </row>
    <row r="226" spans="1:23" ht="60" x14ac:dyDescent="0.25">
      <c r="A226" s="1">
        <f t="shared" si="3"/>
        <v>225</v>
      </c>
      <c r="B226" s="10">
        <v>641</v>
      </c>
      <c r="C226" s="10" t="s">
        <v>118</v>
      </c>
      <c r="D226" s="10" t="s">
        <v>423</v>
      </c>
      <c r="F226" s="1" t="s">
        <v>1786</v>
      </c>
      <c r="G226" s="1" t="s">
        <v>576</v>
      </c>
      <c r="H226" s="10">
        <v>0</v>
      </c>
      <c r="I226" s="23"/>
      <c r="J226" s="10">
        <v>3830</v>
      </c>
      <c r="K226" s="1" t="s">
        <v>371</v>
      </c>
      <c r="L226" t="s">
        <v>1339</v>
      </c>
      <c r="M226">
        <v>34</v>
      </c>
      <c r="N226" t="str">
        <f>""</f>
        <v/>
      </c>
      <c r="O226" t="str">
        <f>""</f>
        <v/>
      </c>
      <c r="P226" t="str">
        <f>""</f>
        <v/>
      </c>
      <c r="Q226" t="str">
        <f>""</f>
        <v/>
      </c>
      <c r="R226" t="str">
        <f>""</f>
        <v/>
      </c>
      <c r="S226" t="str">
        <f>""</f>
        <v/>
      </c>
      <c r="T226" t="str">
        <f>""</f>
        <v/>
      </c>
      <c r="W226" t="str">
        <f>""</f>
        <v/>
      </c>
    </row>
    <row r="227" spans="1:23" ht="30" x14ac:dyDescent="0.25">
      <c r="A227" s="1">
        <f t="shared" si="3"/>
        <v>226</v>
      </c>
      <c r="B227" s="10">
        <v>521</v>
      </c>
      <c r="C227" s="10" t="s">
        <v>118</v>
      </c>
      <c r="D227" s="10" t="s">
        <v>277</v>
      </c>
      <c r="H227" s="10">
        <v>0</v>
      </c>
      <c r="I227" s="23"/>
      <c r="J227" s="10">
        <v>3580</v>
      </c>
      <c r="K227" s="1" t="s">
        <v>1530</v>
      </c>
      <c r="L227" t="s">
        <v>1530</v>
      </c>
      <c r="M227">
        <v>2</v>
      </c>
      <c r="N227" t="str">
        <f>""</f>
        <v/>
      </c>
      <c r="O227" t="str">
        <f>""</f>
        <v/>
      </c>
      <c r="P227" t="str">
        <f>""</f>
        <v/>
      </c>
      <c r="Q227" t="str">
        <f>""</f>
        <v/>
      </c>
      <c r="R227" t="str">
        <f>""</f>
        <v/>
      </c>
      <c r="S227" t="str">
        <f>""</f>
        <v/>
      </c>
      <c r="T227" t="str">
        <f>""</f>
        <v/>
      </c>
      <c r="W227" t="str">
        <f>""</f>
        <v/>
      </c>
    </row>
    <row r="228" spans="1:23" ht="75" x14ac:dyDescent="0.25">
      <c r="A228" s="1">
        <f t="shared" si="3"/>
        <v>227</v>
      </c>
      <c r="B228" s="10">
        <v>492</v>
      </c>
      <c r="C228" s="10" t="s">
        <v>118</v>
      </c>
      <c r="D228" s="10" t="s">
        <v>1343</v>
      </c>
      <c r="F228" s="1" t="s">
        <v>145</v>
      </c>
      <c r="G228" s="1" t="s">
        <v>1344</v>
      </c>
      <c r="H228" s="10" t="s">
        <v>1787</v>
      </c>
      <c r="I228" s="23" t="s">
        <v>1788</v>
      </c>
      <c r="J228" s="10">
        <v>3830</v>
      </c>
      <c r="K228" s="1" t="s">
        <v>371</v>
      </c>
      <c r="L228" t="s">
        <v>1339</v>
      </c>
      <c r="M228">
        <v>19</v>
      </c>
      <c r="N228" t="str">
        <f>""</f>
        <v/>
      </c>
      <c r="O228" t="str">
        <f>""</f>
        <v/>
      </c>
      <c r="P228" t="str">
        <f>""</f>
        <v/>
      </c>
      <c r="Q228" t="str">
        <f>""</f>
        <v/>
      </c>
      <c r="R228" t="str">
        <f>""</f>
        <v/>
      </c>
      <c r="S228" t="str">
        <f>""</f>
        <v/>
      </c>
      <c r="T228" t="str">
        <f>""</f>
        <v/>
      </c>
      <c r="W228" t="str">
        <f>""</f>
        <v/>
      </c>
    </row>
    <row r="229" spans="1:23" ht="45" x14ac:dyDescent="0.25">
      <c r="A229" s="1">
        <f t="shared" si="3"/>
        <v>228</v>
      </c>
      <c r="B229" s="10">
        <v>460</v>
      </c>
      <c r="C229" s="10" t="s">
        <v>118</v>
      </c>
      <c r="D229" s="10" t="s">
        <v>1345</v>
      </c>
      <c r="F229" s="1" t="s">
        <v>1789</v>
      </c>
      <c r="G229" s="1" t="s">
        <v>1790</v>
      </c>
      <c r="H229" s="10">
        <v>0</v>
      </c>
      <c r="I229" s="23"/>
      <c r="J229" s="10">
        <v>3971</v>
      </c>
      <c r="K229" s="1" t="s">
        <v>1791</v>
      </c>
      <c r="L229" t="s">
        <v>1792</v>
      </c>
      <c r="M229">
        <v>38</v>
      </c>
      <c r="N229" t="str">
        <f>""</f>
        <v/>
      </c>
      <c r="O229" t="str">
        <f>""</f>
        <v/>
      </c>
      <c r="P229" t="str">
        <f>""</f>
        <v/>
      </c>
      <c r="Q229" t="str">
        <f>""</f>
        <v/>
      </c>
      <c r="R229" t="str">
        <f>""</f>
        <v/>
      </c>
      <c r="S229" t="str">
        <f>""</f>
        <v/>
      </c>
      <c r="T229" t="str">
        <f>""</f>
        <v/>
      </c>
      <c r="W229" t="str">
        <f>""</f>
        <v/>
      </c>
    </row>
    <row r="230" spans="1:23" x14ac:dyDescent="0.25">
      <c r="A230" s="1">
        <f t="shared" si="3"/>
        <v>229</v>
      </c>
      <c r="B230" s="10">
        <v>338</v>
      </c>
      <c r="C230" s="10" t="s">
        <v>118</v>
      </c>
      <c r="D230" s="10" t="s">
        <v>1347</v>
      </c>
      <c r="H230" s="10">
        <v>0</v>
      </c>
      <c r="I230" s="23"/>
      <c r="M230">
        <v>0</v>
      </c>
      <c r="N230" t="str">
        <f>""</f>
        <v/>
      </c>
      <c r="O230" t="str">
        <f>""</f>
        <v/>
      </c>
      <c r="P230" t="str">
        <f>""</f>
        <v/>
      </c>
      <c r="Q230" t="str">
        <f>""</f>
        <v/>
      </c>
      <c r="R230" t="str">
        <f>""</f>
        <v/>
      </c>
      <c r="S230" t="str">
        <f>""</f>
        <v/>
      </c>
      <c r="T230" t="str">
        <f>""</f>
        <v/>
      </c>
      <c r="W230" t="str">
        <f>""</f>
        <v/>
      </c>
    </row>
    <row r="231" spans="1:23" ht="75" x14ac:dyDescent="0.25">
      <c r="A231" s="1">
        <f t="shared" si="3"/>
        <v>230</v>
      </c>
      <c r="B231" s="10">
        <v>458</v>
      </c>
      <c r="C231" s="10" t="s">
        <v>118</v>
      </c>
      <c r="D231" s="10" t="s">
        <v>1349</v>
      </c>
      <c r="F231" s="1" t="s">
        <v>234</v>
      </c>
      <c r="G231" s="1" t="s">
        <v>1793</v>
      </c>
      <c r="H231" s="10">
        <v>0</v>
      </c>
      <c r="I231" s="23"/>
      <c r="J231" s="10">
        <v>3580</v>
      </c>
      <c r="K231" s="1" t="s">
        <v>103</v>
      </c>
      <c r="L231" t="s">
        <v>411</v>
      </c>
      <c r="M231">
        <v>22</v>
      </c>
      <c r="N231" t="str">
        <f>""</f>
        <v/>
      </c>
      <c r="O231" t="str">
        <f>""</f>
        <v/>
      </c>
      <c r="P231" t="str">
        <f>""</f>
        <v/>
      </c>
      <c r="Q231" t="str">
        <f>""</f>
        <v/>
      </c>
      <c r="R231" t="str">
        <f>""</f>
        <v/>
      </c>
      <c r="S231" t="str">
        <f>""</f>
        <v/>
      </c>
      <c r="T231" t="str">
        <f>""</f>
        <v/>
      </c>
      <c r="W231" t="str">
        <f>""</f>
        <v/>
      </c>
    </row>
    <row r="232" spans="1:23" ht="60" x14ac:dyDescent="0.25">
      <c r="A232" s="1">
        <f t="shared" si="3"/>
        <v>231</v>
      </c>
      <c r="B232" s="10">
        <v>558</v>
      </c>
      <c r="C232" s="10" t="s">
        <v>118</v>
      </c>
      <c r="D232" s="10" t="s">
        <v>277</v>
      </c>
      <c r="F232" s="1" t="s">
        <v>1794</v>
      </c>
      <c r="G232" s="1" t="s">
        <v>1795</v>
      </c>
      <c r="H232" s="10">
        <v>0</v>
      </c>
      <c r="I232" s="23"/>
      <c r="J232" s="10">
        <v>3830</v>
      </c>
      <c r="K232" s="1" t="s">
        <v>371</v>
      </c>
      <c r="L232" t="s">
        <v>1339</v>
      </c>
      <c r="M232">
        <v>2</v>
      </c>
      <c r="N232" t="str">
        <f>""</f>
        <v/>
      </c>
      <c r="O232" t="str">
        <f>""</f>
        <v/>
      </c>
      <c r="P232" t="str">
        <f>""</f>
        <v/>
      </c>
      <c r="Q232" t="str">
        <f>""</f>
        <v/>
      </c>
      <c r="R232" t="str">
        <f>""</f>
        <v/>
      </c>
      <c r="S232" t="str">
        <f>""</f>
        <v/>
      </c>
      <c r="T232" t="str">
        <f>""</f>
        <v/>
      </c>
      <c r="W232" t="str">
        <f>""</f>
        <v/>
      </c>
    </row>
    <row r="233" spans="1:23" ht="90" x14ac:dyDescent="0.25">
      <c r="A233" s="1">
        <f t="shared" si="3"/>
        <v>232</v>
      </c>
      <c r="B233" s="10">
        <v>301</v>
      </c>
      <c r="C233" s="10" t="s">
        <v>118</v>
      </c>
      <c r="D233" s="10" t="s">
        <v>1353</v>
      </c>
      <c r="F233" s="1" t="s">
        <v>536</v>
      </c>
      <c r="G233" s="1" t="s">
        <v>1796</v>
      </c>
      <c r="H233" s="10">
        <v>0</v>
      </c>
      <c r="I233" s="23"/>
      <c r="J233" s="10">
        <v>3830</v>
      </c>
      <c r="K233" s="1" t="s">
        <v>371</v>
      </c>
      <c r="L233" t="s">
        <v>1797</v>
      </c>
      <c r="M233">
        <v>17</v>
      </c>
      <c r="N233" t="str">
        <f>""</f>
        <v/>
      </c>
      <c r="O233" t="str">
        <f>""</f>
        <v/>
      </c>
      <c r="P233" t="str">
        <f>""</f>
        <v/>
      </c>
      <c r="Q233" t="str">
        <f>""</f>
        <v/>
      </c>
      <c r="R233" t="str">
        <f>""</f>
        <v/>
      </c>
      <c r="S233" t="str">
        <f>""</f>
        <v/>
      </c>
      <c r="T233" t="str">
        <f>""</f>
        <v/>
      </c>
      <c r="W233" t="str">
        <f>""</f>
        <v/>
      </c>
    </row>
    <row r="234" spans="1:23" ht="60" x14ac:dyDescent="0.25">
      <c r="A234" s="1">
        <f t="shared" si="3"/>
        <v>233</v>
      </c>
      <c r="B234" s="10">
        <v>324</v>
      </c>
      <c r="C234" s="10" t="s">
        <v>118</v>
      </c>
      <c r="D234" s="10" t="s">
        <v>1355</v>
      </c>
      <c r="F234" s="1" t="s">
        <v>1798</v>
      </c>
      <c r="G234" s="1" t="s">
        <v>1799</v>
      </c>
      <c r="H234" s="10">
        <v>0</v>
      </c>
      <c r="I234" s="23"/>
      <c r="J234" s="10">
        <v>3751</v>
      </c>
      <c r="K234" s="1" t="s">
        <v>1800</v>
      </c>
      <c r="L234" t="s">
        <v>150</v>
      </c>
      <c r="M234">
        <v>46</v>
      </c>
      <c r="N234" t="str">
        <f>""</f>
        <v/>
      </c>
      <c r="O234" t="str">
        <f>""</f>
        <v/>
      </c>
      <c r="P234" t="str">
        <f>""</f>
        <v/>
      </c>
      <c r="Q234" t="str">
        <f>""</f>
        <v/>
      </c>
      <c r="R234" t="str">
        <f>""</f>
        <v/>
      </c>
      <c r="S234" t="str">
        <f>""</f>
        <v/>
      </c>
      <c r="T234" t="str">
        <f>""</f>
        <v/>
      </c>
      <c r="W234" t="str">
        <f>""</f>
        <v/>
      </c>
    </row>
    <row r="235" spans="1:23" ht="45" x14ac:dyDescent="0.25">
      <c r="A235" s="1">
        <f t="shared" si="3"/>
        <v>234</v>
      </c>
      <c r="B235" s="10">
        <v>385</v>
      </c>
      <c r="C235" s="10" t="s">
        <v>118</v>
      </c>
      <c r="D235" s="10" t="s">
        <v>1358</v>
      </c>
      <c r="F235" s="1" t="s">
        <v>1774</v>
      </c>
      <c r="G235" s="1" t="s">
        <v>1801</v>
      </c>
      <c r="H235" s="10">
        <v>0</v>
      </c>
      <c r="I235" s="23"/>
      <c r="J235" s="10">
        <v>3950</v>
      </c>
      <c r="K235" s="1" t="s">
        <v>951</v>
      </c>
      <c r="L235" t="s">
        <v>1802</v>
      </c>
      <c r="M235">
        <v>40</v>
      </c>
      <c r="N235" t="str">
        <f>""</f>
        <v/>
      </c>
      <c r="O235" t="str">
        <f>""</f>
        <v/>
      </c>
      <c r="P235" t="str">
        <f>""</f>
        <v/>
      </c>
      <c r="Q235" t="str">
        <f>""</f>
        <v/>
      </c>
      <c r="R235" t="str">
        <f>""</f>
        <v/>
      </c>
      <c r="S235" t="str">
        <f>""</f>
        <v/>
      </c>
      <c r="T235" t="str">
        <f>""</f>
        <v/>
      </c>
      <c r="W235" t="str">
        <f>""</f>
        <v/>
      </c>
    </row>
    <row r="236" spans="1:23" ht="75" x14ac:dyDescent="0.25">
      <c r="A236" s="1">
        <f t="shared" si="3"/>
        <v>235</v>
      </c>
      <c r="B236" s="10">
        <v>423</v>
      </c>
      <c r="C236" s="10" t="s">
        <v>118</v>
      </c>
      <c r="D236" s="10" t="s">
        <v>1360</v>
      </c>
      <c r="F236" s="1" t="s">
        <v>129</v>
      </c>
      <c r="G236" s="1" t="s">
        <v>130</v>
      </c>
      <c r="H236" s="10">
        <v>0</v>
      </c>
      <c r="I236" s="23" t="s">
        <v>132</v>
      </c>
      <c r="J236" s="10">
        <v>3571</v>
      </c>
      <c r="K236" s="1" t="s">
        <v>133</v>
      </c>
      <c r="L236" t="s">
        <v>1803</v>
      </c>
      <c r="M236">
        <v>163</v>
      </c>
      <c r="N236" t="str">
        <f>""</f>
        <v/>
      </c>
      <c r="O236" t="str">
        <f>""</f>
        <v/>
      </c>
      <c r="P236" t="str">
        <f>""</f>
        <v/>
      </c>
      <c r="Q236" t="str">
        <f>""</f>
        <v/>
      </c>
      <c r="R236" t="str">
        <f>""</f>
        <v/>
      </c>
      <c r="S236" t="str">
        <f>""</f>
        <v/>
      </c>
      <c r="T236" t="str">
        <f>""</f>
        <v/>
      </c>
      <c r="W236" t="s">
        <v>1750</v>
      </c>
    </row>
    <row r="237" spans="1:23" ht="75" x14ac:dyDescent="0.25">
      <c r="A237" s="1">
        <f t="shared" si="3"/>
        <v>236</v>
      </c>
      <c r="B237" s="10">
        <v>462</v>
      </c>
      <c r="C237" s="10" t="s">
        <v>118</v>
      </c>
      <c r="D237" s="10" t="s">
        <v>1363</v>
      </c>
      <c r="F237" s="1" t="s">
        <v>253</v>
      </c>
      <c r="G237" s="1" t="s">
        <v>1804</v>
      </c>
      <c r="H237" s="10" t="s">
        <v>1805</v>
      </c>
      <c r="I237" s="23" t="s">
        <v>1806</v>
      </c>
      <c r="J237" s="10">
        <v>3970</v>
      </c>
      <c r="K237" s="1" t="s">
        <v>979</v>
      </c>
      <c r="L237" t="s">
        <v>980</v>
      </c>
      <c r="M237">
        <v>8</v>
      </c>
      <c r="N237" t="str">
        <f>""</f>
        <v/>
      </c>
      <c r="O237" t="str">
        <f>""</f>
        <v/>
      </c>
      <c r="P237" t="str">
        <f>""</f>
        <v/>
      </c>
      <c r="Q237" t="str">
        <f>""</f>
        <v/>
      </c>
      <c r="R237" t="str">
        <f>""</f>
        <v/>
      </c>
      <c r="S237" t="str">
        <f>""</f>
        <v/>
      </c>
      <c r="T237" t="str">
        <f>""</f>
        <v/>
      </c>
      <c r="W237" t="str">
        <f>""</f>
        <v/>
      </c>
    </row>
    <row r="238" spans="1:23" ht="75" x14ac:dyDescent="0.25">
      <c r="A238" s="1">
        <f t="shared" si="3"/>
        <v>237</v>
      </c>
      <c r="B238" s="10">
        <v>468</v>
      </c>
      <c r="C238" s="10" t="s">
        <v>118</v>
      </c>
      <c r="D238" s="10" t="s">
        <v>1367</v>
      </c>
      <c r="H238" s="10">
        <v>0</v>
      </c>
      <c r="I238" s="23"/>
      <c r="M238">
        <v>0</v>
      </c>
      <c r="N238" t="str">
        <f>""</f>
        <v/>
      </c>
      <c r="O238" t="str">
        <f>""</f>
        <v/>
      </c>
      <c r="P238" t="str">
        <f>""</f>
        <v/>
      </c>
      <c r="Q238" t="str">
        <f>""</f>
        <v/>
      </c>
      <c r="R238" t="str">
        <f>""</f>
        <v/>
      </c>
      <c r="S238" t="str">
        <f>""</f>
        <v/>
      </c>
      <c r="T238" t="str">
        <f>""</f>
        <v/>
      </c>
      <c r="W238" t="str">
        <f>""</f>
        <v/>
      </c>
    </row>
    <row r="239" spans="1:23" ht="60" x14ac:dyDescent="0.25">
      <c r="A239" s="1">
        <f t="shared" si="3"/>
        <v>238</v>
      </c>
      <c r="B239" s="10">
        <v>373</v>
      </c>
      <c r="C239" s="10" t="s">
        <v>118</v>
      </c>
      <c r="D239" s="10" t="s">
        <v>1372</v>
      </c>
      <c r="H239" s="10">
        <v>0</v>
      </c>
      <c r="I239" s="23"/>
      <c r="J239" s="10">
        <v>3812</v>
      </c>
      <c r="K239" s="1" t="s">
        <v>198</v>
      </c>
      <c r="L239" t="s">
        <v>564</v>
      </c>
      <c r="M239">
        <v>32</v>
      </c>
      <c r="N239" t="str">
        <f>""</f>
        <v/>
      </c>
      <c r="O239" t="str">
        <f>""</f>
        <v/>
      </c>
      <c r="P239" t="str">
        <f>""</f>
        <v/>
      </c>
      <c r="Q239" t="str">
        <f>""</f>
        <v/>
      </c>
      <c r="R239" t="str">
        <f>""</f>
        <v/>
      </c>
      <c r="S239" t="str">
        <f>""</f>
        <v/>
      </c>
      <c r="T239" t="str">
        <f>""</f>
        <v/>
      </c>
      <c r="W239" t="str">
        <f>""</f>
        <v/>
      </c>
    </row>
    <row r="240" spans="1:23" ht="60" x14ac:dyDescent="0.25">
      <c r="A240" s="1">
        <f t="shared" si="3"/>
        <v>239</v>
      </c>
      <c r="B240" s="10">
        <v>446</v>
      </c>
      <c r="C240" s="10" t="s">
        <v>118</v>
      </c>
      <c r="D240" s="10" t="s">
        <v>1374</v>
      </c>
      <c r="F240" s="1" t="s">
        <v>620</v>
      </c>
      <c r="G240" s="1" t="s">
        <v>1807</v>
      </c>
      <c r="H240" s="10">
        <v>0</v>
      </c>
      <c r="I240" s="23"/>
      <c r="J240" s="10">
        <v>3580</v>
      </c>
      <c r="K240" s="1" t="s">
        <v>103</v>
      </c>
      <c r="L240" t="s">
        <v>1808</v>
      </c>
      <c r="M240">
        <v>7</v>
      </c>
      <c r="N240" t="str">
        <f>""</f>
        <v/>
      </c>
      <c r="O240" t="str">
        <f>""</f>
        <v/>
      </c>
      <c r="P240" t="str">
        <f>""</f>
        <v/>
      </c>
      <c r="Q240" t="str">
        <f>""</f>
        <v/>
      </c>
      <c r="R240" t="str">
        <f>""</f>
        <v/>
      </c>
      <c r="S240" t="str">
        <f>""</f>
        <v/>
      </c>
      <c r="T240" t="str">
        <f>""</f>
        <v/>
      </c>
      <c r="W240" t="str">
        <f>""</f>
        <v/>
      </c>
    </row>
    <row r="241" spans="1:23" ht="60" x14ac:dyDescent="0.25">
      <c r="A241" s="1">
        <f t="shared" si="3"/>
        <v>240</v>
      </c>
      <c r="B241" s="10">
        <v>551</v>
      </c>
      <c r="C241" s="10" t="s">
        <v>118</v>
      </c>
      <c r="D241" s="10" t="s">
        <v>1377</v>
      </c>
      <c r="F241" s="1" t="s">
        <v>498</v>
      </c>
      <c r="G241" s="1" t="s">
        <v>1809</v>
      </c>
      <c r="H241" s="10">
        <v>0</v>
      </c>
      <c r="I241" s="23"/>
      <c r="J241" s="10">
        <v>3665</v>
      </c>
      <c r="K241" s="1" t="s">
        <v>1810</v>
      </c>
      <c r="L241" t="s">
        <v>1810</v>
      </c>
      <c r="M241">
        <v>22</v>
      </c>
      <c r="N241" t="str">
        <f>""</f>
        <v/>
      </c>
      <c r="O241" t="str">
        <f>""</f>
        <v/>
      </c>
      <c r="P241" t="str">
        <f>""</f>
        <v/>
      </c>
      <c r="Q241" t="str">
        <f>""</f>
        <v/>
      </c>
      <c r="R241" t="str">
        <f>""</f>
        <v/>
      </c>
      <c r="S241" t="str">
        <f>""</f>
        <v/>
      </c>
      <c r="T241" t="str">
        <f>""</f>
        <v/>
      </c>
      <c r="W241" t="str">
        <f>""</f>
        <v/>
      </c>
    </row>
    <row r="242" spans="1:23" ht="45" x14ac:dyDescent="0.25">
      <c r="A242" s="1">
        <f t="shared" si="3"/>
        <v>241</v>
      </c>
      <c r="B242" s="10">
        <v>556</v>
      </c>
      <c r="C242" s="10" t="s">
        <v>118</v>
      </c>
      <c r="D242" s="10" t="s">
        <v>1380</v>
      </c>
      <c r="H242" s="10">
        <v>0</v>
      </c>
      <c r="I242" s="23"/>
      <c r="K242" s="1" t="s">
        <v>467</v>
      </c>
      <c r="L242" t="s">
        <v>1483</v>
      </c>
      <c r="M242">
        <v>0</v>
      </c>
      <c r="N242" t="str">
        <f>""</f>
        <v/>
      </c>
      <c r="O242" t="str">
        <f>""</f>
        <v/>
      </c>
      <c r="P242" t="str">
        <f>""</f>
        <v/>
      </c>
      <c r="Q242" t="str">
        <f>""</f>
        <v/>
      </c>
      <c r="R242" t="str">
        <f>""</f>
        <v/>
      </c>
      <c r="S242" t="str">
        <f>""</f>
        <v/>
      </c>
      <c r="T242" t="str">
        <f>""</f>
        <v/>
      </c>
      <c r="W242" t="str">
        <f>""</f>
        <v/>
      </c>
    </row>
    <row r="243" spans="1:23" ht="60" x14ac:dyDescent="0.25">
      <c r="A243" s="1">
        <f t="shared" si="3"/>
        <v>242</v>
      </c>
      <c r="B243" s="10">
        <v>563</v>
      </c>
      <c r="C243" s="10" t="s">
        <v>118</v>
      </c>
      <c r="D243" s="10" t="s">
        <v>1383</v>
      </c>
      <c r="F243" s="1" t="s">
        <v>1811</v>
      </c>
      <c r="G243" s="1" t="s">
        <v>1384</v>
      </c>
      <c r="H243" s="10">
        <v>0</v>
      </c>
      <c r="I243" s="23"/>
      <c r="J243" s="10">
        <v>3804</v>
      </c>
      <c r="K243" s="1" t="s">
        <v>1812</v>
      </c>
      <c r="L243" t="s">
        <v>150</v>
      </c>
      <c r="M243">
        <v>16</v>
      </c>
      <c r="N243" t="str">
        <f>""</f>
        <v/>
      </c>
      <c r="O243" t="str">
        <f>""</f>
        <v/>
      </c>
      <c r="P243" t="str">
        <f>""</f>
        <v/>
      </c>
      <c r="Q243" t="str">
        <f>""</f>
        <v/>
      </c>
      <c r="R243" t="str">
        <f>""</f>
        <v/>
      </c>
      <c r="S243" t="str">
        <f>""</f>
        <v/>
      </c>
      <c r="T243" t="str">
        <f>""</f>
        <v/>
      </c>
      <c r="W243" t="str">
        <f>""</f>
        <v/>
      </c>
    </row>
    <row r="244" spans="1:23" ht="30" x14ac:dyDescent="0.25">
      <c r="A244" s="1">
        <f t="shared" si="3"/>
        <v>243</v>
      </c>
      <c r="B244" s="10">
        <v>569</v>
      </c>
      <c r="C244" s="10" t="s">
        <v>118</v>
      </c>
      <c r="D244" s="10" t="s">
        <v>359</v>
      </c>
      <c r="H244" s="10">
        <v>0</v>
      </c>
      <c r="I244" s="23"/>
      <c r="J244" s="10">
        <v>3580</v>
      </c>
      <c r="K244" s="1" t="s">
        <v>103</v>
      </c>
      <c r="L244" t="s">
        <v>411</v>
      </c>
      <c r="M244">
        <v>10</v>
      </c>
      <c r="N244" t="str">
        <f>""</f>
        <v/>
      </c>
      <c r="O244" t="str">
        <f>""</f>
        <v/>
      </c>
      <c r="P244" t="str">
        <f>""</f>
        <v/>
      </c>
      <c r="Q244" t="str">
        <f>""</f>
        <v/>
      </c>
      <c r="R244" t="str">
        <f>""</f>
        <v/>
      </c>
      <c r="S244" t="str">
        <f>""</f>
        <v/>
      </c>
      <c r="T244" t="str">
        <f>""</f>
        <v/>
      </c>
      <c r="W244" t="str">
        <f>""</f>
        <v/>
      </c>
    </row>
    <row r="245" spans="1:23" ht="60" x14ac:dyDescent="0.25">
      <c r="A245" s="1">
        <f t="shared" si="3"/>
        <v>244</v>
      </c>
      <c r="B245" s="10">
        <v>405</v>
      </c>
      <c r="C245" s="10" t="s">
        <v>118</v>
      </c>
      <c r="D245" s="10" t="s">
        <v>1388</v>
      </c>
      <c r="H245" s="10">
        <v>0</v>
      </c>
      <c r="I245" s="23"/>
      <c r="J245" s="10">
        <v>3830</v>
      </c>
      <c r="K245" s="1" t="s">
        <v>371</v>
      </c>
      <c r="L245" t="s">
        <v>372</v>
      </c>
      <c r="M245">
        <v>12</v>
      </c>
      <c r="N245" t="str">
        <f>""</f>
        <v/>
      </c>
      <c r="O245" t="str">
        <f>""</f>
        <v/>
      </c>
      <c r="P245" t="str">
        <f>""</f>
        <v/>
      </c>
      <c r="Q245" t="str">
        <f>""</f>
        <v/>
      </c>
      <c r="R245" t="str">
        <f>""</f>
        <v/>
      </c>
      <c r="S245" t="str">
        <f>""</f>
        <v/>
      </c>
      <c r="T245" t="str">
        <f>""</f>
        <v/>
      </c>
      <c r="W245" t="str">
        <f>""</f>
        <v/>
      </c>
    </row>
    <row r="246" spans="1:23" ht="45" x14ac:dyDescent="0.25">
      <c r="A246" s="1">
        <f t="shared" si="3"/>
        <v>245</v>
      </c>
      <c r="B246" s="10">
        <v>493</v>
      </c>
      <c r="C246" s="10" t="s">
        <v>118</v>
      </c>
      <c r="D246" s="10" t="s">
        <v>1392</v>
      </c>
      <c r="F246" s="1" t="s">
        <v>1813</v>
      </c>
      <c r="G246" s="1" t="s">
        <v>1814</v>
      </c>
      <c r="H246" s="10">
        <v>0</v>
      </c>
      <c r="I246" s="23"/>
      <c r="J246" s="10">
        <v>3812</v>
      </c>
      <c r="K246" s="1" t="s">
        <v>198</v>
      </c>
      <c r="L246" t="s">
        <v>821</v>
      </c>
      <c r="M246">
        <v>4</v>
      </c>
      <c r="N246" t="str">
        <f>""</f>
        <v/>
      </c>
      <c r="O246" t="str">
        <f>""</f>
        <v/>
      </c>
      <c r="P246" t="str">
        <f>""</f>
        <v/>
      </c>
      <c r="Q246" t="str">
        <f>""</f>
        <v/>
      </c>
      <c r="R246" t="str">
        <f>""</f>
        <v/>
      </c>
      <c r="S246" t="str">
        <f>""</f>
        <v/>
      </c>
      <c r="T246" t="str">
        <f>""</f>
        <v/>
      </c>
      <c r="W246" t="str">
        <f>""</f>
        <v/>
      </c>
    </row>
    <row r="247" spans="1:23" ht="75" x14ac:dyDescent="0.25">
      <c r="A247" s="1">
        <f t="shared" si="3"/>
        <v>246</v>
      </c>
      <c r="B247" s="10">
        <v>465</v>
      </c>
      <c r="C247" s="10" t="s">
        <v>118</v>
      </c>
      <c r="D247" s="10" t="s">
        <v>1395</v>
      </c>
      <c r="F247" s="1" t="s">
        <v>570</v>
      </c>
      <c r="G247" s="1" t="s">
        <v>122</v>
      </c>
      <c r="H247" s="10">
        <v>0</v>
      </c>
      <c r="I247" s="23"/>
      <c r="J247" s="10">
        <v>3571</v>
      </c>
      <c r="K247" s="1" t="s">
        <v>133</v>
      </c>
      <c r="L247" t="s">
        <v>411</v>
      </c>
      <c r="M247">
        <v>80</v>
      </c>
      <c r="N247" t="str">
        <f>""</f>
        <v/>
      </c>
      <c r="O247" t="str">
        <f>""</f>
        <v/>
      </c>
      <c r="P247" t="str">
        <f>""</f>
        <v/>
      </c>
      <c r="Q247" t="str">
        <f>""</f>
        <v/>
      </c>
      <c r="R247" t="str">
        <f>""</f>
        <v/>
      </c>
      <c r="S247" t="str">
        <f>""</f>
        <v/>
      </c>
      <c r="T247" t="str">
        <f>""</f>
        <v/>
      </c>
      <c r="W247" t="s">
        <v>1751</v>
      </c>
    </row>
    <row r="248" spans="1:23" ht="75" x14ac:dyDescent="0.25">
      <c r="A248" s="1">
        <f t="shared" si="3"/>
        <v>247</v>
      </c>
      <c r="B248" s="10">
        <v>489</v>
      </c>
      <c r="C248" s="10" t="s">
        <v>118</v>
      </c>
      <c r="D248" s="10" t="s">
        <v>1397</v>
      </c>
      <c r="F248" s="1" t="s">
        <v>129</v>
      </c>
      <c r="G248" s="1" t="s">
        <v>1815</v>
      </c>
      <c r="H248" s="10" t="s">
        <v>1816</v>
      </c>
      <c r="I248" s="23" t="s">
        <v>1817</v>
      </c>
      <c r="J248" s="10">
        <v>3830</v>
      </c>
      <c r="K248" s="1" t="s">
        <v>371</v>
      </c>
      <c r="L248" t="s">
        <v>1818</v>
      </c>
      <c r="M248">
        <v>24</v>
      </c>
      <c r="N248" t="str">
        <f>""</f>
        <v/>
      </c>
      <c r="O248" t="str">
        <f>""</f>
        <v/>
      </c>
      <c r="P248" t="str">
        <f>""</f>
        <v/>
      </c>
      <c r="Q248" t="str">
        <f>""</f>
        <v/>
      </c>
      <c r="R248" t="str">
        <f>""</f>
        <v/>
      </c>
      <c r="S248" t="str">
        <f>""</f>
        <v/>
      </c>
      <c r="T248" t="str">
        <f>""</f>
        <v/>
      </c>
      <c r="W248" t="s">
        <v>1751</v>
      </c>
    </row>
    <row r="249" spans="1:23" ht="60" x14ac:dyDescent="0.25">
      <c r="A249" s="1">
        <f t="shared" si="3"/>
        <v>248</v>
      </c>
      <c r="B249" s="10">
        <v>475</v>
      </c>
      <c r="C249" s="10" t="s">
        <v>118</v>
      </c>
      <c r="D249" s="10" t="s">
        <v>409</v>
      </c>
      <c r="F249" s="1" t="s">
        <v>1819</v>
      </c>
      <c r="G249" s="1" t="s">
        <v>1820</v>
      </c>
      <c r="H249" s="10" t="s">
        <v>1821</v>
      </c>
      <c r="I249" s="23" t="s">
        <v>1822</v>
      </c>
      <c r="J249" s="10">
        <v>3830</v>
      </c>
      <c r="K249" s="1" t="s">
        <v>371</v>
      </c>
      <c r="L249" t="s">
        <v>1823</v>
      </c>
      <c r="M249">
        <v>5</v>
      </c>
      <c r="N249" t="str">
        <f>""</f>
        <v/>
      </c>
      <c r="O249" t="str">
        <f>""</f>
        <v/>
      </c>
      <c r="P249" t="str">
        <f>""</f>
        <v/>
      </c>
      <c r="Q249" t="str">
        <f>""</f>
        <v/>
      </c>
      <c r="R249" t="str">
        <f>""</f>
        <v/>
      </c>
      <c r="S249" t="str">
        <f>""</f>
        <v/>
      </c>
      <c r="T249" t="str">
        <f>""</f>
        <v/>
      </c>
      <c r="W249" t="s">
        <v>1824</v>
      </c>
    </row>
    <row r="250" spans="1:23" ht="120" x14ac:dyDescent="0.25">
      <c r="A250" s="1">
        <f t="shared" si="3"/>
        <v>249</v>
      </c>
      <c r="B250" s="10">
        <v>467</v>
      </c>
      <c r="C250" s="10" t="s">
        <v>118</v>
      </c>
      <c r="D250" s="10" t="s">
        <v>1401</v>
      </c>
      <c r="F250" s="1" t="s">
        <v>194</v>
      </c>
      <c r="G250" s="1" t="s">
        <v>1825</v>
      </c>
      <c r="H250" s="10">
        <v>0</v>
      </c>
      <c r="I250" s="23"/>
      <c r="J250" s="10">
        <v>3843</v>
      </c>
      <c r="K250" s="1" t="s">
        <v>437</v>
      </c>
      <c r="L250" t="s">
        <v>438</v>
      </c>
      <c r="M250">
        <v>33</v>
      </c>
      <c r="N250" t="str">
        <f>""</f>
        <v/>
      </c>
      <c r="O250" t="str">
        <f>""</f>
        <v/>
      </c>
      <c r="P250" t="str">
        <f>""</f>
        <v/>
      </c>
      <c r="Q250" t="str">
        <f>""</f>
        <v/>
      </c>
      <c r="R250" t="str">
        <f>""</f>
        <v/>
      </c>
      <c r="S250" t="str">
        <f>""</f>
        <v/>
      </c>
      <c r="T250" t="str">
        <f>""</f>
        <v/>
      </c>
      <c r="W250" t="str">
        <f>""</f>
        <v/>
      </c>
    </row>
    <row r="251" spans="1:23" ht="120" x14ac:dyDescent="0.25">
      <c r="A251" s="1">
        <f t="shared" si="3"/>
        <v>250</v>
      </c>
      <c r="B251" s="10">
        <v>463</v>
      </c>
      <c r="C251" s="10" t="s">
        <v>118</v>
      </c>
      <c r="D251" s="10" t="s">
        <v>1404</v>
      </c>
      <c r="F251" s="1" t="s">
        <v>1826</v>
      </c>
      <c r="G251" s="1" t="s">
        <v>1827</v>
      </c>
      <c r="H251" s="10">
        <v>0</v>
      </c>
      <c r="I251" s="23"/>
      <c r="J251" s="10">
        <v>3500</v>
      </c>
      <c r="K251" s="1" t="s">
        <v>572</v>
      </c>
      <c r="L251" t="s">
        <v>1828</v>
      </c>
      <c r="M251">
        <v>17</v>
      </c>
      <c r="N251" t="str">
        <f>""</f>
        <v/>
      </c>
      <c r="O251" t="str">
        <f>""</f>
        <v/>
      </c>
      <c r="P251" t="str">
        <f>""</f>
        <v/>
      </c>
      <c r="Q251" t="str">
        <f>""</f>
        <v/>
      </c>
      <c r="R251" t="str">
        <f>""</f>
        <v/>
      </c>
      <c r="S251" t="str">
        <f>""</f>
        <v/>
      </c>
      <c r="T251" t="str">
        <f>""</f>
        <v/>
      </c>
      <c r="W251" t="str">
        <f>""</f>
        <v/>
      </c>
    </row>
    <row r="252" spans="1:23" ht="75" x14ac:dyDescent="0.25">
      <c r="A252" s="1">
        <f t="shared" si="3"/>
        <v>251</v>
      </c>
      <c r="B252" s="10">
        <v>672</v>
      </c>
      <c r="C252" s="10" t="s">
        <v>118</v>
      </c>
      <c r="D252" s="10" t="s">
        <v>1407</v>
      </c>
      <c r="F252" s="1" t="s">
        <v>315</v>
      </c>
      <c r="G252" s="1" t="s">
        <v>776</v>
      </c>
      <c r="H252" s="10" t="s">
        <v>1829</v>
      </c>
      <c r="I252" s="23" t="s">
        <v>1830</v>
      </c>
      <c r="J252" s="10">
        <v>3943</v>
      </c>
      <c r="K252" s="1" t="s">
        <v>257</v>
      </c>
      <c r="L252" t="s">
        <v>1831</v>
      </c>
      <c r="M252">
        <v>20</v>
      </c>
      <c r="N252" t="str">
        <f>""</f>
        <v/>
      </c>
      <c r="O252" t="str">
        <f>""</f>
        <v/>
      </c>
      <c r="P252" t="str">
        <f>""</f>
        <v/>
      </c>
      <c r="Q252" t="str">
        <f>""</f>
        <v/>
      </c>
      <c r="R252" t="str">
        <f>""</f>
        <v/>
      </c>
      <c r="S252" t="str">
        <f>""</f>
        <v/>
      </c>
      <c r="T252" t="str">
        <f>""</f>
        <v/>
      </c>
      <c r="W252" t="str">
        <f>""</f>
        <v/>
      </c>
    </row>
    <row r="253" spans="1:23" ht="30" x14ac:dyDescent="0.25">
      <c r="A253" s="1">
        <f t="shared" si="3"/>
        <v>252</v>
      </c>
      <c r="B253" s="10">
        <v>663</v>
      </c>
      <c r="C253" s="10" t="s">
        <v>118</v>
      </c>
      <c r="D253" s="10" t="s">
        <v>1410</v>
      </c>
      <c r="H253" s="10">
        <v>0</v>
      </c>
      <c r="I253" s="23"/>
      <c r="J253" s="10">
        <v>3352</v>
      </c>
      <c r="K253" s="1" t="s">
        <v>1832</v>
      </c>
      <c r="L253" t="s">
        <v>1833</v>
      </c>
      <c r="M253">
        <v>20</v>
      </c>
      <c r="N253" t="str">
        <f>""</f>
        <v/>
      </c>
      <c r="O253" t="str">
        <f>""</f>
        <v/>
      </c>
      <c r="P253" t="str">
        <f>""</f>
        <v/>
      </c>
      <c r="Q253" t="str">
        <f>""</f>
        <v/>
      </c>
      <c r="R253" t="str">
        <f>""</f>
        <v/>
      </c>
      <c r="S253" t="str">
        <f>""</f>
        <v/>
      </c>
      <c r="T253" t="str">
        <f>""</f>
        <v/>
      </c>
      <c r="W253" t="str">
        <f>""</f>
        <v/>
      </c>
    </row>
    <row r="254" spans="1:23" ht="75" x14ac:dyDescent="0.25">
      <c r="A254" s="1">
        <f t="shared" si="3"/>
        <v>253</v>
      </c>
      <c r="B254" s="10">
        <v>614</v>
      </c>
      <c r="C254" s="10" t="s">
        <v>118</v>
      </c>
      <c r="D254" s="10" t="s">
        <v>1413</v>
      </c>
      <c r="H254" s="10">
        <v>0</v>
      </c>
      <c r="I254" s="23"/>
      <c r="J254" s="10">
        <v>3830</v>
      </c>
      <c r="K254" s="1" t="s">
        <v>371</v>
      </c>
      <c r="M254">
        <v>0</v>
      </c>
      <c r="N254" t="str">
        <f>""</f>
        <v/>
      </c>
      <c r="O254" t="str">
        <f>""</f>
        <v/>
      </c>
      <c r="P254" t="str">
        <f>""</f>
        <v/>
      </c>
      <c r="Q254" t="str">
        <f>""</f>
        <v/>
      </c>
      <c r="R254" t="str">
        <f>""</f>
        <v/>
      </c>
      <c r="S254" t="str">
        <f>""</f>
        <v/>
      </c>
      <c r="T254" t="str">
        <f>""</f>
        <v/>
      </c>
      <c r="W254" t="str">
        <f>""</f>
        <v/>
      </c>
    </row>
    <row r="255" spans="1:23" ht="75" x14ac:dyDescent="0.25">
      <c r="A255" s="1">
        <f t="shared" si="3"/>
        <v>254</v>
      </c>
      <c r="B255" s="10">
        <v>567</v>
      </c>
      <c r="C255" s="10" t="s">
        <v>118</v>
      </c>
      <c r="D255" s="10" t="s">
        <v>1418</v>
      </c>
      <c r="H255" s="10">
        <v>0</v>
      </c>
      <c r="I255" s="23"/>
      <c r="J255" s="10">
        <v>3464</v>
      </c>
      <c r="K255" s="1" t="s">
        <v>1834</v>
      </c>
      <c r="M255">
        <v>0</v>
      </c>
      <c r="N255" t="str">
        <f>""</f>
        <v/>
      </c>
      <c r="O255" t="str">
        <f>""</f>
        <v/>
      </c>
      <c r="P255" t="str">
        <f>""</f>
        <v/>
      </c>
      <c r="Q255" t="str">
        <f>""</f>
        <v/>
      </c>
      <c r="R255" t="str">
        <f>""</f>
        <v/>
      </c>
      <c r="S255" t="str">
        <f>""</f>
        <v/>
      </c>
      <c r="T255" t="str">
        <f>""</f>
        <v/>
      </c>
      <c r="W255" t="str">
        <f>""</f>
        <v/>
      </c>
    </row>
    <row r="256" spans="1:23" ht="75" x14ac:dyDescent="0.25">
      <c r="A256" s="1">
        <f t="shared" si="3"/>
        <v>255</v>
      </c>
      <c r="B256" s="10">
        <v>592</v>
      </c>
      <c r="C256" s="10" t="s">
        <v>118</v>
      </c>
      <c r="D256" s="10" t="s">
        <v>1422</v>
      </c>
      <c r="F256" s="1" t="s">
        <v>1826</v>
      </c>
      <c r="G256" s="1" t="s">
        <v>1835</v>
      </c>
      <c r="H256" s="10">
        <v>0</v>
      </c>
      <c r="I256" s="23"/>
      <c r="J256" s="10">
        <v>3830</v>
      </c>
      <c r="K256" s="1" t="s">
        <v>371</v>
      </c>
      <c r="L256" t="s">
        <v>1836</v>
      </c>
      <c r="M256">
        <v>9</v>
      </c>
      <c r="N256" t="str">
        <f>""</f>
        <v/>
      </c>
      <c r="O256" t="str">
        <f>""</f>
        <v/>
      </c>
      <c r="P256" t="str">
        <f>""</f>
        <v/>
      </c>
      <c r="Q256" t="str">
        <f>""</f>
        <v/>
      </c>
      <c r="R256" t="str">
        <f>""</f>
        <v/>
      </c>
      <c r="S256" t="str">
        <f>""</f>
        <v/>
      </c>
      <c r="T256" t="str">
        <f>""</f>
        <v/>
      </c>
      <c r="W256" t="str">
        <f>""</f>
        <v/>
      </c>
    </row>
    <row r="257" spans="1:23" ht="60" x14ac:dyDescent="0.25">
      <c r="A257" s="1">
        <f t="shared" si="3"/>
        <v>256</v>
      </c>
      <c r="B257" s="10">
        <v>565</v>
      </c>
      <c r="C257" s="10" t="s">
        <v>118</v>
      </c>
      <c r="D257" s="10" t="s">
        <v>1426</v>
      </c>
      <c r="H257" s="10">
        <v>0</v>
      </c>
      <c r="I257" s="23"/>
      <c r="M257">
        <v>0</v>
      </c>
      <c r="N257" t="str">
        <f>""</f>
        <v/>
      </c>
      <c r="O257" t="str">
        <f>""</f>
        <v/>
      </c>
      <c r="P257" t="str">
        <f>""</f>
        <v/>
      </c>
      <c r="Q257" t="str">
        <f>""</f>
        <v/>
      </c>
      <c r="R257" t="str">
        <f>""</f>
        <v/>
      </c>
      <c r="S257" t="str">
        <f>""</f>
        <v/>
      </c>
      <c r="T257" t="str">
        <f>""</f>
        <v/>
      </c>
      <c r="W257" t="str">
        <f>""</f>
        <v/>
      </c>
    </row>
    <row r="258" spans="1:23" ht="60" x14ac:dyDescent="0.25">
      <c r="A258" s="1">
        <f t="shared" si="3"/>
        <v>257</v>
      </c>
      <c r="B258" s="10">
        <v>552</v>
      </c>
      <c r="C258" s="10" t="s">
        <v>118</v>
      </c>
      <c r="D258" s="10" t="s">
        <v>1429</v>
      </c>
      <c r="H258" s="10">
        <v>0</v>
      </c>
      <c r="I258" s="23"/>
      <c r="M258">
        <v>0</v>
      </c>
      <c r="N258" t="str">
        <f>""</f>
        <v/>
      </c>
      <c r="O258" t="str">
        <f>""</f>
        <v/>
      </c>
      <c r="P258" t="str">
        <f>""</f>
        <v/>
      </c>
      <c r="Q258" t="str">
        <f>""</f>
        <v/>
      </c>
      <c r="R258" t="str">
        <f>""</f>
        <v/>
      </c>
      <c r="S258" t="str">
        <f>""</f>
        <v/>
      </c>
      <c r="T258" t="str">
        <f>""</f>
        <v/>
      </c>
      <c r="W258" t="str">
        <f>""</f>
        <v/>
      </c>
    </row>
    <row r="259" spans="1:23" ht="75" x14ac:dyDescent="0.25">
      <c r="A259" s="1">
        <f t="shared" ref="A259:A322" si="4">ROW(A259)-1</f>
        <v>258</v>
      </c>
      <c r="B259" s="10">
        <v>519</v>
      </c>
      <c r="C259" s="10" t="s">
        <v>118</v>
      </c>
      <c r="D259" s="10" t="s">
        <v>1432</v>
      </c>
      <c r="H259" s="10">
        <v>0</v>
      </c>
      <c r="I259" s="23"/>
      <c r="M259">
        <v>0</v>
      </c>
      <c r="N259" t="str">
        <f>""</f>
        <v/>
      </c>
      <c r="O259" t="str">
        <f>""</f>
        <v/>
      </c>
      <c r="P259" t="str">
        <f>""</f>
        <v/>
      </c>
      <c r="Q259" t="str">
        <f>""</f>
        <v/>
      </c>
      <c r="R259" t="str">
        <f>""</f>
        <v/>
      </c>
      <c r="S259" t="str">
        <f>""</f>
        <v/>
      </c>
      <c r="T259" t="str">
        <f>""</f>
        <v/>
      </c>
      <c r="W259" t="str">
        <f>""</f>
        <v/>
      </c>
    </row>
    <row r="260" spans="1:23" ht="60" x14ac:dyDescent="0.25">
      <c r="A260" s="1">
        <f t="shared" si="4"/>
        <v>259</v>
      </c>
      <c r="B260" s="10">
        <v>517</v>
      </c>
      <c r="C260" s="10" t="s">
        <v>118</v>
      </c>
      <c r="D260" s="10" t="s">
        <v>1435</v>
      </c>
      <c r="F260" s="1" t="s">
        <v>322</v>
      </c>
      <c r="G260" s="1" t="s">
        <v>1436</v>
      </c>
      <c r="H260" s="10">
        <v>0</v>
      </c>
      <c r="I260" s="23"/>
      <c r="J260" s="10">
        <v>3872</v>
      </c>
      <c r="K260" s="1" t="s">
        <v>999</v>
      </c>
      <c r="M260">
        <v>0</v>
      </c>
      <c r="N260" t="str">
        <f>""</f>
        <v/>
      </c>
      <c r="O260" t="str">
        <f>""</f>
        <v/>
      </c>
      <c r="P260" t="str">
        <f>""</f>
        <v/>
      </c>
      <c r="Q260" t="str">
        <f>""</f>
        <v/>
      </c>
      <c r="R260" t="str">
        <f>""</f>
        <v/>
      </c>
      <c r="S260" t="str">
        <f>""</f>
        <v/>
      </c>
      <c r="T260" t="str">
        <f>""</f>
        <v/>
      </c>
      <c r="W260" t="str">
        <f>""</f>
        <v/>
      </c>
    </row>
    <row r="261" spans="1:23" ht="60" x14ac:dyDescent="0.25">
      <c r="A261" s="1">
        <f t="shared" si="4"/>
        <v>260</v>
      </c>
      <c r="B261" s="10">
        <v>514</v>
      </c>
      <c r="C261" s="10" t="s">
        <v>118</v>
      </c>
      <c r="D261" s="10" t="s">
        <v>1438</v>
      </c>
      <c r="F261" s="1" t="s">
        <v>620</v>
      </c>
      <c r="G261" s="1" t="s">
        <v>1837</v>
      </c>
      <c r="H261" s="10">
        <v>0</v>
      </c>
      <c r="I261" s="23"/>
      <c r="J261" s="10">
        <v>3753</v>
      </c>
      <c r="K261" s="1" t="s">
        <v>1838</v>
      </c>
      <c r="M261">
        <v>0</v>
      </c>
      <c r="N261" t="str">
        <f>""</f>
        <v/>
      </c>
      <c r="O261" t="str">
        <f>""</f>
        <v/>
      </c>
      <c r="P261" t="str">
        <f>""</f>
        <v/>
      </c>
      <c r="Q261" t="str">
        <f>""</f>
        <v/>
      </c>
      <c r="R261" t="str">
        <f>""</f>
        <v/>
      </c>
      <c r="S261" t="str">
        <f>""</f>
        <v/>
      </c>
      <c r="T261" t="str">
        <f>""</f>
        <v/>
      </c>
      <c r="W261" t="str">
        <f>""</f>
        <v/>
      </c>
    </row>
    <row r="262" spans="1:23" ht="135" x14ac:dyDescent="0.25">
      <c r="A262" s="1">
        <f t="shared" si="4"/>
        <v>261</v>
      </c>
      <c r="B262" s="10">
        <v>498</v>
      </c>
      <c r="C262" s="10" t="s">
        <v>118</v>
      </c>
      <c r="D262" s="10" t="s">
        <v>1442</v>
      </c>
      <c r="H262" s="10">
        <v>0</v>
      </c>
      <c r="I262" s="23"/>
      <c r="J262" s="10">
        <v>3595</v>
      </c>
      <c r="K262" s="1" t="s">
        <v>641</v>
      </c>
      <c r="M262">
        <v>0</v>
      </c>
      <c r="N262" t="str">
        <f>""</f>
        <v/>
      </c>
      <c r="O262" t="str">
        <f>""</f>
        <v/>
      </c>
      <c r="P262" t="str">
        <f>""</f>
        <v/>
      </c>
      <c r="Q262" t="str">
        <f>""</f>
        <v/>
      </c>
      <c r="R262" t="str">
        <f>""</f>
        <v/>
      </c>
      <c r="S262" t="str">
        <f>""</f>
        <v/>
      </c>
      <c r="T262" t="str">
        <f>""</f>
        <v/>
      </c>
      <c r="W262" t="str">
        <f>""</f>
        <v/>
      </c>
    </row>
    <row r="263" spans="1:23" ht="150" x14ac:dyDescent="0.25">
      <c r="A263" s="1">
        <f t="shared" si="4"/>
        <v>262</v>
      </c>
      <c r="B263" s="10">
        <v>473</v>
      </c>
      <c r="C263" s="10" t="s">
        <v>118</v>
      </c>
      <c r="D263" s="10" t="s">
        <v>1445</v>
      </c>
      <c r="F263" s="1" t="s">
        <v>1839</v>
      </c>
      <c r="G263" s="1" t="s">
        <v>1840</v>
      </c>
      <c r="H263" s="10">
        <v>0</v>
      </c>
      <c r="I263" s="23"/>
      <c r="J263" s="10">
        <v>3730</v>
      </c>
      <c r="K263" s="1" t="s">
        <v>282</v>
      </c>
      <c r="M263">
        <v>0</v>
      </c>
      <c r="N263" t="str">
        <f>""</f>
        <v/>
      </c>
      <c r="O263" t="str">
        <f>""</f>
        <v/>
      </c>
      <c r="P263" t="str">
        <f>""</f>
        <v/>
      </c>
      <c r="Q263" t="str">
        <f>""</f>
        <v/>
      </c>
      <c r="R263" t="str">
        <f>""</f>
        <v/>
      </c>
      <c r="S263" t="str">
        <f>""</f>
        <v/>
      </c>
      <c r="T263" t="str">
        <f>""</f>
        <v/>
      </c>
      <c r="W263" t="str">
        <f>""</f>
        <v/>
      </c>
    </row>
    <row r="264" spans="1:23" ht="75" x14ac:dyDescent="0.25">
      <c r="A264" s="1">
        <f t="shared" si="4"/>
        <v>263</v>
      </c>
      <c r="B264" s="10">
        <v>486</v>
      </c>
      <c r="C264" s="10" t="s">
        <v>118</v>
      </c>
      <c r="D264" s="10" t="s">
        <v>1447</v>
      </c>
      <c r="F264" s="1" t="s">
        <v>153</v>
      </c>
      <c r="G264" s="1" t="s">
        <v>1841</v>
      </c>
      <c r="H264" s="10">
        <v>0</v>
      </c>
      <c r="I264" s="23"/>
      <c r="J264" s="10">
        <v>3925</v>
      </c>
      <c r="K264" s="1" t="s">
        <v>1842</v>
      </c>
      <c r="L264" t="s">
        <v>1842</v>
      </c>
      <c r="M264">
        <v>17</v>
      </c>
      <c r="N264" t="str">
        <f>""</f>
        <v/>
      </c>
      <c r="O264" t="str">
        <f>""</f>
        <v/>
      </c>
      <c r="P264" t="str">
        <f>""</f>
        <v/>
      </c>
      <c r="Q264" t="str">
        <f>""</f>
        <v/>
      </c>
      <c r="R264" t="str">
        <f>""</f>
        <v/>
      </c>
      <c r="S264" t="str">
        <f>""</f>
        <v/>
      </c>
      <c r="T264" t="str">
        <f>""</f>
        <v/>
      </c>
      <c r="W264" t="str">
        <f>""</f>
        <v/>
      </c>
    </row>
    <row r="265" spans="1:23" ht="30" x14ac:dyDescent="0.25">
      <c r="A265" s="1">
        <f t="shared" si="4"/>
        <v>264</v>
      </c>
      <c r="B265" s="10">
        <v>422</v>
      </c>
      <c r="C265" s="10" t="s">
        <v>118</v>
      </c>
      <c r="D265" s="10" t="s">
        <v>1451</v>
      </c>
      <c r="F265" s="1" t="s">
        <v>667</v>
      </c>
      <c r="G265" s="1" t="s">
        <v>268</v>
      </c>
      <c r="H265" s="10">
        <v>0</v>
      </c>
      <c r="I265" s="23"/>
      <c r="J265" s="10">
        <v>3943</v>
      </c>
      <c r="K265" s="1" t="s">
        <v>257</v>
      </c>
      <c r="L265" t="s">
        <v>1843</v>
      </c>
      <c r="M265">
        <v>5</v>
      </c>
      <c r="N265" t="str">
        <f>""</f>
        <v/>
      </c>
      <c r="O265" t="str">
        <f>""</f>
        <v/>
      </c>
      <c r="P265" t="str">
        <f>""</f>
        <v/>
      </c>
      <c r="Q265" t="str">
        <f>""</f>
        <v/>
      </c>
      <c r="R265" t="str">
        <f>""</f>
        <v/>
      </c>
      <c r="S265" t="str">
        <f>""</f>
        <v/>
      </c>
      <c r="T265" t="str">
        <f>""</f>
        <v/>
      </c>
      <c r="W265" t="str">
        <f>""</f>
        <v/>
      </c>
    </row>
    <row r="266" spans="1:23" ht="45" x14ac:dyDescent="0.25">
      <c r="A266" s="1">
        <f t="shared" si="4"/>
        <v>265</v>
      </c>
      <c r="B266" s="10">
        <v>3002</v>
      </c>
      <c r="C266" s="10" t="s">
        <v>118</v>
      </c>
      <c r="D266" s="10" t="s">
        <v>423</v>
      </c>
      <c r="F266" s="1" t="s">
        <v>557</v>
      </c>
      <c r="G266" s="1" t="s">
        <v>558</v>
      </c>
      <c r="H266" s="10">
        <v>0</v>
      </c>
      <c r="I266" s="23"/>
      <c r="J266" s="10">
        <v>3580</v>
      </c>
      <c r="K266" s="1" t="s">
        <v>103</v>
      </c>
      <c r="L266" t="s">
        <v>559</v>
      </c>
      <c r="M266">
        <v>14</v>
      </c>
      <c r="N266" t="str">
        <f>""</f>
        <v/>
      </c>
      <c r="O266" t="str">
        <f>""</f>
        <v/>
      </c>
      <c r="P266" t="str">
        <f>""</f>
        <v/>
      </c>
      <c r="Q266" t="str">
        <f>""</f>
        <v/>
      </c>
      <c r="R266" t="str">
        <f>""</f>
        <v/>
      </c>
      <c r="S266" t="str">
        <f>""</f>
        <v/>
      </c>
      <c r="T266" t="str">
        <f>""</f>
        <v/>
      </c>
      <c r="W266" t="str">
        <f>""</f>
        <v/>
      </c>
    </row>
    <row r="267" spans="1:23" ht="30" x14ac:dyDescent="0.25">
      <c r="A267" s="1">
        <f t="shared" si="4"/>
        <v>266</v>
      </c>
      <c r="B267" s="10">
        <v>3003</v>
      </c>
      <c r="C267" s="10" t="s">
        <v>118</v>
      </c>
      <c r="D267" s="10" t="s">
        <v>351</v>
      </c>
      <c r="F267" s="1" t="s">
        <v>547</v>
      </c>
      <c r="G267" s="1" t="s">
        <v>548</v>
      </c>
      <c r="H267" s="10">
        <v>0</v>
      </c>
      <c r="I267" s="23"/>
      <c r="J267" s="10">
        <v>3970</v>
      </c>
      <c r="K267" s="1" t="s">
        <v>1844</v>
      </c>
      <c r="L267" t="s">
        <v>549</v>
      </c>
      <c r="M267">
        <v>53</v>
      </c>
      <c r="N267" t="str">
        <f>""</f>
        <v/>
      </c>
      <c r="O267" t="str">
        <f>""</f>
        <v/>
      </c>
      <c r="P267" t="str">
        <f>""</f>
        <v/>
      </c>
      <c r="Q267" t="str">
        <f>""</f>
        <v/>
      </c>
      <c r="R267" t="str">
        <f>""</f>
        <v/>
      </c>
      <c r="S267" t="str">
        <f>""</f>
        <v/>
      </c>
      <c r="T267" t="str">
        <f>""</f>
        <v/>
      </c>
      <c r="W267" t="str">
        <f>""</f>
        <v/>
      </c>
    </row>
    <row r="268" spans="1:23" ht="75" x14ac:dyDescent="0.25">
      <c r="A268" s="1">
        <f t="shared" si="4"/>
        <v>267</v>
      </c>
      <c r="B268" s="10">
        <v>3004</v>
      </c>
      <c r="C268" s="10" t="s">
        <v>118</v>
      </c>
      <c r="D268" s="10" t="s">
        <v>574</v>
      </c>
      <c r="F268" s="1" t="s">
        <v>768</v>
      </c>
      <c r="G268" s="1" t="s">
        <v>576</v>
      </c>
      <c r="H268" s="10">
        <v>0</v>
      </c>
      <c r="I268" s="23"/>
      <c r="J268" s="10">
        <v>3838</v>
      </c>
      <c r="K268" s="1" t="s">
        <v>371</v>
      </c>
      <c r="L268" t="s">
        <v>1818</v>
      </c>
      <c r="M268">
        <v>38</v>
      </c>
      <c r="N268" t="str">
        <f>""</f>
        <v/>
      </c>
      <c r="O268" t="str">
        <f>""</f>
        <v/>
      </c>
      <c r="P268" t="str">
        <f>""</f>
        <v/>
      </c>
      <c r="Q268" t="str">
        <f>""</f>
        <v/>
      </c>
      <c r="R268" t="str">
        <f>""</f>
        <v/>
      </c>
      <c r="S268" t="str">
        <f>""</f>
        <v/>
      </c>
      <c r="T268" t="str">
        <f>""</f>
        <v/>
      </c>
      <c r="W268" t="str">
        <f>""</f>
        <v/>
      </c>
    </row>
    <row r="269" spans="1:23" ht="180" x14ac:dyDescent="0.25">
      <c r="A269" s="1">
        <f t="shared" si="4"/>
        <v>268</v>
      </c>
      <c r="B269" s="10">
        <v>3009</v>
      </c>
      <c r="C269" s="10" t="s">
        <v>118</v>
      </c>
      <c r="D269" s="10" t="s">
        <v>1459</v>
      </c>
      <c r="F269" s="1" t="s">
        <v>561</v>
      </c>
      <c r="G269" s="1" t="s">
        <v>576</v>
      </c>
      <c r="H269" s="10">
        <v>0</v>
      </c>
      <c r="I269" s="23"/>
      <c r="J269" s="10">
        <v>3843</v>
      </c>
      <c r="K269" s="1" t="s">
        <v>437</v>
      </c>
      <c r="L269" t="s">
        <v>1765</v>
      </c>
      <c r="M269">
        <v>16</v>
      </c>
      <c r="N269" t="str">
        <f>""</f>
        <v/>
      </c>
      <c r="O269" t="str">
        <f>""</f>
        <v/>
      </c>
      <c r="P269" t="str">
        <f>""</f>
        <v/>
      </c>
      <c r="Q269" t="str">
        <f>""</f>
        <v/>
      </c>
      <c r="R269" t="str">
        <f>""</f>
        <v/>
      </c>
      <c r="S269" t="str">
        <f>""</f>
        <v/>
      </c>
      <c r="T269" t="str">
        <f>""</f>
        <v/>
      </c>
      <c r="W269" t="str">
        <f>""</f>
        <v/>
      </c>
    </row>
    <row r="270" spans="1:23" ht="60" x14ac:dyDescent="0.25">
      <c r="A270" s="1">
        <f t="shared" si="4"/>
        <v>269</v>
      </c>
      <c r="B270" s="10">
        <v>3015</v>
      </c>
      <c r="C270" s="10" t="s">
        <v>118</v>
      </c>
      <c r="D270" s="10" t="s">
        <v>550</v>
      </c>
      <c r="F270" s="1" t="s">
        <v>620</v>
      </c>
      <c r="G270" s="1" t="s">
        <v>1845</v>
      </c>
      <c r="H270" s="10">
        <v>0</v>
      </c>
      <c r="I270" s="23"/>
      <c r="J270" s="10">
        <v>3830</v>
      </c>
      <c r="K270" s="1" t="s">
        <v>371</v>
      </c>
      <c r="L270" t="s">
        <v>1324</v>
      </c>
      <c r="M270">
        <v>2</v>
      </c>
      <c r="N270" t="str">
        <f>""</f>
        <v/>
      </c>
      <c r="O270" t="str">
        <f>""</f>
        <v/>
      </c>
      <c r="P270" t="str">
        <f>""</f>
        <v/>
      </c>
      <c r="Q270" t="str">
        <f>""</f>
        <v/>
      </c>
      <c r="R270" t="str">
        <f>""</f>
        <v/>
      </c>
      <c r="S270" t="str">
        <f>""</f>
        <v/>
      </c>
      <c r="T270" t="str">
        <f>""</f>
        <v/>
      </c>
      <c r="W270" t="str">
        <f>""</f>
        <v/>
      </c>
    </row>
    <row r="271" spans="1:23" ht="30" x14ac:dyDescent="0.25">
      <c r="A271" s="1">
        <f t="shared" si="4"/>
        <v>270</v>
      </c>
      <c r="B271" s="10">
        <v>3016</v>
      </c>
      <c r="C271" s="10" t="s">
        <v>118</v>
      </c>
      <c r="D271" s="10" t="s">
        <v>409</v>
      </c>
      <c r="F271" s="1" t="s">
        <v>1757</v>
      </c>
      <c r="G271" s="1" t="s">
        <v>1758</v>
      </c>
      <c r="H271" s="10" t="s">
        <v>1846</v>
      </c>
      <c r="I271" s="23" t="s">
        <v>1760</v>
      </c>
      <c r="J271" s="10">
        <v>3580</v>
      </c>
      <c r="K271" s="1" t="s">
        <v>103</v>
      </c>
      <c r="L271" t="s">
        <v>805</v>
      </c>
      <c r="M271">
        <v>40</v>
      </c>
      <c r="N271" t="str">
        <f>""</f>
        <v/>
      </c>
      <c r="O271" t="str">
        <f>""</f>
        <v/>
      </c>
      <c r="P271" t="str">
        <f>""</f>
        <v/>
      </c>
      <c r="Q271" t="str">
        <f>""</f>
        <v/>
      </c>
      <c r="R271" t="str">
        <f>""</f>
        <v/>
      </c>
      <c r="S271" t="str">
        <f>""</f>
        <v/>
      </c>
      <c r="T271" t="str">
        <f>""</f>
        <v/>
      </c>
      <c r="W271" t="str">
        <f>""</f>
        <v/>
      </c>
    </row>
    <row r="272" spans="1:23" ht="75" x14ac:dyDescent="0.25">
      <c r="A272" s="1">
        <f t="shared" si="4"/>
        <v>271</v>
      </c>
      <c r="B272" s="10">
        <v>3017</v>
      </c>
      <c r="C272" s="10" t="s">
        <v>118</v>
      </c>
      <c r="D272" s="10" t="s">
        <v>1464</v>
      </c>
      <c r="F272" s="1" t="s">
        <v>1847</v>
      </c>
      <c r="G272" s="1" t="s">
        <v>1848</v>
      </c>
      <c r="H272" s="10">
        <v>0</v>
      </c>
      <c r="I272" s="23"/>
      <c r="J272" s="10">
        <v>3743</v>
      </c>
      <c r="K272" s="1" t="s">
        <v>340</v>
      </c>
      <c r="L272" t="s">
        <v>341</v>
      </c>
      <c r="M272">
        <v>46</v>
      </c>
      <c r="N272" t="str">
        <f>""</f>
        <v/>
      </c>
      <c r="O272" t="str">
        <f>""</f>
        <v/>
      </c>
      <c r="P272" t="str">
        <f>""</f>
        <v/>
      </c>
      <c r="Q272" t="str">
        <f>""</f>
        <v/>
      </c>
      <c r="R272" t="str">
        <f>""</f>
        <v/>
      </c>
      <c r="S272" t="str">
        <f>""</f>
        <v/>
      </c>
      <c r="T272" t="str">
        <f>""</f>
        <v/>
      </c>
      <c r="W272" t="str">
        <f>""</f>
        <v/>
      </c>
    </row>
    <row r="273" spans="1:23" ht="30" x14ac:dyDescent="0.25">
      <c r="A273" s="1">
        <f t="shared" si="4"/>
        <v>272</v>
      </c>
      <c r="B273" s="10">
        <v>3023</v>
      </c>
      <c r="C273" s="10" t="s">
        <v>118</v>
      </c>
      <c r="D273" s="10" t="s">
        <v>1466</v>
      </c>
      <c r="F273" s="1" t="s">
        <v>1849</v>
      </c>
      <c r="G273" s="1" t="s">
        <v>1850</v>
      </c>
      <c r="H273" s="10">
        <v>0</v>
      </c>
      <c r="I273" s="23"/>
      <c r="J273" s="10">
        <v>3580</v>
      </c>
      <c r="K273" s="1" t="s">
        <v>103</v>
      </c>
      <c r="L273" t="s">
        <v>372</v>
      </c>
      <c r="M273">
        <v>2</v>
      </c>
      <c r="N273" t="str">
        <f>""</f>
        <v/>
      </c>
      <c r="O273" t="str">
        <f>""</f>
        <v/>
      </c>
      <c r="P273" t="str">
        <f>""</f>
        <v/>
      </c>
      <c r="Q273" t="str">
        <f>""</f>
        <v/>
      </c>
      <c r="R273" t="str">
        <f>""</f>
        <v/>
      </c>
      <c r="S273" t="str">
        <f>""</f>
        <v/>
      </c>
      <c r="T273" t="str">
        <f>""</f>
        <v/>
      </c>
      <c r="W273" t="str">
        <f>""</f>
        <v/>
      </c>
    </row>
    <row r="274" spans="1:23" ht="45" x14ac:dyDescent="0.25">
      <c r="A274" s="1">
        <f t="shared" si="4"/>
        <v>273</v>
      </c>
      <c r="B274" s="10">
        <v>3027</v>
      </c>
      <c r="C274" s="10" t="s">
        <v>118</v>
      </c>
      <c r="D274" s="10" t="s">
        <v>550</v>
      </c>
      <c r="F274" s="1" t="s">
        <v>1851</v>
      </c>
      <c r="G274" s="1" t="s">
        <v>1852</v>
      </c>
      <c r="H274" s="10">
        <v>0</v>
      </c>
      <c r="I274" s="23"/>
      <c r="J274" s="10">
        <v>3580</v>
      </c>
      <c r="K274" s="1" t="s">
        <v>103</v>
      </c>
      <c r="L274" t="s">
        <v>559</v>
      </c>
      <c r="M274">
        <v>14</v>
      </c>
      <c r="N274" t="str">
        <f>""</f>
        <v/>
      </c>
      <c r="O274" t="str">
        <f>""</f>
        <v/>
      </c>
      <c r="P274" t="str">
        <f>""</f>
        <v/>
      </c>
      <c r="Q274" t="str">
        <f>""</f>
        <v/>
      </c>
      <c r="R274" t="str">
        <f>""</f>
        <v/>
      </c>
      <c r="S274" t="str">
        <f>""</f>
        <v/>
      </c>
      <c r="T274" t="str">
        <f>""</f>
        <v/>
      </c>
      <c r="W274" t="str">
        <f>""</f>
        <v/>
      </c>
    </row>
    <row r="275" spans="1:23" ht="45" x14ac:dyDescent="0.25">
      <c r="A275" s="1">
        <f t="shared" si="4"/>
        <v>274</v>
      </c>
      <c r="B275" s="10">
        <v>3028</v>
      </c>
      <c r="C275" s="10" t="s">
        <v>118</v>
      </c>
      <c r="D275" s="10" t="s">
        <v>550</v>
      </c>
      <c r="H275" s="10">
        <v>0</v>
      </c>
      <c r="I275" s="23"/>
      <c r="J275" s="10">
        <v>3580</v>
      </c>
      <c r="K275" s="1" t="s">
        <v>103</v>
      </c>
      <c r="L275" t="s">
        <v>559</v>
      </c>
      <c r="M275">
        <v>2</v>
      </c>
      <c r="N275" t="str">
        <f>""</f>
        <v/>
      </c>
      <c r="O275" t="str">
        <f>""</f>
        <v/>
      </c>
      <c r="P275" t="str">
        <f>""</f>
        <v/>
      </c>
      <c r="Q275" t="str">
        <f>""</f>
        <v/>
      </c>
      <c r="R275" t="str">
        <f>""</f>
        <v/>
      </c>
      <c r="S275" t="str">
        <f>""</f>
        <v/>
      </c>
      <c r="T275" t="str">
        <f>""</f>
        <v/>
      </c>
      <c r="W275" t="str">
        <f>""</f>
        <v/>
      </c>
    </row>
    <row r="276" spans="1:23" ht="45" x14ac:dyDescent="0.25">
      <c r="A276" s="1">
        <f t="shared" si="4"/>
        <v>275</v>
      </c>
      <c r="B276" s="10">
        <v>3031</v>
      </c>
      <c r="C276" s="10" t="s">
        <v>118</v>
      </c>
      <c r="D276" s="10" t="s">
        <v>550</v>
      </c>
      <c r="F276" s="1" t="s">
        <v>1853</v>
      </c>
      <c r="G276" s="1" t="s">
        <v>1854</v>
      </c>
      <c r="H276" s="10">
        <v>0</v>
      </c>
      <c r="I276" s="23"/>
      <c r="J276" s="10">
        <v>3730</v>
      </c>
      <c r="K276" s="1" t="s">
        <v>282</v>
      </c>
      <c r="L276" t="s">
        <v>411</v>
      </c>
      <c r="M276">
        <v>6</v>
      </c>
      <c r="N276" t="str">
        <f>""</f>
        <v/>
      </c>
      <c r="O276" t="str">
        <f>""</f>
        <v/>
      </c>
      <c r="P276" t="str">
        <f>""</f>
        <v/>
      </c>
      <c r="Q276" t="str">
        <f>""</f>
        <v/>
      </c>
      <c r="R276" t="str">
        <f>""</f>
        <v/>
      </c>
      <c r="S276" t="str">
        <f>""</f>
        <v/>
      </c>
      <c r="T276" t="str">
        <f>""</f>
        <v/>
      </c>
      <c r="W276" t="str">
        <f>""</f>
        <v/>
      </c>
    </row>
    <row r="277" spans="1:23" ht="45" x14ac:dyDescent="0.25">
      <c r="A277" s="1">
        <f t="shared" si="4"/>
        <v>276</v>
      </c>
      <c r="B277" s="10">
        <v>3034</v>
      </c>
      <c r="C277" s="10" t="s">
        <v>118</v>
      </c>
      <c r="D277" s="10" t="s">
        <v>550</v>
      </c>
      <c r="F277" s="1" t="s">
        <v>1855</v>
      </c>
      <c r="G277" s="1" t="s">
        <v>1856</v>
      </c>
      <c r="H277" s="10">
        <v>0</v>
      </c>
      <c r="I277" s="23"/>
      <c r="J277" s="10">
        <v>3580</v>
      </c>
      <c r="K277" s="1" t="s">
        <v>103</v>
      </c>
      <c r="L277" t="s">
        <v>1857</v>
      </c>
      <c r="M277">
        <v>6</v>
      </c>
      <c r="N277" t="str">
        <f>""</f>
        <v/>
      </c>
      <c r="O277" t="str">
        <f>""</f>
        <v/>
      </c>
      <c r="P277" t="str">
        <f>""</f>
        <v/>
      </c>
      <c r="Q277" t="str">
        <f>""</f>
        <v/>
      </c>
      <c r="R277" t="str">
        <f>""</f>
        <v/>
      </c>
      <c r="S277" t="str">
        <f>""</f>
        <v/>
      </c>
      <c r="T277" t="str">
        <f>""</f>
        <v/>
      </c>
      <c r="W277" t="str">
        <f>""</f>
        <v/>
      </c>
    </row>
    <row r="278" spans="1:23" ht="45" x14ac:dyDescent="0.25">
      <c r="A278" s="1">
        <f t="shared" si="4"/>
        <v>277</v>
      </c>
      <c r="B278" s="10">
        <v>3035</v>
      </c>
      <c r="C278" s="10" t="s">
        <v>118</v>
      </c>
      <c r="D278" s="10" t="s">
        <v>550</v>
      </c>
      <c r="F278" s="1" t="s">
        <v>620</v>
      </c>
      <c r="G278" s="1" t="s">
        <v>1858</v>
      </c>
      <c r="H278" s="10">
        <v>0</v>
      </c>
      <c r="I278" s="23"/>
      <c r="J278" s="10">
        <v>3580</v>
      </c>
      <c r="K278" s="1" t="s">
        <v>103</v>
      </c>
      <c r="L278" t="s">
        <v>564</v>
      </c>
      <c r="M278">
        <v>11</v>
      </c>
      <c r="N278" t="str">
        <f>""</f>
        <v/>
      </c>
      <c r="O278" t="str">
        <f>""</f>
        <v/>
      </c>
      <c r="P278" t="str">
        <f>""</f>
        <v/>
      </c>
      <c r="Q278" t="str">
        <f>""</f>
        <v/>
      </c>
      <c r="R278" t="str">
        <f>""</f>
        <v/>
      </c>
      <c r="S278" t="str">
        <f>""</f>
        <v/>
      </c>
      <c r="T278" t="str">
        <f>""</f>
        <v/>
      </c>
      <c r="W278" t="s">
        <v>1751</v>
      </c>
    </row>
    <row r="279" spans="1:23" ht="45" x14ac:dyDescent="0.25">
      <c r="A279" s="1">
        <f t="shared" si="4"/>
        <v>278</v>
      </c>
      <c r="B279" s="10">
        <v>3036</v>
      </c>
      <c r="C279" s="10" t="s">
        <v>118</v>
      </c>
      <c r="D279" s="10" t="s">
        <v>550</v>
      </c>
      <c r="H279" s="10">
        <v>0</v>
      </c>
      <c r="I279" s="23"/>
      <c r="J279" s="10">
        <v>3730</v>
      </c>
      <c r="K279" s="1" t="s">
        <v>282</v>
      </c>
      <c r="L279" t="s">
        <v>630</v>
      </c>
      <c r="M279">
        <v>28</v>
      </c>
      <c r="N279" t="str">
        <f>""</f>
        <v/>
      </c>
      <c r="O279" t="str">
        <f>""</f>
        <v/>
      </c>
      <c r="P279" t="str">
        <f>""</f>
        <v/>
      </c>
      <c r="Q279" t="str">
        <f>""</f>
        <v/>
      </c>
      <c r="R279" t="str">
        <f>""</f>
        <v/>
      </c>
      <c r="S279" t="str">
        <f>""</f>
        <v/>
      </c>
      <c r="T279" t="str">
        <f>""</f>
        <v/>
      </c>
      <c r="W279" t="str">
        <f>""</f>
        <v/>
      </c>
    </row>
    <row r="280" spans="1:23" ht="45" x14ac:dyDescent="0.25">
      <c r="A280" s="1">
        <f t="shared" si="4"/>
        <v>279</v>
      </c>
      <c r="B280" s="10">
        <v>3040</v>
      </c>
      <c r="C280" s="10" t="s">
        <v>118</v>
      </c>
      <c r="D280" s="10" t="s">
        <v>550</v>
      </c>
      <c r="F280" s="1" t="s">
        <v>620</v>
      </c>
      <c r="G280" s="1" t="s">
        <v>709</v>
      </c>
      <c r="H280" s="10">
        <v>0</v>
      </c>
      <c r="I280" s="23"/>
      <c r="J280" s="10">
        <v>3812</v>
      </c>
      <c r="K280" s="1" t="s">
        <v>585</v>
      </c>
      <c r="L280" t="s">
        <v>1333</v>
      </c>
      <c r="M280">
        <v>3</v>
      </c>
      <c r="N280" t="str">
        <f>""</f>
        <v/>
      </c>
      <c r="O280" t="str">
        <f>""</f>
        <v/>
      </c>
      <c r="P280" t="str">
        <f>""</f>
        <v/>
      </c>
      <c r="Q280" t="str">
        <f>""</f>
        <v/>
      </c>
      <c r="R280" t="str">
        <f>""</f>
        <v/>
      </c>
      <c r="S280" t="str">
        <f>""</f>
        <v/>
      </c>
      <c r="T280" t="str">
        <f>""</f>
        <v/>
      </c>
      <c r="W280" t="str">
        <f>""</f>
        <v/>
      </c>
    </row>
    <row r="281" spans="1:23" ht="75" x14ac:dyDescent="0.25">
      <c r="A281" s="1">
        <f t="shared" si="4"/>
        <v>280</v>
      </c>
      <c r="B281" s="10">
        <v>3048</v>
      </c>
      <c r="C281" s="10" t="s">
        <v>118</v>
      </c>
      <c r="D281" s="10" t="s">
        <v>1477</v>
      </c>
      <c r="G281" s="1" t="s">
        <v>1859</v>
      </c>
      <c r="H281" s="10">
        <v>0</v>
      </c>
      <c r="I281" s="23"/>
      <c r="J281" s="10">
        <v>3542</v>
      </c>
      <c r="K281" s="1" t="s">
        <v>517</v>
      </c>
      <c r="L281" t="s">
        <v>1860</v>
      </c>
      <c r="M281">
        <v>4</v>
      </c>
      <c r="N281" t="str">
        <f>""</f>
        <v/>
      </c>
      <c r="O281" t="str">
        <f>""</f>
        <v/>
      </c>
      <c r="P281" t="str">
        <f>""</f>
        <v/>
      </c>
      <c r="Q281" t="str">
        <f>""</f>
        <v/>
      </c>
      <c r="R281" t="str">
        <f>""</f>
        <v/>
      </c>
      <c r="S281" t="str">
        <f>""</f>
        <v/>
      </c>
      <c r="T281" t="str">
        <f>""</f>
        <v/>
      </c>
      <c r="W281" t="str">
        <f>""</f>
        <v/>
      </c>
    </row>
    <row r="282" spans="1:23" ht="30" x14ac:dyDescent="0.25">
      <c r="A282" s="1">
        <f t="shared" si="4"/>
        <v>281</v>
      </c>
      <c r="B282" s="10">
        <v>3049</v>
      </c>
      <c r="C282" s="10" t="s">
        <v>118</v>
      </c>
      <c r="D282" s="10" t="s">
        <v>1479</v>
      </c>
      <c r="F282" s="1" t="s">
        <v>353</v>
      </c>
      <c r="G282" s="1" t="s">
        <v>1861</v>
      </c>
      <c r="H282" s="10">
        <v>0</v>
      </c>
      <c r="I282" s="23"/>
      <c r="J282" s="10">
        <v>3532</v>
      </c>
      <c r="K282" s="1" t="s">
        <v>1862</v>
      </c>
      <c r="L282" t="s">
        <v>1862</v>
      </c>
      <c r="M282">
        <v>60</v>
      </c>
      <c r="N282" t="str">
        <f>""</f>
        <v/>
      </c>
      <c r="O282" t="str">
        <f>""</f>
        <v/>
      </c>
      <c r="P282" t="str">
        <f>""</f>
        <v/>
      </c>
      <c r="Q282" t="str">
        <f>""</f>
        <v/>
      </c>
      <c r="R282" t="str">
        <f>""</f>
        <v/>
      </c>
      <c r="S282" t="str">
        <f>""</f>
        <v/>
      </c>
      <c r="T282" t="str">
        <f>""</f>
        <v/>
      </c>
      <c r="W282" t="str">
        <f>""</f>
        <v/>
      </c>
    </row>
    <row r="283" spans="1:23" ht="45" x14ac:dyDescent="0.25">
      <c r="A283" s="1">
        <f t="shared" si="4"/>
        <v>282</v>
      </c>
      <c r="B283" s="10">
        <v>3050</v>
      </c>
      <c r="C283" s="10" t="s">
        <v>118</v>
      </c>
      <c r="D283" s="10" t="s">
        <v>192</v>
      </c>
      <c r="F283" s="1" t="s">
        <v>671</v>
      </c>
      <c r="G283" s="1" t="s">
        <v>672</v>
      </c>
      <c r="H283" s="10">
        <v>0</v>
      </c>
      <c r="I283" s="23"/>
      <c r="J283" s="10">
        <v>3532</v>
      </c>
      <c r="K283" s="1" t="s">
        <v>350</v>
      </c>
      <c r="L283" t="s">
        <v>673</v>
      </c>
      <c r="M283">
        <v>69</v>
      </c>
      <c r="N283" t="str">
        <f>""</f>
        <v/>
      </c>
      <c r="O283" t="str">
        <f>""</f>
        <v/>
      </c>
      <c r="P283" t="str">
        <f>""</f>
        <v/>
      </c>
      <c r="Q283" t="str">
        <f>""</f>
        <v/>
      </c>
      <c r="R283" t="str">
        <f>""</f>
        <v/>
      </c>
      <c r="S283" t="str">
        <f>""</f>
        <v/>
      </c>
      <c r="T283" t="str">
        <f>""</f>
        <v/>
      </c>
      <c r="W283" t="str">
        <f>""</f>
        <v/>
      </c>
    </row>
    <row r="284" spans="1:23" ht="75" x14ac:dyDescent="0.25">
      <c r="A284" s="1">
        <f t="shared" si="4"/>
        <v>283</v>
      </c>
      <c r="B284" s="10">
        <v>3050</v>
      </c>
      <c r="C284" s="10" t="s">
        <v>118</v>
      </c>
      <c r="D284" s="10" t="s">
        <v>1485</v>
      </c>
      <c r="F284" s="1" t="s">
        <v>671</v>
      </c>
      <c r="G284" s="1" t="s">
        <v>672</v>
      </c>
      <c r="H284" s="10">
        <v>0</v>
      </c>
      <c r="I284" s="23"/>
      <c r="J284" s="10">
        <v>3594</v>
      </c>
      <c r="K284" s="1" t="s">
        <v>1488</v>
      </c>
      <c r="L284" t="s">
        <v>593</v>
      </c>
      <c r="M284">
        <v>1</v>
      </c>
      <c r="N284" t="str">
        <f>""</f>
        <v/>
      </c>
      <c r="O284" t="str">
        <f>""</f>
        <v/>
      </c>
      <c r="P284" t="str">
        <f>""</f>
        <v/>
      </c>
      <c r="Q284" t="str">
        <f>""</f>
        <v/>
      </c>
      <c r="R284" t="str">
        <f>""</f>
        <v/>
      </c>
      <c r="S284" t="str">
        <f>""</f>
        <v/>
      </c>
      <c r="T284" t="str">
        <f>""</f>
        <v/>
      </c>
      <c r="W284" t="str">
        <f>""</f>
        <v/>
      </c>
    </row>
    <row r="285" spans="1:23" ht="75" x14ac:dyDescent="0.25">
      <c r="A285" s="1">
        <f t="shared" si="4"/>
        <v>284</v>
      </c>
      <c r="B285" s="10">
        <v>3050</v>
      </c>
      <c r="C285" s="10" t="s">
        <v>118</v>
      </c>
      <c r="D285" s="10" t="s">
        <v>1490</v>
      </c>
      <c r="F285" s="1" t="s">
        <v>671</v>
      </c>
      <c r="G285" s="1" t="s">
        <v>672</v>
      </c>
      <c r="H285" s="10">
        <v>0</v>
      </c>
      <c r="I285" s="23"/>
      <c r="J285" s="10">
        <v>3532</v>
      </c>
      <c r="K285" s="1" t="s">
        <v>350</v>
      </c>
      <c r="L285" t="s">
        <v>1494</v>
      </c>
      <c r="M285">
        <v>5</v>
      </c>
      <c r="N285" t="str">
        <f>""</f>
        <v/>
      </c>
      <c r="O285" t="str">
        <f>""</f>
        <v/>
      </c>
      <c r="P285" t="str">
        <f>""</f>
        <v/>
      </c>
      <c r="Q285" t="str">
        <f>""</f>
        <v/>
      </c>
      <c r="R285" t="str">
        <f>""</f>
        <v/>
      </c>
      <c r="S285" t="str">
        <f>""</f>
        <v/>
      </c>
      <c r="T285" t="str">
        <f>""</f>
        <v/>
      </c>
      <c r="W285" t="str">
        <f>""</f>
        <v/>
      </c>
    </row>
    <row r="286" spans="1:23" x14ac:dyDescent="0.25">
      <c r="A286" s="1">
        <f t="shared" si="4"/>
        <v>285</v>
      </c>
      <c r="B286" s="10">
        <v>3052</v>
      </c>
      <c r="C286" s="10" t="s">
        <v>118</v>
      </c>
      <c r="D286" s="10" t="s">
        <v>298</v>
      </c>
      <c r="F286" s="1" t="s">
        <v>561</v>
      </c>
      <c r="G286" s="1" t="s">
        <v>1863</v>
      </c>
      <c r="H286" s="10">
        <v>0</v>
      </c>
      <c r="I286" s="23"/>
      <c r="J286" s="10">
        <v>3443</v>
      </c>
      <c r="K286" s="1" t="s">
        <v>1864</v>
      </c>
      <c r="L286" t="s">
        <v>1865</v>
      </c>
      <c r="M286">
        <v>11</v>
      </c>
      <c r="N286" t="str">
        <f>""</f>
        <v/>
      </c>
      <c r="O286" t="str">
        <f>""</f>
        <v/>
      </c>
      <c r="P286" t="str">
        <f>""</f>
        <v/>
      </c>
      <c r="Q286" t="str">
        <f>""</f>
        <v/>
      </c>
      <c r="R286" t="str">
        <f>""</f>
        <v/>
      </c>
      <c r="S286" t="str">
        <f>""</f>
        <v/>
      </c>
      <c r="T286" t="str">
        <f>""</f>
        <v/>
      </c>
      <c r="W286" t="str">
        <f>""</f>
        <v/>
      </c>
    </row>
    <row r="287" spans="1:23" ht="30" x14ac:dyDescent="0.25">
      <c r="A287" s="1">
        <f t="shared" si="4"/>
        <v>286</v>
      </c>
      <c r="B287" s="10">
        <v>3053</v>
      </c>
      <c r="C287" s="10" t="s">
        <v>118</v>
      </c>
      <c r="D287" s="10" t="s">
        <v>298</v>
      </c>
      <c r="F287" s="1" t="s">
        <v>1866</v>
      </c>
      <c r="G287" s="1" t="s">
        <v>1867</v>
      </c>
      <c r="H287" s="10">
        <v>0</v>
      </c>
      <c r="I287" s="23"/>
      <c r="J287" s="10">
        <v>3100</v>
      </c>
      <c r="K287" s="1" t="s">
        <v>935</v>
      </c>
      <c r="L287" t="s">
        <v>1868</v>
      </c>
      <c r="M287">
        <v>15</v>
      </c>
      <c r="N287" t="str">
        <f>""</f>
        <v/>
      </c>
      <c r="O287" t="str">
        <f>""</f>
        <v/>
      </c>
      <c r="P287" t="str">
        <f>""</f>
        <v/>
      </c>
      <c r="Q287" t="str">
        <f>""</f>
        <v/>
      </c>
      <c r="R287" t="str">
        <f>""</f>
        <v/>
      </c>
      <c r="S287" t="str">
        <f>""</f>
        <v/>
      </c>
      <c r="T287" t="str">
        <f>""</f>
        <v/>
      </c>
      <c r="W287" t="s">
        <v>1751</v>
      </c>
    </row>
    <row r="288" spans="1:23" ht="45" x14ac:dyDescent="0.25">
      <c r="A288" s="1">
        <f t="shared" si="4"/>
        <v>287</v>
      </c>
      <c r="B288" s="10">
        <v>3054</v>
      </c>
      <c r="C288" s="10" t="s">
        <v>118</v>
      </c>
      <c r="D288" s="10" t="s">
        <v>1498</v>
      </c>
      <c r="F288" s="1" t="s">
        <v>306</v>
      </c>
      <c r="G288" s="1" t="s">
        <v>629</v>
      </c>
      <c r="H288" s="10">
        <v>0</v>
      </c>
      <c r="I288" s="23"/>
      <c r="J288" s="10">
        <v>3730</v>
      </c>
      <c r="K288" s="1" t="s">
        <v>282</v>
      </c>
      <c r="L288" t="s">
        <v>1869</v>
      </c>
      <c r="M288">
        <v>31</v>
      </c>
      <c r="N288" t="str">
        <f>""</f>
        <v/>
      </c>
      <c r="O288" t="str">
        <f>""</f>
        <v/>
      </c>
      <c r="P288" t="str">
        <f>""</f>
        <v/>
      </c>
      <c r="Q288" t="str">
        <f>""</f>
        <v/>
      </c>
      <c r="R288" t="str">
        <f>""</f>
        <v/>
      </c>
      <c r="S288" t="str">
        <f>""</f>
        <v/>
      </c>
      <c r="T288" t="str">
        <f>""</f>
        <v/>
      </c>
      <c r="W288" t="str">
        <f>""</f>
        <v/>
      </c>
    </row>
    <row r="289" spans="1:23" ht="90" x14ac:dyDescent="0.25">
      <c r="A289" s="1">
        <f t="shared" si="4"/>
        <v>288</v>
      </c>
      <c r="B289" s="10">
        <v>3060</v>
      </c>
      <c r="C289" s="10" t="s">
        <v>118</v>
      </c>
      <c r="D289" s="10" t="s">
        <v>1500</v>
      </c>
      <c r="F289" s="1" t="s">
        <v>194</v>
      </c>
      <c r="G289" s="1" t="s">
        <v>195</v>
      </c>
      <c r="H289" s="10">
        <v>0</v>
      </c>
      <c r="I289" s="23"/>
      <c r="J289" s="10">
        <v>3812</v>
      </c>
      <c r="K289" s="1" t="s">
        <v>585</v>
      </c>
      <c r="L289" t="s">
        <v>199</v>
      </c>
      <c r="M289">
        <v>2</v>
      </c>
      <c r="N289" t="str">
        <f>""</f>
        <v/>
      </c>
      <c r="O289" t="str">
        <f>""</f>
        <v/>
      </c>
      <c r="P289" t="str">
        <f>""</f>
        <v/>
      </c>
      <c r="Q289" t="str">
        <f>""</f>
        <v/>
      </c>
      <c r="R289" t="str">
        <f>""</f>
        <v/>
      </c>
      <c r="S289" t="str">
        <f>""</f>
        <v/>
      </c>
      <c r="T289" t="str">
        <f>""</f>
        <v/>
      </c>
      <c r="W289" t="str">
        <f>""</f>
        <v/>
      </c>
    </row>
    <row r="290" spans="1:23" ht="60" x14ac:dyDescent="0.25">
      <c r="A290" s="1">
        <f t="shared" si="4"/>
        <v>289</v>
      </c>
      <c r="B290" s="10">
        <v>3063</v>
      </c>
      <c r="C290" s="10" t="s">
        <v>118</v>
      </c>
      <c r="D290" s="10" t="s">
        <v>1503</v>
      </c>
      <c r="H290" s="10">
        <v>0</v>
      </c>
      <c r="I290" s="23"/>
      <c r="J290" s="10">
        <v>3874</v>
      </c>
      <c r="K290" s="1" t="s">
        <v>706</v>
      </c>
      <c r="M290">
        <v>0</v>
      </c>
      <c r="N290" t="str">
        <f>""</f>
        <v/>
      </c>
      <c r="O290" t="str">
        <f>""</f>
        <v/>
      </c>
      <c r="P290" t="str">
        <f>""</f>
        <v/>
      </c>
      <c r="Q290" t="str">
        <f>""</f>
        <v/>
      </c>
      <c r="R290" t="str">
        <f>""</f>
        <v/>
      </c>
      <c r="S290" t="str">
        <f>""</f>
        <v/>
      </c>
      <c r="T290" t="str">
        <f>""</f>
        <v/>
      </c>
      <c r="W290" t="str">
        <f>""</f>
        <v/>
      </c>
    </row>
    <row r="291" spans="1:23" ht="90" x14ac:dyDescent="0.25">
      <c r="A291" s="1">
        <f t="shared" si="4"/>
        <v>290</v>
      </c>
      <c r="B291" s="10">
        <v>3064</v>
      </c>
      <c r="C291" s="10" t="s">
        <v>118</v>
      </c>
      <c r="D291" s="10" t="s">
        <v>708</v>
      </c>
      <c r="F291" s="1" t="s">
        <v>1870</v>
      </c>
      <c r="G291" s="1" t="s">
        <v>1871</v>
      </c>
      <c r="H291" s="10">
        <v>0</v>
      </c>
      <c r="I291" s="23"/>
      <c r="J291" s="10">
        <v>3532</v>
      </c>
      <c r="K291" s="1" t="s">
        <v>1494</v>
      </c>
      <c r="L291" t="s">
        <v>1494</v>
      </c>
      <c r="M291">
        <v>5</v>
      </c>
      <c r="N291" t="str">
        <f>""</f>
        <v/>
      </c>
      <c r="O291" t="str">
        <f>""</f>
        <v/>
      </c>
      <c r="P291" t="str">
        <f>""</f>
        <v/>
      </c>
      <c r="Q291" t="str">
        <f>""</f>
        <v/>
      </c>
      <c r="R291" t="str">
        <f>""</f>
        <v/>
      </c>
      <c r="S291" t="str">
        <f>""</f>
        <v/>
      </c>
      <c r="T291" t="str">
        <f>""</f>
        <v/>
      </c>
      <c r="W291" t="str">
        <f>""</f>
        <v/>
      </c>
    </row>
    <row r="292" spans="1:23" ht="45" x14ac:dyDescent="0.25">
      <c r="A292" s="1">
        <f t="shared" si="4"/>
        <v>291</v>
      </c>
      <c r="B292" s="10">
        <v>3065</v>
      </c>
      <c r="C292" s="10" t="s">
        <v>118</v>
      </c>
      <c r="D292" s="10" t="s">
        <v>192</v>
      </c>
      <c r="F292" s="1" t="s">
        <v>1872</v>
      </c>
      <c r="G292" s="1" t="s">
        <v>1873</v>
      </c>
      <c r="H292" s="10">
        <v>0</v>
      </c>
      <c r="I292" s="23"/>
      <c r="J292" s="10">
        <v>2201</v>
      </c>
      <c r="K292" s="1" t="s">
        <v>1874</v>
      </c>
      <c r="L292" t="s">
        <v>1875</v>
      </c>
      <c r="M292">
        <v>6</v>
      </c>
      <c r="N292" t="str">
        <f>""</f>
        <v/>
      </c>
      <c r="O292" t="str">
        <f>""</f>
        <v/>
      </c>
      <c r="P292" t="str">
        <f>""</f>
        <v/>
      </c>
      <c r="Q292" t="str">
        <f>""</f>
        <v/>
      </c>
      <c r="R292" t="str">
        <f>""</f>
        <v/>
      </c>
      <c r="S292" t="str">
        <f>""</f>
        <v/>
      </c>
      <c r="T292" t="str">
        <f>""</f>
        <v/>
      </c>
      <c r="W292" t="s">
        <v>1876</v>
      </c>
    </row>
    <row r="293" spans="1:23" ht="60" x14ac:dyDescent="0.25">
      <c r="A293" s="1">
        <f t="shared" si="4"/>
        <v>292</v>
      </c>
      <c r="B293" s="10">
        <v>3066</v>
      </c>
      <c r="C293" s="10" t="s">
        <v>118</v>
      </c>
      <c r="D293" s="10" t="s">
        <v>550</v>
      </c>
      <c r="F293" s="1" t="s">
        <v>1877</v>
      </c>
      <c r="G293" s="1" t="s">
        <v>1878</v>
      </c>
      <c r="H293" s="10">
        <v>0</v>
      </c>
      <c r="I293" s="23"/>
      <c r="J293" s="10">
        <v>3830</v>
      </c>
      <c r="K293" s="1" t="s">
        <v>371</v>
      </c>
      <c r="L293" t="s">
        <v>1879</v>
      </c>
      <c r="M293">
        <v>4</v>
      </c>
      <c r="N293" t="str">
        <f>""</f>
        <v/>
      </c>
      <c r="O293" t="str">
        <f>""</f>
        <v/>
      </c>
      <c r="P293" t="str">
        <f>""</f>
        <v/>
      </c>
      <c r="Q293" t="str">
        <f>""</f>
        <v/>
      </c>
      <c r="R293" t="str">
        <f>""</f>
        <v/>
      </c>
      <c r="S293" t="str">
        <f>""</f>
        <v/>
      </c>
      <c r="T293" t="str">
        <f>""</f>
        <v/>
      </c>
      <c r="W293" t="str">
        <f>""</f>
        <v/>
      </c>
    </row>
    <row r="294" spans="1:23" ht="45" x14ac:dyDescent="0.25">
      <c r="A294" s="1">
        <f t="shared" si="4"/>
        <v>293</v>
      </c>
      <c r="B294" s="10">
        <v>3072</v>
      </c>
      <c r="C294" s="10" t="s">
        <v>118</v>
      </c>
      <c r="D294" s="10" t="s">
        <v>1508</v>
      </c>
      <c r="F294" s="1" t="s">
        <v>1880</v>
      </c>
      <c r="G294" s="1" t="s">
        <v>1881</v>
      </c>
      <c r="H294" s="10">
        <v>0</v>
      </c>
      <c r="I294" s="23"/>
      <c r="J294" s="10">
        <v>3601</v>
      </c>
      <c r="K294" s="1" t="s">
        <v>1882</v>
      </c>
      <c r="L294" t="s">
        <v>1882</v>
      </c>
      <c r="M294">
        <v>132</v>
      </c>
      <c r="N294" t="str">
        <f>""</f>
        <v/>
      </c>
      <c r="O294" t="str">
        <f>""</f>
        <v/>
      </c>
      <c r="P294" t="str">
        <f>""</f>
        <v/>
      </c>
      <c r="Q294" t="str">
        <f>""</f>
        <v/>
      </c>
      <c r="R294" t="str">
        <f>""</f>
        <v/>
      </c>
      <c r="S294" t="str">
        <f>""</f>
        <v/>
      </c>
      <c r="T294" t="str">
        <f>""</f>
        <v/>
      </c>
      <c r="W294" t="str">
        <f>""</f>
        <v/>
      </c>
    </row>
    <row r="295" spans="1:23" x14ac:dyDescent="0.25">
      <c r="A295" s="1">
        <f t="shared" si="4"/>
        <v>294</v>
      </c>
      <c r="B295" s="10">
        <v>3074</v>
      </c>
      <c r="C295" s="10" t="s">
        <v>118</v>
      </c>
      <c r="D295" s="10" t="s">
        <v>298</v>
      </c>
      <c r="F295" s="1" t="s">
        <v>246</v>
      </c>
      <c r="G295" s="1" t="s">
        <v>1883</v>
      </c>
      <c r="H295" s="10">
        <v>0</v>
      </c>
      <c r="I295" s="23"/>
      <c r="J295" s="10">
        <v>3763</v>
      </c>
      <c r="K295" s="1" t="s">
        <v>101</v>
      </c>
      <c r="L295" t="s">
        <v>101</v>
      </c>
      <c r="M295">
        <v>67</v>
      </c>
      <c r="N295" t="str">
        <f>""</f>
        <v/>
      </c>
      <c r="O295" t="str">
        <f>""</f>
        <v/>
      </c>
      <c r="P295" t="str">
        <f>""</f>
        <v/>
      </c>
      <c r="Q295" t="str">
        <f>""</f>
        <v/>
      </c>
      <c r="R295" t="str">
        <f>""</f>
        <v/>
      </c>
      <c r="S295" t="str">
        <f>""</f>
        <v/>
      </c>
      <c r="T295" t="str">
        <f>""</f>
        <v/>
      </c>
      <c r="W295" t="str">
        <f>""</f>
        <v/>
      </c>
    </row>
    <row r="296" spans="1:23" ht="45" x14ac:dyDescent="0.25">
      <c r="A296" s="1">
        <f t="shared" si="4"/>
        <v>295</v>
      </c>
      <c r="B296" s="10">
        <v>3075</v>
      </c>
      <c r="C296" s="10" t="s">
        <v>118</v>
      </c>
      <c r="D296" s="10" t="s">
        <v>1511</v>
      </c>
      <c r="F296" s="1" t="s">
        <v>1866</v>
      </c>
      <c r="G296" s="1" t="s">
        <v>1884</v>
      </c>
      <c r="H296" s="10">
        <v>0</v>
      </c>
      <c r="I296" s="23"/>
      <c r="J296" s="10">
        <v>3500</v>
      </c>
      <c r="K296" s="1" t="s">
        <v>572</v>
      </c>
      <c r="L296" t="s">
        <v>1885</v>
      </c>
      <c r="M296">
        <v>57</v>
      </c>
      <c r="N296" t="str">
        <f>""</f>
        <v/>
      </c>
      <c r="O296" t="str">
        <f>""</f>
        <v/>
      </c>
      <c r="P296" t="str">
        <f>""</f>
        <v/>
      </c>
      <c r="Q296" t="str">
        <f>""</f>
        <v/>
      </c>
      <c r="R296" t="str">
        <f>""</f>
        <v/>
      </c>
      <c r="S296" t="str">
        <f>""</f>
        <v/>
      </c>
      <c r="T296" t="str">
        <f>""</f>
        <v/>
      </c>
      <c r="W296" t="str">
        <f>""</f>
        <v/>
      </c>
    </row>
    <row r="297" spans="1:23" ht="60" x14ac:dyDescent="0.25">
      <c r="A297" s="1">
        <f t="shared" si="4"/>
        <v>296</v>
      </c>
      <c r="B297" s="10">
        <v>3076</v>
      </c>
      <c r="C297" s="10" t="s">
        <v>118</v>
      </c>
      <c r="D297" s="10" t="s">
        <v>1514</v>
      </c>
      <c r="F297" s="1" t="s">
        <v>1886</v>
      </c>
      <c r="G297" s="1" t="s">
        <v>1887</v>
      </c>
      <c r="H297" s="10">
        <v>0</v>
      </c>
      <c r="I297" s="23"/>
      <c r="J297" s="10">
        <v>3910</v>
      </c>
      <c r="K297" s="1" t="s">
        <v>125</v>
      </c>
      <c r="L297" t="s">
        <v>411</v>
      </c>
      <c r="M297">
        <v>16</v>
      </c>
      <c r="N297" t="str">
        <f>""</f>
        <v/>
      </c>
      <c r="O297" t="str">
        <f>""</f>
        <v/>
      </c>
      <c r="P297" t="str">
        <f>""</f>
        <v/>
      </c>
      <c r="Q297" t="str">
        <f>""</f>
        <v/>
      </c>
      <c r="R297" t="str">
        <f>""</f>
        <v/>
      </c>
      <c r="S297" t="str">
        <f>""</f>
        <v/>
      </c>
      <c r="T297" t="str">
        <f>""</f>
        <v/>
      </c>
      <c r="W297" t="str">
        <f>""</f>
        <v/>
      </c>
    </row>
    <row r="298" spans="1:23" ht="60" x14ac:dyDescent="0.25">
      <c r="A298" s="1">
        <f t="shared" si="4"/>
        <v>297</v>
      </c>
      <c r="B298" s="10">
        <v>3077</v>
      </c>
      <c r="C298" s="10" t="s">
        <v>118</v>
      </c>
      <c r="D298" s="10" t="s">
        <v>1516</v>
      </c>
      <c r="F298" s="1" t="s">
        <v>1839</v>
      </c>
      <c r="G298" s="1" t="s">
        <v>1888</v>
      </c>
      <c r="H298" s="10">
        <v>0</v>
      </c>
      <c r="I298" s="23"/>
      <c r="J298" s="10">
        <v>3910</v>
      </c>
      <c r="K298" s="1" t="s">
        <v>125</v>
      </c>
      <c r="L298" t="s">
        <v>411</v>
      </c>
      <c r="M298">
        <v>16</v>
      </c>
      <c r="N298" t="str">
        <f>""</f>
        <v/>
      </c>
      <c r="O298" t="str">
        <f>""</f>
        <v/>
      </c>
      <c r="P298" t="str">
        <f>""</f>
        <v/>
      </c>
      <c r="Q298" t="str">
        <f>""</f>
        <v/>
      </c>
      <c r="R298" t="str">
        <f>""</f>
        <v/>
      </c>
      <c r="S298" t="str">
        <f>""</f>
        <v/>
      </c>
      <c r="T298" t="str">
        <f>""</f>
        <v/>
      </c>
      <c r="W298" t="str">
        <f>""</f>
        <v/>
      </c>
    </row>
    <row r="299" spans="1:23" ht="45" x14ac:dyDescent="0.25">
      <c r="A299" s="1">
        <f t="shared" si="4"/>
        <v>298</v>
      </c>
      <c r="B299" s="10">
        <v>3079</v>
      </c>
      <c r="C299" s="10" t="s">
        <v>118</v>
      </c>
      <c r="D299" s="10" t="s">
        <v>1520</v>
      </c>
      <c r="F299" s="1" t="s">
        <v>1889</v>
      </c>
      <c r="G299" s="1" t="s">
        <v>744</v>
      </c>
      <c r="H299" s="10">
        <v>0</v>
      </c>
      <c r="I299" s="23"/>
      <c r="J299" s="10">
        <v>2853</v>
      </c>
      <c r="K299" s="1" t="s">
        <v>1890</v>
      </c>
      <c r="L299" t="s">
        <v>1891</v>
      </c>
      <c r="M299">
        <v>1</v>
      </c>
      <c r="N299" t="str">
        <f>""</f>
        <v/>
      </c>
      <c r="O299" t="str">
        <f>""</f>
        <v/>
      </c>
      <c r="P299" t="str">
        <f>""</f>
        <v/>
      </c>
      <c r="Q299" t="str">
        <f>""</f>
        <v/>
      </c>
      <c r="R299" t="str">
        <f>""</f>
        <v/>
      </c>
      <c r="S299" t="str">
        <f>""</f>
        <v/>
      </c>
      <c r="T299" t="str">
        <f>""</f>
        <v/>
      </c>
      <c r="W299" t="str">
        <f>""</f>
        <v/>
      </c>
    </row>
    <row r="300" spans="1:23" ht="45" x14ac:dyDescent="0.25">
      <c r="A300" s="1">
        <f t="shared" si="4"/>
        <v>299</v>
      </c>
      <c r="B300" s="10">
        <v>3080</v>
      </c>
      <c r="C300" s="10" t="s">
        <v>118</v>
      </c>
      <c r="D300" s="10" t="s">
        <v>298</v>
      </c>
      <c r="F300" s="1" t="s">
        <v>1892</v>
      </c>
      <c r="G300" s="1" t="s">
        <v>1893</v>
      </c>
      <c r="H300" s="10">
        <v>0</v>
      </c>
      <c r="I300" s="23" t="s">
        <v>1894</v>
      </c>
      <c r="J300" s="10">
        <v>3820</v>
      </c>
      <c r="K300" s="1" t="s">
        <v>467</v>
      </c>
      <c r="L300" t="s">
        <v>1895</v>
      </c>
      <c r="M300">
        <v>8</v>
      </c>
      <c r="N300" t="str">
        <f>""</f>
        <v/>
      </c>
      <c r="O300" t="str">
        <f>""</f>
        <v/>
      </c>
      <c r="P300" t="str">
        <f>""</f>
        <v/>
      </c>
      <c r="Q300" t="str">
        <f>""</f>
        <v/>
      </c>
      <c r="R300" t="str">
        <f>""</f>
        <v/>
      </c>
      <c r="S300" t="str">
        <f>""</f>
        <v/>
      </c>
      <c r="T300" t="str">
        <f>""</f>
        <v/>
      </c>
      <c r="W300" t="str">
        <f>""</f>
        <v/>
      </c>
    </row>
    <row r="301" spans="1:23" ht="45" x14ac:dyDescent="0.25">
      <c r="A301" s="1">
        <f t="shared" si="4"/>
        <v>300</v>
      </c>
      <c r="B301" s="10">
        <v>3073</v>
      </c>
      <c r="C301" s="10" t="s">
        <v>118</v>
      </c>
      <c r="D301" s="10" t="s">
        <v>192</v>
      </c>
      <c r="H301" s="10">
        <v>0</v>
      </c>
      <c r="I301" s="23"/>
      <c r="J301" s="10">
        <v>3911</v>
      </c>
      <c r="K301" s="1" t="s">
        <v>125</v>
      </c>
      <c r="L301" t="s">
        <v>1896</v>
      </c>
      <c r="M301">
        <v>24</v>
      </c>
      <c r="N301" t="str">
        <f>""</f>
        <v/>
      </c>
      <c r="O301" t="str">
        <f>""</f>
        <v/>
      </c>
      <c r="P301" t="str">
        <f>""</f>
        <v/>
      </c>
      <c r="Q301" t="str">
        <f>""</f>
        <v/>
      </c>
      <c r="R301" t="str">
        <f>""</f>
        <v/>
      </c>
      <c r="S301" t="str">
        <f>""</f>
        <v/>
      </c>
      <c r="T301" t="str">
        <f>""</f>
        <v/>
      </c>
      <c r="W301" t="str">
        <f>""</f>
        <v/>
      </c>
    </row>
    <row r="302" spans="1:23" ht="45" x14ac:dyDescent="0.25">
      <c r="A302" s="1">
        <f t="shared" si="4"/>
        <v>301</v>
      </c>
      <c r="B302" s="10">
        <v>3088</v>
      </c>
      <c r="C302" s="10" t="s">
        <v>118</v>
      </c>
      <c r="D302" s="10" t="s">
        <v>766</v>
      </c>
      <c r="F302" s="1" t="s">
        <v>747</v>
      </c>
      <c r="G302" s="1" t="s">
        <v>1897</v>
      </c>
      <c r="H302" s="10">
        <v>0</v>
      </c>
      <c r="I302" s="23"/>
      <c r="J302" s="10">
        <v>3580</v>
      </c>
      <c r="K302" s="1" t="s">
        <v>809</v>
      </c>
      <c r="L302" t="s">
        <v>1530</v>
      </c>
      <c r="M302">
        <v>72</v>
      </c>
      <c r="N302" t="str">
        <f>""</f>
        <v/>
      </c>
      <c r="O302" t="str">
        <f>""</f>
        <v/>
      </c>
      <c r="P302" t="str">
        <f>""</f>
        <v/>
      </c>
      <c r="Q302" t="str">
        <f>""</f>
        <v/>
      </c>
      <c r="R302" t="str">
        <f>""</f>
        <v/>
      </c>
      <c r="S302" t="str">
        <f>""</f>
        <v/>
      </c>
      <c r="T302" t="str">
        <f>""</f>
        <v/>
      </c>
      <c r="W302" t="str">
        <f>""</f>
        <v/>
      </c>
    </row>
    <row r="303" spans="1:23" ht="75" x14ac:dyDescent="0.25">
      <c r="A303" s="1">
        <f t="shared" si="4"/>
        <v>302</v>
      </c>
      <c r="B303" s="10">
        <v>3090</v>
      </c>
      <c r="C303" s="10" t="s">
        <v>118</v>
      </c>
      <c r="D303" s="10" t="s">
        <v>750</v>
      </c>
      <c r="F303" s="1" t="s">
        <v>1898</v>
      </c>
      <c r="G303" s="1" t="s">
        <v>1848</v>
      </c>
      <c r="H303" s="10">
        <v>0</v>
      </c>
      <c r="I303" s="23"/>
      <c r="J303" s="10">
        <v>3580</v>
      </c>
      <c r="K303" s="1" t="s">
        <v>103</v>
      </c>
      <c r="L303" t="s">
        <v>1899</v>
      </c>
      <c r="M303">
        <v>8</v>
      </c>
      <c r="N303" t="str">
        <f>""</f>
        <v/>
      </c>
      <c r="O303" t="str">
        <f>""</f>
        <v/>
      </c>
      <c r="P303" t="str">
        <f>""</f>
        <v/>
      </c>
      <c r="Q303" t="str">
        <f>""</f>
        <v/>
      </c>
      <c r="R303" t="str">
        <f>""</f>
        <v/>
      </c>
      <c r="S303" t="str">
        <f>""</f>
        <v/>
      </c>
      <c r="T303" t="str">
        <f>""</f>
        <v/>
      </c>
      <c r="W303" t="str">
        <f>""</f>
        <v/>
      </c>
    </row>
    <row r="304" spans="1:23" ht="90" x14ac:dyDescent="0.25">
      <c r="A304" s="1">
        <f t="shared" si="4"/>
        <v>303</v>
      </c>
      <c r="B304" s="10">
        <v>3091</v>
      </c>
      <c r="C304" s="10" t="s">
        <v>118</v>
      </c>
      <c r="D304" s="10" t="s">
        <v>1534</v>
      </c>
      <c r="F304" s="1" t="s">
        <v>561</v>
      </c>
      <c r="G304" s="1" t="s">
        <v>1900</v>
      </c>
      <c r="H304" s="10">
        <v>0</v>
      </c>
      <c r="I304" s="23"/>
      <c r="J304" s="10">
        <v>3580</v>
      </c>
      <c r="K304" s="1" t="s">
        <v>103</v>
      </c>
      <c r="L304" t="s">
        <v>559</v>
      </c>
      <c r="M304">
        <v>29</v>
      </c>
      <c r="N304" t="str">
        <f>""</f>
        <v/>
      </c>
      <c r="O304" t="str">
        <f>""</f>
        <v/>
      </c>
      <c r="P304" t="str">
        <f>""</f>
        <v/>
      </c>
      <c r="Q304" t="str">
        <f>""</f>
        <v/>
      </c>
      <c r="R304" t="str">
        <f>""</f>
        <v/>
      </c>
      <c r="S304" t="str">
        <f>""</f>
        <v/>
      </c>
      <c r="T304" t="str">
        <f>""</f>
        <v/>
      </c>
      <c r="W304" t="str">
        <f>""</f>
        <v/>
      </c>
    </row>
    <row r="305" spans="1:23" ht="75" x14ac:dyDescent="0.25">
      <c r="A305" s="1">
        <f t="shared" si="4"/>
        <v>304</v>
      </c>
      <c r="B305" s="10">
        <v>3093</v>
      </c>
      <c r="C305" s="10" t="s">
        <v>118</v>
      </c>
      <c r="D305" s="10" t="s">
        <v>1537</v>
      </c>
      <c r="H305" s="10">
        <v>0</v>
      </c>
      <c r="I305" s="23"/>
      <c r="J305" s="10">
        <v>3524</v>
      </c>
      <c r="K305" s="1" t="s">
        <v>1540</v>
      </c>
      <c r="L305" t="s">
        <v>1541</v>
      </c>
      <c r="M305">
        <v>53</v>
      </c>
      <c r="N305" t="str">
        <f>""</f>
        <v/>
      </c>
      <c r="O305" t="str">
        <f>""</f>
        <v/>
      </c>
      <c r="P305" t="str">
        <f>""</f>
        <v/>
      </c>
      <c r="Q305" t="str">
        <f>""</f>
        <v/>
      </c>
      <c r="R305" t="str">
        <f>""</f>
        <v/>
      </c>
      <c r="S305" t="str">
        <f>""</f>
        <v/>
      </c>
      <c r="T305" t="str">
        <f>""</f>
        <v/>
      </c>
      <c r="W305" t="str">
        <f>""</f>
        <v/>
      </c>
    </row>
    <row r="306" spans="1:23" ht="90" x14ac:dyDescent="0.25">
      <c r="A306" s="1">
        <f t="shared" si="4"/>
        <v>305</v>
      </c>
      <c r="B306" s="10">
        <v>3097</v>
      </c>
      <c r="C306" s="10" t="s">
        <v>118</v>
      </c>
      <c r="D306" s="10" t="s">
        <v>1543</v>
      </c>
      <c r="F306" s="1" t="s">
        <v>1901</v>
      </c>
      <c r="G306" s="1" t="s">
        <v>1902</v>
      </c>
      <c r="H306" s="10" t="s">
        <v>1903</v>
      </c>
      <c r="I306" s="23"/>
      <c r="J306" s="10">
        <v>3830</v>
      </c>
      <c r="K306" s="1" t="s">
        <v>371</v>
      </c>
      <c r="L306" t="s">
        <v>411</v>
      </c>
      <c r="M306">
        <v>12</v>
      </c>
      <c r="N306" t="str">
        <f>""</f>
        <v/>
      </c>
      <c r="O306" t="str">
        <f>""</f>
        <v/>
      </c>
      <c r="P306" t="str">
        <f>""</f>
        <v/>
      </c>
      <c r="Q306" t="str">
        <f>""</f>
        <v/>
      </c>
      <c r="R306" t="str">
        <f>""</f>
        <v/>
      </c>
      <c r="S306" t="str">
        <f>""</f>
        <v/>
      </c>
      <c r="T306" t="str">
        <f>""</f>
        <v/>
      </c>
      <c r="W306" t="str">
        <f>""</f>
        <v/>
      </c>
    </row>
    <row r="307" spans="1:23" ht="45" x14ac:dyDescent="0.25">
      <c r="A307" s="1">
        <f t="shared" si="4"/>
        <v>306</v>
      </c>
      <c r="B307" s="10">
        <v>3099</v>
      </c>
      <c r="C307" s="10" t="s">
        <v>118</v>
      </c>
      <c r="D307" s="10" t="s">
        <v>1545</v>
      </c>
      <c r="F307" s="1" t="s">
        <v>1904</v>
      </c>
      <c r="G307" s="1" t="s">
        <v>1905</v>
      </c>
      <c r="H307" s="10" t="s">
        <v>1906</v>
      </c>
      <c r="I307" s="23"/>
      <c r="J307" s="10">
        <v>3580</v>
      </c>
      <c r="K307" s="1" t="s">
        <v>103</v>
      </c>
      <c r="L307" t="s">
        <v>1907</v>
      </c>
      <c r="M307">
        <v>5</v>
      </c>
      <c r="N307" t="str">
        <f>""</f>
        <v/>
      </c>
      <c r="O307" t="str">
        <f>""</f>
        <v/>
      </c>
      <c r="P307" t="str">
        <f>""</f>
        <v/>
      </c>
      <c r="Q307" t="str">
        <f>""</f>
        <v/>
      </c>
      <c r="R307" t="str">
        <f>""</f>
        <v/>
      </c>
      <c r="S307" t="str">
        <f>""</f>
        <v/>
      </c>
      <c r="T307" t="str">
        <f>""</f>
        <v/>
      </c>
      <c r="W307" t="str">
        <f>""</f>
        <v/>
      </c>
    </row>
    <row r="308" spans="1:23" ht="90" x14ac:dyDescent="0.25">
      <c r="A308" s="1">
        <f t="shared" si="4"/>
        <v>307</v>
      </c>
      <c r="B308" s="10">
        <v>3100</v>
      </c>
      <c r="C308" s="10" t="s">
        <v>118</v>
      </c>
      <c r="D308" s="10" t="s">
        <v>1548</v>
      </c>
      <c r="F308" s="1" t="s">
        <v>1908</v>
      </c>
      <c r="G308" s="1" t="s">
        <v>1909</v>
      </c>
      <c r="H308" s="10">
        <v>0</v>
      </c>
      <c r="I308" s="23"/>
      <c r="J308" s="10">
        <v>3580</v>
      </c>
      <c r="K308" s="1" t="s">
        <v>103</v>
      </c>
      <c r="L308" t="s">
        <v>1910</v>
      </c>
      <c r="M308">
        <v>52</v>
      </c>
      <c r="N308" t="str">
        <f>""</f>
        <v/>
      </c>
      <c r="O308" t="str">
        <f>""</f>
        <v/>
      </c>
      <c r="P308" t="str">
        <f>""</f>
        <v/>
      </c>
      <c r="Q308" t="str">
        <f>""</f>
        <v/>
      </c>
      <c r="R308" t="str">
        <f>""</f>
        <v/>
      </c>
      <c r="S308" t="str">
        <f>""</f>
        <v/>
      </c>
      <c r="T308" t="str">
        <f>""</f>
        <v/>
      </c>
      <c r="W308" t="str">
        <f>""</f>
        <v/>
      </c>
    </row>
    <row r="309" spans="1:23" ht="30" x14ac:dyDescent="0.25">
      <c r="A309" s="1">
        <f t="shared" si="4"/>
        <v>308</v>
      </c>
      <c r="B309" s="10">
        <v>3101</v>
      </c>
      <c r="C309" s="10" t="s">
        <v>118</v>
      </c>
      <c r="D309" s="10" t="s">
        <v>298</v>
      </c>
      <c r="F309" s="1" t="s">
        <v>461</v>
      </c>
      <c r="G309" s="1" t="s">
        <v>1911</v>
      </c>
      <c r="H309" s="10">
        <v>0</v>
      </c>
      <c r="I309" s="23"/>
      <c r="J309" s="10">
        <v>2042</v>
      </c>
      <c r="K309" s="1" t="s">
        <v>730</v>
      </c>
      <c r="L309" t="s">
        <v>1912</v>
      </c>
      <c r="M309">
        <v>219</v>
      </c>
      <c r="N309" t="str">
        <f>""</f>
        <v/>
      </c>
      <c r="O309" t="str">
        <f>""</f>
        <v/>
      </c>
      <c r="P309" t="str">
        <f>""</f>
        <v/>
      </c>
      <c r="Q309" t="str">
        <f>""</f>
        <v/>
      </c>
      <c r="R309" t="str">
        <f>""</f>
        <v/>
      </c>
      <c r="S309" t="str">
        <f>""</f>
        <v/>
      </c>
      <c r="T309" t="str">
        <f>""</f>
        <v/>
      </c>
      <c r="W309" t="str">
        <f>""</f>
        <v/>
      </c>
    </row>
    <row r="310" spans="1:23" ht="90" x14ac:dyDescent="0.25">
      <c r="A310" s="1">
        <f t="shared" si="4"/>
        <v>309</v>
      </c>
      <c r="B310" s="10">
        <v>3103</v>
      </c>
      <c r="C310" s="10" t="s">
        <v>118</v>
      </c>
      <c r="D310" s="10" t="s">
        <v>1553</v>
      </c>
      <c r="F310" s="1" t="s">
        <v>869</v>
      </c>
      <c r="G310" s="1" t="s">
        <v>1913</v>
      </c>
      <c r="H310" s="10">
        <v>0</v>
      </c>
      <c r="I310" s="23"/>
      <c r="J310" s="10">
        <v>3830</v>
      </c>
      <c r="K310" s="1" t="s">
        <v>371</v>
      </c>
      <c r="L310" t="s">
        <v>511</v>
      </c>
      <c r="M310">
        <v>20</v>
      </c>
      <c r="N310" t="str">
        <f>""</f>
        <v/>
      </c>
      <c r="O310" t="str">
        <f>""</f>
        <v/>
      </c>
      <c r="P310" t="str">
        <f>""</f>
        <v/>
      </c>
      <c r="Q310" t="str">
        <f>""</f>
        <v/>
      </c>
      <c r="R310" t="str">
        <f>""</f>
        <v/>
      </c>
      <c r="S310" t="str">
        <f>""</f>
        <v/>
      </c>
      <c r="T310" t="str">
        <f>""</f>
        <v/>
      </c>
      <c r="W310" t="str">
        <f>""</f>
        <v/>
      </c>
    </row>
    <row r="311" spans="1:23" ht="45" x14ac:dyDescent="0.25">
      <c r="A311" s="1">
        <f t="shared" si="4"/>
        <v>310</v>
      </c>
      <c r="B311" s="10">
        <v>3104</v>
      </c>
      <c r="C311" s="10" t="s">
        <v>118</v>
      </c>
      <c r="D311" s="10" t="s">
        <v>861</v>
      </c>
      <c r="F311" s="1" t="s">
        <v>1914</v>
      </c>
      <c r="G311" s="1" t="s">
        <v>1825</v>
      </c>
      <c r="H311" s="10">
        <v>0</v>
      </c>
      <c r="I311" s="23"/>
      <c r="J311" s="10">
        <v>3842</v>
      </c>
      <c r="K311" s="1" t="s">
        <v>563</v>
      </c>
      <c r="L311" t="s">
        <v>1915</v>
      </c>
      <c r="M311">
        <v>59</v>
      </c>
      <c r="N311" t="str">
        <f>""</f>
        <v/>
      </c>
      <c r="O311" t="str">
        <f>""</f>
        <v/>
      </c>
      <c r="P311" t="str">
        <f>""</f>
        <v/>
      </c>
      <c r="Q311" t="str">
        <f>""</f>
        <v/>
      </c>
      <c r="R311" t="str">
        <f>""</f>
        <v/>
      </c>
      <c r="S311" t="str">
        <f>""</f>
        <v/>
      </c>
      <c r="T311" t="str">
        <f>""</f>
        <v/>
      </c>
      <c r="W311" t="str">
        <f>""</f>
        <v/>
      </c>
    </row>
    <row r="312" spans="1:23" ht="45" x14ac:dyDescent="0.25">
      <c r="A312" s="1">
        <f t="shared" si="4"/>
        <v>311</v>
      </c>
      <c r="B312" s="10">
        <v>3106</v>
      </c>
      <c r="C312" s="10" t="s">
        <v>118</v>
      </c>
      <c r="D312" s="10" t="s">
        <v>298</v>
      </c>
      <c r="F312" s="1" t="s">
        <v>561</v>
      </c>
      <c r="G312" s="1" t="s">
        <v>1916</v>
      </c>
      <c r="H312" s="10" t="s">
        <v>1917</v>
      </c>
      <c r="I312" s="23"/>
      <c r="J312" s="10">
        <v>2326</v>
      </c>
      <c r="K312" s="1" t="s">
        <v>1918</v>
      </c>
      <c r="L312" t="s">
        <v>372</v>
      </c>
      <c r="M312">
        <v>9</v>
      </c>
      <c r="N312" t="str">
        <f>""</f>
        <v/>
      </c>
      <c r="O312" t="str">
        <f>""</f>
        <v/>
      </c>
      <c r="P312" t="str">
        <f>""</f>
        <v/>
      </c>
      <c r="Q312" t="str">
        <f>""</f>
        <v/>
      </c>
      <c r="R312" t="str">
        <f>""</f>
        <v/>
      </c>
      <c r="S312" t="str">
        <f>""</f>
        <v/>
      </c>
      <c r="T312" t="str">
        <f>""</f>
        <v/>
      </c>
      <c r="W312" t="str">
        <f>""</f>
        <v/>
      </c>
    </row>
    <row r="313" spans="1:23" ht="30" x14ac:dyDescent="0.25">
      <c r="A313" s="1">
        <f t="shared" si="4"/>
        <v>312</v>
      </c>
      <c r="B313" s="10">
        <v>3108</v>
      </c>
      <c r="C313" s="10" t="s">
        <v>118</v>
      </c>
      <c r="D313" s="10" t="s">
        <v>277</v>
      </c>
      <c r="F313" s="1" t="s">
        <v>1919</v>
      </c>
      <c r="G313" s="1" t="s">
        <v>1913</v>
      </c>
      <c r="H313" s="10">
        <v>0</v>
      </c>
      <c r="I313" s="23"/>
      <c r="J313" s="10">
        <v>3532</v>
      </c>
      <c r="K313" s="1" t="s">
        <v>350</v>
      </c>
      <c r="L313" t="s">
        <v>350</v>
      </c>
      <c r="M313">
        <v>174</v>
      </c>
      <c r="N313" t="str">
        <f>""</f>
        <v/>
      </c>
      <c r="O313" t="str">
        <f>""</f>
        <v/>
      </c>
      <c r="P313" t="str">
        <f>""</f>
        <v/>
      </c>
      <c r="Q313" t="str">
        <f>""</f>
        <v/>
      </c>
      <c r="R313" t="str">
        <f>""</f>
        <v/>
      </c>
      <c r="S313" t="str">
        <f>""</f>
        <v/>
      </c>
      <c r="T313" t="str">
        <f>""</f>
        <v/>
      </c>
      <c r="W313" t="str">
        <f>""</f>
        <v/>
      </c>
    </row>
    <row r="314" spans="1:23" ht="45" x14ac:dyDescent="0.25">
      <c r="A314" s="1">
        <f t="shared" si="4"/>
        <v>313</v>
      </c>
      <c r="B314" s="10">
        <v>3109</v>
      </c>
      <c r="C314" s="10" t="s">
        <v>118</v>
      </c>
      <c r="D314" s="10" t="s">
        <v>793</v>
      </c>
      <c r="F314" s="1" t="s">
        <v>823</v>
      </c>
      <c r="G314" s="1" t="s">
        <v>1920</v>
      </c>
      <c r="H314" s="10">
        <v>0</v>
      </c>
      <c r="I314" s="23"/>
      <c r="J314" s="10">
        <v>3842</v>
      </c>
      <c r="K314" s="1" t="s">
        <v>563</v>
      </c>
      <c r="L314" t="s">
        <v>150</v>
      </c>
      <c r="M314">
        <v>42</v>
      </c>
      <c r="N314" t="str">
        <f>""</f>
        <v/>
      </c>
      <c r="O314" t="str">
        <f>""</f>
        <v/>
      </c>
      <c r="P314" t="str">
        <f>""</f>
        <v/>
      </c>
      <c r="Q314" t="str">
        <f>""</f>
        <v/>
      </c>
      <c r="R314" t="str">
        <f>""</f>
        <v/>
      </c>
      <c r="S314" t="str">
        <f>""</f>
        <v/>
      </c>
      <c r="T314" t="str">
        <f>""</f>
        <v/>
      </c>
      <c r="W314" t="str">
        <f>""</f>
        <v/>
      </c>
    </row>
    <row r="315" spans="1:23" ht="30" x14ac:dyDescent="0.25">
      <c r="A315" s="1">
        <f t="shared" si="4"/>
        <v>314</v>
      </c>
      <c r="B315" s="10">
        <v>3110</v>
      </c>
      <c r="C315" s="10" t="s">
        <v>118</v>
      </c>
      <c r="D315" s="10" t="s">
        <v>298</v>
      </c>
      <c r="F315" s="1" t="s">
        <v>322</v>
      </c>
      <c r="G315" s="1" t="s">
        <v>1921</v>
      </c>
      <c r="H315" s="10" t="s">
        <v>1922</v>
      </c>
      <c r="I315" s="23" t="s">
        <v>1923</v>
      </c>
      <c r="J315" s="10">
        <v>3550</v>
      </c>
      <c r="K315" s="1" t="s">
        <v>110</v>
      </c>
      <c r="L315" t="s">
        <v>1924</v>
      </c>
      <c r="M315">
        <v>9</v>
      </c>
      <c r="N315" t="str">
        <f>""</f>
        <v/>
      </c>
      <c r="O315" t="str">
        <f>""</f>
        <v/>
      </c>
      <c r="P315" t="str">
        <f>""</f>
        <v/>
      </c>
      <c r="Q315" t="str">
        <f>""</f>
        <v/>
      </c>
      <c r="R315" t="str">
        <f>""</f>
        <v/>
      </c>
      <c r="S315" t="str">
        <f>""</f>
        <v/>
      </c>
      <c r="T315" t="str">
        <f>""</f>
        <v/>
      </c>
      <c r="W315" t="s">
        <v>1876</v>
      </c>
    </row>
    <row r="316" spans="1:23" ht="30" x14ac:dyDescent="0.25">
      <c r="A316" s="1">
        <f t="shared" si="4"/>
        <v>315</v>
      </c>
      <c r="B316" s="10">
        <v>3111</v>
      </c>
      <c r="C316" s="10" t="s">
        <v>118</v>
      </c>
      <c r="D316" s="10" t="s">
        <v>298</v>
      </c>
      <c r="F316" s="1" t="s">
        <v>823</v>
      </c>
      <c r="G316" s="1" t="s">
        <v>1925</v>
      </c>
      <c r="H316" s="10">
        <v>0</v>
      </c>
      <c r="I316" s="23"/>
      <c r="J316" s="10">
        <v>2042</v>
      </c>
      <c r="K316" s="1" t="s">
        <v>730</v>
      </c>
      <c r="L316" t="s">
        <v>730</v>
      </c>
      <c r="M316">
        <v>365</v>
      </c>
      <c r="N316" t="str">
        <f>""</f>
        <v/>
      </c>
      <c r="O316" t="str">
        <f>""</f>
        <v/>
      </c>
      <c r="P316" t="str">
        <f>""</f>
        <v/>
      </c>
      <c r="Q316" t="str">
        <f>""</f>
        <v/>
      </c>
      <c r="R316" t="str">
        <f>""</f>
        <v/>
      </c>
      <c r="S316" t="str">
        <f>""</f>
        <v/>
      </c>
      <c r="T316" t="str">
        <f>""</f>
        <v/>
      </c>
      <c r="W316" t="str">
        <f>""</f>
        <v/>
      </c>
    </row>
    <row r="317" spans="1:23" x14ac:dyDescent="0.25">
      <c r="A317" s="1">
        <f t="shared" si="4"/>
        <v>316</v>
      </c>
      <c r="B317" s="10">
        <v>3112</v>
      </c>
      <c r="C317" s="10" t="s">
        <v>118</v>
      </c>
      <c r="D317" s="10" t="s">
        <v>298</v>
      </c>
      <c r="F317" s="1" t="s">
        <v>803</v>
      </c>
      <c r="G317" s="1" t="s">
        <v>1926</v>
      </c>
      <c r="H317" s="10">
        <v>0</v>
      </c>
      <c r="I317" s="23" t="s">
        <v>1927</v>
      </c>
      <c r="J317" s="10">
        <v>3580</v>
      </c>
      <c r="K317" s="1" t="s">
        <v>103</v>
      </c>
      <c r="L317" t="s">
        <v>736</v>
      </c>
      <c r="M317">
        <v>15</v>
      </c>
      <c r="N317" t="str">
        <f>""</f>
        <v/>
      </c>
      <c r="O317" t="str">
        <f>""</f>
        <v/>
      </c>
      <c r="P317" t="str">
        <f>""</f>
        <v/>
      </c>
      <c r="Q317" t="str">
        <f>""</f>
        <v/>
      </c>
      <c r="R317" t="str">
        <f>""</f>
        <v/>
      </c>
      <c r="S317" t="str">
        <f>""</f>
        <v/>
      </c>
      <c r="T317" t="str">
        <f>""</f>
        <v/>
      </c>
      <c r="W317" t="str">
        <f>""</f>
        <v/>
      </c>
    </row>
    <row r="318" spans="1:23" ht="90" x14ac:dyDescent="0.25">
      <c r="A318" s="1">
        <f t="shared" si="4"/>
        <v>317</v>
      </c>
      <c r="B318" s="10">
        <v>3114</v>
      </c>
      <c r="C318" s="10" t="s">
        <v>118</v>
      </c>
      <c r="D318" s="10" t="s">
        <v>1569</v>
      </c>
      <c r="F318" s="1" t="s">
        <v>1928</v>
      </c>
      <c r="G318" s="1" t="s">
        <v>1929</v>
      </c>
      <c r="H318" s="10">
        <v>0</v>
      </c>
      <c r="I318" s="23"/>
      <c r="J318" s="10">
        <v>3493</v>
      </c>
      <c r="K318" s="1" t="s">
        <v>1930</v>
      </c>
      <c r="L318" t="s">
        <v>411</v>
      </c>
      <c r="M318">
        <v>14</v>
      </c>
      <c r="N318" t="str">
        <f>""</f>
        <v/>
      </c>
      <c r="O318" t="str">
        <f>""</f>
        <v/>
      </c>
      <c r="P318" t="str">
        <f>""</f>
        <v/>
      </c>
      <c r="Q318" t="str">
        <f>""</f>
        <v/>
      </c>
      <c r="R318" t="str">
        <f>""</f>
        <v/>
      </c>
      <c r="S318" t="str">
        <f>""</f>
        <v/>
      </c>
      <c r="T318" t="str">
        <f>""</f>
        <v/>
      </c>
      <c r="W318" t="str">
        <f>""</f>
        <v/>
      </c>
    </row>
    <row r="319" spans="1:23" ht="45" x14ac:dyDescent="0.25">
      <c r="A319" s="1">
        <f t="shared" si="4"/>
        <v>318</v>
      </c>
      <c r="B319" s="10">
        <v>3115</v>
      </c>
      <c r="C319" s="10" t="s">
        <v>118</v>
      </c>
      <c r="D319" s="10" t="s">
        <v>766</v>
      </c>
      <c r="F319" s="1" t="s">
        <v>1931</v>
      </c>
      <c r="G319" s="1" t="s">
        <v>1932</v>
      </c>
      <c r="H319" s="10">
        <v>0</v>
      </c>
      <c r="I319" s="23"/>
      <c r="K319" s="1" t="s">
        <v>1933</v>
      </c>
      <c r="L319" t="s">
        <v>1934</v>
      </c>
      <c r="M319">
        <v>20</v>
      </c>
      <c r="N319" t="str">
        <f>""</f>
        <v/>
      </c>
      <c r="O319" t="str">
        <f>""</f>
        <v/>
      </c>
      <c r="P319" t="str">
        <f>""</f>
        <v/>
      </c>
      <c r="Q319" t="str">
        <f>""</f>
        <v/>
      </c>
      <c r="R319" t="str">
        <f>""</f>
        <v/>
      </c>
      <c r="S319" t="str">
        <f>""</f>
        <v/>
      </c>
      <c r="T319" t="str">
        <f>""</f>
        <v/>
      </c>
      <c r="W319" t="str">
        <f>""</f>
        <v/>
      </c>
    </row>
    <row r="320" spans="1:23" ht="90" x14ac:dyDescent="0.25">
      <c r="A320" s="1">
        <f t="shared" si="4"/>
        <v>319</v>
      </c>
      <c r="B320" s="10">
        <v>3122</v>
      </c>
      <c r="C320" s="10" t="s">
        <v>118</v>
      </c>
      <c r="D320" s="10" t="s">
        <v>1573</v>
      </c>
      <c r="F320" s="1" t="s">
        <v>1935</v>
      </c>
      <c r="G320" s="1" t="s">
        <v>727</v>
      </c>
      <c r="H320" s="10">
        <v>0</v>
      </c>
      <c r="I320" s="23"/>
      <c r="J320" s="10">
        <v>3580</v>
      </c>
      <c r="K320" s="1" t="s">
        <v>103</v>
      </c>
      <c r="L320" t="s">
        <v>564</v>
      </c>
      <c r="M320">
        <v>3</v>
      </c>
      <c r="N320" t="str">
        <f>""</f>
        <v/>
      </c>
      <c r="O320" t="str">
        <f>""</f>
        <v/>
      </c>
      <c r="P320" t="str">
        <f>""</f>
        <v/>
      </c>
      <c r="Q320" t="str">
        <f>""</f>
        <v/>
      </c>
      <c r="R320" t="str">
        <f>""</f>
        <v/>
      </c>
      <c r="S320" t="str">
        <f>""</f>
        <v/>
      </c>
      <c r="T320" t="str">
        <f>""</f>
        <v/>
      </c>
      <c r="W320" t="str">
        <f>""</f>
        <v/>
      </c>
    </row>
    <row r="321" spans="1:23" x14ac:dyDescent="0.25">
      <c r="A321" s="1">
        <f t="shared" si="4"/>
        <v>320</v>
      </c>
      <c r="B321" s="10">
        <v>3131</v>
      </c>
      <c r="C321" s="10" t="s">
        <v>118</v>
      </c>
      <c r="D321" s="10" t="s">
        <v>298</v>
      </c>
      <c r="F321" s="1" t="s">
        <v>1013</v>
      </c>
      <c r="G321" s="1" t="s">
        <v>1936</v>
      </c>
      <c r="H321" s="10">
        <v>0</v>
      </c>
      <c r="I321" s="23"/>
      <c r="J321" s="10">
        <v>3580</v>
      </c>
      <c r="K321" s="1" t="s">
        <v>103</v>
      </c>
      <c r="L321" t="s">
        <v>805</v>
      </c>
      <c r="M321">
        <v>11</v>
      </c>
      <c r="N321" t="str">
        <f>""</f>
        <v/>
      </c>
      <c r="O321" t="str">
        <f>""</f>
        <v/>
      </c>
      <c r="P321" t="str">
        <f>""</f>
        <v/>
      </c>
      <c r="Q321" t="str">
        <f>""</f>
        <v/>
      </c>
      <c r="R321" t="str">
        <f>""</f>
        <v/>
      </c>
      <c r="S321" t="str">
        <f>""</f>
        <v/>
      </c>
      <c r="T321" t="str">
        <f>""</f>
        <v/>
      </c>
      <c r="W321" t="s">
        <v>1824</v>
      </c>
    </row>
    <row r="322" spans="1:23" ht="45" x14ac:dyDescent="0.25">
      <c r="A322" s="1">
        <f t="shared" si="4"/>
        <v>321</v>
      </c>
      <c r="B322" s="10">
        <v>3136</v>
      </c>
      <c r="C322" s="10" t="s">
        <v>118</v>
      </c>
      <c r="D322" s="10" t="s">
        <v>788</v>
      </c>
      <c r="F322" s="1" t="s">
        <v>153</v>
      </c>
      <c r="G322" s="1" t="s">
        <v>235</v>
      </c>
      <c r="H322" s="10">
        <v>0</v>
      </c>
      <c r="I322" s="23"/>
      <c r="J322" s="10">
        <v>2224</v>
      </c>
      <c r="K322" s="1" t="s">
        <v>1773</v>
      </c>
      <c r="L322" t="s">
        <v>1773</v>
      </c>
      <c r="M322">
        <v>250</v>
      </c>
      <c r="N322" t="str">
        <f>""</f>
        <v/>
      </c>
      <c r="O322" t="str">
        <f>""</f>
        <v/>
      </c>
      <c r="P322" t="str">
        <f>""</f>
        <v/>
      </c>
      <c r="Q322" t="str">
        <f>""</f>
        <v/>
      </c>
      <c r="R322" t="str">
        <f>""</f>
        <v/>
      </c>
      <c r="S322" t="str">
        <f>""</f>
        <v/>
      </c>
      <c r="T322" t="str">
        <f>""</f>
        <v/>
      </c>
      <c r="W322" t="str">
        <f>""</f>
        <v/>
      </c>
    </row>
    <row r="323" spans="1:23" ht="60" x14ac:dyDescent="0.25">
      <c r="A323" s="1">
        <f t="shared" ref="A323:A361" si="5">ROW(A323)-1</f>
        <v>322</v>
      </c>
      <c r="B323" s="10">
        <v>855</v>
      </c>
      <c r="C323" s="10" t="s">
        <v>118</v>
      </c>
      <c r="D323" s="10" t="s">
        <v>1576</v>
      </c>
      <c r="H323" s="10">
        <v>0</v>
      </c>
      <c r="I323" s="23"/>
      <c r="M323">
        <v>0</v>
      </c>
      <c r="N323" t="str">
        <f>""</f>
        <v/>
      </c>
      <c r="O323" t="str">
        <f>""</f>
        <v/>
      </c>
      <c r="P323" t="str">
        <f>""</f>
        <v/>
      </c>
      <c r="Q323" t="str">
        <f>""</f>
        <v/>
      </c>
      <c r="R323" t="str">
        <f>""</f>
        <v/>
      </c>
      <c r="S323" t="str">
        <f>""</f>
        <v/>
      </c>
      <c r="T323" t="str">
        <f>""</f>
        <v/>
      </c>
      <c r="W323" t="str">
        <f>""</f>
        <v/>
      </c>
    </row>
    <row r="324" spans="1:23" ht="60" x14ac:dyDescent="0.25">
      <c r="A324" s="1">
        <f t="shared" si="5"/>
        <v>323</v>
      </c>
      <c r="B324" s="10">
        <v>853</v>
      </c>
      <c r="C324" s="10" t="s">
        <v>118</v>
      </c>
      <c r="D324" s="10" t="s">
        <v>1578</v>
      </c>
      <c r="H324" s="10">
        <v>0</v>
      </c>
      <c r="I324" s="23"/>
      <c r="J324" s="10">
        <v>2651</v>
      </c>
      <c r="K324" s="1" t="s">
        <v>1937</v>
      </c>
      <c r="L324" t="s">
        <v>150</v>
      </c>
      <c r="M324">
        <v>28</v>
      </c>
      <c r="N324" t="str">
        <f>""</f>
        <v/>
      </c>
      <c r="O324" t="str">
        <f>""</f>
        <v/>
      </c>
      <c r="P324" t="str">
        <f>""</f>
        <v/>
      </c>
      <c r="Q324" t="str">
        <f>""</f>
        <v/>
      </c>
      <c r="R324" t="str">
        <f>""</f>
        <v/>
      </c>
      <c r="S324" t="str">
        <f>""</f>
        <v/>
      </c>
      <c r="T324" t="str">
        <f>""</f>
        <v/>
      </c>
      <c r="W324" t="str">
        <f>""</f>
        <v/>
      </c>
    </row>
    <row r="325" spans="1:23" ht="30" x14ac:dyDescent="0.25">
      <c r="A325" s="1">
        <f t="shared" si="5"/>
        <v>324</v>
      </c>
      <c r="B325" s="10">
        <v>852</v>
      </c>
      <c r="C325" s="10" t="s">
        <v>118</v>
      </c>
      <c r="D325" s="10" t="s">
        <v>1580</v>
      </c>
      <c r="H325" s="10">
        <v>0</v>
      </c>
      <c r="I325" s="23"/>
      <c r="J325" s="10">
        <v>3704</v>
      </c>
      <c r="K325" s="1" t="s">
        <v>1938</v>
      </c>
      <c r="L325" t="s">
        <v>1939</v>
      </c>
      <c r="M325">
        <v>5</v>
      </c>
      <c r="N325" t="str">
        <f>""</f>
        <v/>
      </c>
      <c r="O325" t="str">
        <f>""</f>
        <v/>
      </c>
      <c r="P325" t="str">
        <f>""</f>
        <v/>
      </c>
      <c r="Q325" t="str">
        <f>""</f>
        <v/>
      </c>
      <c r="R325" t="str">
        <f>""</f>
        <v/>
      </c>
      <c r="S325" t="str">
        <f>""</f>
        <v/>
      </c>
      <c r="T325" t="str">
        <f>""</f>
        <v/>
      </c>
      <c r="W325" t="str">
        <f>""</f>
        <v/>
      </c>
    </row>
    <row r="326" spans="1:23" ht="60" x14ac:dyDescent="0.25">
      <c r="A326" s="1">
        <f t="shared" si="5"/>
        <v>325</v>
      </c>
      <c r="B326" s="10">
        <v>849</v>
      </c>
      <c r="C326" s="10" t="s">
        <v>118</v>
      </c>
      <c r="D326" s="10" t="s">
        <v>1583</v>
      </c>
      <c r="H326" s="10">
        <v>0</v>
      </c>
      <c r="I326" s="23"/>
      <c r="J326" s="10">
        <v>3580</v>
      </c>
      <c r="K326" s="1" t="s">
        <v>103</v>
      </c>
      <c r="L326" t="s">
        <v>1808</v>
      </c>
      <c r="M326">
        <v>7</v>
      </c>
      <c r="N326" t="str">
        <f>""</f>
        <v/>
      </c>
      <c r="O326" t="str">
        <f>""</f>
        <v/>
      </c>
      <c r="P326" t="str">
        <f>""</f>
        <v/>
      </c>
      <c r="Q326" t="str">
        <f>""</f>
        <v/>
      </c>
      <c r="R326" t="str">
        <f>""</f>
        <v/>
      </c>
      <c r="S326" t="str">
        <f>""</f>
        <v/>
      </c>
      <c r="T326" t="str">
        <f>""</f>
        <v/>
      </c>
      <c r="W326" t="str">
        <f>""</f>
        <v/>
      </c>
    </row>
    <row r="327" spans="1:23" ht="75" x14ac:dyDescent="0.25">
      <c r="A327" s="1">
        <f t="shared" si="5"/>
        <v>326</v>
      </c>
      <c r="B327" s="10">
        <v>847</v>
      </c>
      <c r="C327" s="10" t="s">
        <v>118</v>
      </c>
      <c r="D327" s="10" t="s">
        <v>1585</v>
      </c>
      <c r="F327" s="1" t="s">
        <v>418</v>
      </c>
      <c r="G327" s="1" t="s">
        <v>1940</v>
      </c>
      <c r="H327" s="10">
        <v>0</v>
      </c>
      <c r="I327" s="23"/>
      <c r="J327" s="10">
        <v>3741</v>
      </c>
      <c r="K327" s="1" t="s">
        <v>1941</v>
      </c>
      <c r="L327" t="s">
        <v>1942</v>
      </c>
      <c r="M327">
        <v>6</v>
      </c>
      <c r="N327" t="str">
        <f>""</f>
        <v/>
      </c>
      <c r="O327" t="str">
        <f>""</f>
        <v/>
      </c>
      <c r="P327" t="str">
        <f>""</f>
        <v/>
      </c>
      <c r="Q327" t="str">
        <f>""</f>
        <v/>
      </c>
      <c r="R327" t="str">
        <f>""</f>
        <v/>
      </c>
      <c r="S327" t="str">
        <f>""</f>
        <v/>
      </c>
      <c r="T327" t="str">
        <f>""</f>
        <v/>
      </c>
      <c r="W327" t="str">
        <f>""</f>
        <v/>
      </c>
    </row>
    <row r="328" spans="1:23" ht="105" x14ac:dyDescent="0.25">
      <c r="A328" s="1">
        <f t="shared" si="5"/>
        <v>327</v>
      </c>
      <c r="B328" s="10">
        <v>842</v>
      </c>
      <c r="C328" s="10" t="s">
        <v>118</v>
      </c>
      <c r="D328" s="10" t="s">
        <v>1587</v>
      </c>
      <c r="H328" s="10">
        <v>0</v>
      </c>
      <c r="I328" s="23"/>
      <c r="M328">
        <v>0</v>
      </c>
      <c r="N328" t="str">
        <f>""</f>
        <v/>
      </c>
      <c r="O328" t="str">
        <f>""</f>
        <v/>
      </c>
      <c r="P328" t="str">
        <f>""</f>
        <v/>
      </c>
      <c r="Q328" t="str">
        <f>""</f>
        <v/>
      </c>
      <c r="R328" t="str">
        <f>""</f>
        <v/>
      </c>
      <c r="S328" t="str">
        <f>""</f>
        <v/>
      </c>
      <c r="T328" t="str">
        <f>""</f>
        <v/>
      </c>
      <c r="W328" t="str">
        <f>""</f>
        <v/>
      </c>
    </row>
    <row r="329" spans="1:23" ht="30" x14ac:dyDescent="0.25">
      <c r="A329" s="1">
        <f t="shared" si="5"/>
        <v>328</v>
      </c>
      <c r="B329" s="10">
        <v>827</v>
      </c>
      <c r="C329" s="10" t="s">
        <v>118</v>
      </c>
      <c r="H329" s="10">
        <v>0</v>
      </c>
      <c r="I329" s="23"/>
      <c r="J329" s="10">
        <v>3109</v>
      </c>
      <c r="K329" s="1" t="s">
        <v>935</v>
      </c>
      <c r="L329" t="s">
        <v>1943</v>
      </c>
      <c r="N329" t="str">
        <f>""</f>
        <v/>
      </c>
      <c r="O329" t="str">
        <f>""</f>
        <v/>
      </c>
      <c r="P329" t="str">
        <f>""</f>
        <v/>
      </c>
      <c r="Q329" t="str">
        <f>""</f>
        <v/>
      </c>
      <c r="R329" t="str">
        <f>""</f>
        <v/>
      </c>
      <c r="S329" t="str">
        <f>""</f>
        <v/>
      </c>
      <c r="T329" t="str">
        <f>""</f>
        <v/>
      </c>
      <c r="W329" t="str">
        <f>""</f>
        <v/>
      </c>
    </row>
    <row r="330" spans="1:23" ht="30" x14ac:dyDescent="0.25">
      <c r="A330" s="1">
        <f t="shared" si="5"/>
        <v>329</v>
      </c>
      <c r="B330" s="10">
        <v>826</v>
      </c>
      <c r="C330" s="10" t="s">
        <v>118</v>
      </c>
      <c r="D330" s="10" t="s">
        <v>1590</v>
      </c>
      <c r="H330" s="10">
        <v>0</v>
      </c>
      <c r="I330" s="23"/>
      <c r="M330">
        <v>0</v>
      </c>
      <c r="N330" t="str">
        <f>""</f>
        <v/>
      </c>
      <c r="O330" t="str">
        <f>""</f>
        <v/>
      </c>
      <c r="P330" t="str">
        <f>""</f>
        <v/>
      </c>
      <c r="Q330" t="str">
        <f>""</f>
        <v/>
      </c>
      <c r="R330" t="str">
        <f>""</f>
        <v/>
      </c>
      <c r="S330" t="str">
        <f>""</f>
        <v/>
      </c>
      <c r="T330" t="str">
        <f>""</f>
        <v/>
      </c>
      <c r="W330" t="str">
        <f>""</f>
        <v/>
      </c>
    </row>
    <row r="331" spans="1:23" x14ac:dyDescent="0.25">
      <c r="A331" s="1">
        <f t="shared" si="5"/>
        <v>330</v>
      </c>
      <c r="B331" s="10">
        <v>825</v>
      </c>
      <c r="C331" s="10" t="s">
        <v>118</v>
      </c>
      <c r="H331" s="10" t="s">
        <v>1944</v>
      </c>
      <c r="I331" s="23"/>
      <c r="J331" s="10">
        <v>3943</v>
      </c>
      <c r="K331" s="1" t="s">
        <v>257</v>
      </c>
      <c r="L331" t="s">
        <v>1945</v>
      </c>
      <c r="M331">
        <v>4</v>
      </c>
      <c r="N331" t="str">
        <f>""</f>
        <v/>
      </c>
      <c r="O331" t="str">
        <f>""</f>
        <v/>
      </c>
      <c r="P331" t="str">
        <f>""</f>
        <v/>
      </c>
      <c r="Q331" t="str">
        <f>""</f>
        <v/>
      </c>
      <c r="R331" t="str">
        <f>""</f>
        <v/>
      </c>
      <c r="S331" t="str">
        <f>""</f>
        <v/>
      </c>
      <c r="T331" t="str">
        <f>""</f>
        <v/>
      </c>
      <c r="W331" t="str">
        <f>""</f>
        <v/>
      </c>
    </row>
    <row r="332" spans="1:23" ht="60" x14ac:dyDescent="0.25">
      <c r="A332" s="1">
        <f t="shared" si="5"/>
        <v>331</v>
      </c>
      <c r="B332" s="10">
        <v>801</v>
      </c>
      <c r="C332" s="10" t="s">
        <v>118</v>
      </c>
      <c r="D332" s="10" t="s">
        <v>1592</v>
      </c>
      <c r="H332" s="10">
        <v>0</v>
      </c>
      <c r="I332" s="23"/>
      <c r="J332" s="10">
        <v>3830</v>
      </c>
      <c r="K332" s="1" t="s">
        <v>371</v>
      </c>
      <c r="L332" t="s">
        <v>1946</v>
      </c>
      <c r="M332">
        <v>4</v>
      </c>
      <c r="N332" t="str">
        <f>""</f>
        <v/>
      </c>
      <c r="O332" t="str">
        <f>""</f>
        <v/>
      </c>
      <c r="P332" t="str">
        <f>""</f>
        <v/>
      </c>
      <c r="Q332" t="str">
        <f>""</f>
        <v/>
      </c>
      <c r="R332" t="str">
        <f>""</f>
        <v/>
      </c>
      <c r="S332" t="str">
        <f>""</f>
        <v/>
      </c>
      <c r="T332" t="str">
        <f>""</f>
        <v/>
      </c>
      <c r="W332" t="str">
        <f>""</f>
        <v/>
      </c>
    </row>
    <row r="333" spans="1:23" ht="45" x14ac:dyDescent="0.25">
      <c r="A333" s="1">
        <f t="shared" si="5"/>
        <v>332</v>
      </c>
      <c r="B333" s="10">
        <v>798</v>
      </c>
      <c r="D333" s="10" t="s">
        <v>1595</v>
      </c>
      <c r="H333" s="10" t="s">
        <v>1947</v>
      </c>
      <c r="I333" s="23"/>
      <c r="J333" s="10">
        <v>3663</v>
      </c>
      <c r="K333" s="1" t="s">
        <v>1948</v>
      </c>
      <c r="L333" t="s">
        <v>1948</v>
      </c>
      <c r="M333">
        <v>63</v>
      </c>
      <c r="N333" t="str">
        <f>""</f>
        <v/>
      </c>
      <c r="O333" t="str">
        <f>""</f>
        <v/>
      </c>
      <c r="P333" t="str">
        <f>""</f>
        <v/>
      </c>
      <c r="Q333" t="str">
        <f>""</f>
        <v/>
      </c>
      <c r="R333" t="str">
        <f>""</f>
        <v/>
      </c>
      <c r="S333" t="str">
        <f>""</f>
        <v/>
      </c>
      <c r="T333" t="str">
        <f>""</f>
        <v/>
      </c>
      <c r="W333" t="str">
        <f>""</f>
        <v/>
      </c>
    </row>
    <row r="334" spans="1:23" ht="45" x14ac:dyDescent="0.25">
      <c r="A334" s="1">
        <f t="shared" si="5"/>
        <v>333</v>
      </c>
      <c r="B334" s="10">
        <v>797</v>
      </c>
      <c r="D334" s="10" t="s">
        <v>1597</v>
      </c>
      <c r="H334" s="10" t="s">
        <v>1949</v>
      </c>
      <c r="I334" s="23"/>
      <c r="J334" s="10">
        <v>3580</v>
      </c>
      <c r="K334" s="1" t="s">
        <v>103</v>
      </c>
      <c r="L334" t="s">
        <v>1950</v>
      </c>
      <c r="M334">
        <v>77</v>
      </c>
      <c r="N334" t="str">
        <f>""</f>
        <v/>
      </c>
      <c r="O334" t="str">
        <f>""</f>
        <v/>
      </c>
      <c r="P334" t="str">
        <f>""</f>
        <v/>
      </c>
      <c r="Q334" t="str">
        <f>""</f>
        <v/>
      </c>
      <c r="R334" t="str">
        <f>""</f>
        <v/>
      </c>
      <c r="S334" t="str">
        <f>""</f>
        <v/>
      </c>
      <c r="T334" t="str">
        <f>""</f>
        <v/>
      </c>
      <c r="W334" t="str">
        <f>""</f>
        <v/>
      </c>
    </row>
    <row r="335" spans="1:23" ht="45" x14ac:dyDescent="0.25">
      <c r="A335" s="1">
        <f t="shared" si="5"/>
        <v>334</v>
      </c>
      <c r="B335" s="10">
        <v>796</v>
      </c>
      <c r="H335" s="10" t="s">
        <v>1951</v>
      </c>
      <c r="I335" s="23"/>
      <c r="J335" s="10">
        <v>3812</v>
      </c>
      <c r="K335" s="1" t="s">
        <v>585</v>
      </c>
      <c r="L335" t="s">
        <v>1952</v>
      </c>
      <c r="M335">
        <v>5</v>
      </c>
      <c r="N335" t="str">
        <f>""</f>
        <v/>
      </c>
      <c r="O335" t="str">
        <f>""</f>
        <v/>
      </c>
      <c r="P335" t="str">
        <f>""</f>
        <v/>
      </c>
      <c r="Q335" t="str">
        <f>""</f>
        <v/>
      </c>
      <c r="R335" t="str">
        <f>""</f>
        <v/>
      </c>
      <c r="S335" t="str">
        <f>""</f>
        <v/>
      </c>
      <c r="T335" t="str">
        <f>""</f>
        <v/>
      </c>
      <c r="W335" t="str">
        <f>""</f>
        <v/>
      </c>
    </row>
    <row r="336" spans="1:23" ht="60" x14ac:dyDescent="0.25">
      <c r="A336" s="1">
        <f t="shared" si="5"/>
        <v>335</v>
      </c>
      <c r="B336" s="10">
        <v>795</v>
      </c>
      <c r="D336" s="10" t="s">
        <v>1601</v>
      </c>
      <c r="F336" s="1" t="s">
        <v>832</v>
      </c>
      <c r="G336" s="1" t="s">
        <v>348</v>
      </c>
      <c r="H336" s="10" t="s">
        <v>1953</v>
      </c>
      <c r="I336" s="23"/>
      <c r="J336" s="10">
        <v>3844</v>
      </c>
      <c r="K336" s="1" t="s">
        <v>1954</v>
      </c>
      <c r="L336" t="s">
        <v>1955</v>
      </c>
      <c r="M336">
        <v>19</v>
      </c>
      <c r="N336" t="str">
        <f>""</f>
        <v/>
      </c>
      <c r="O336" t="str">
        <f>""</f>
        <v/>
      </c>
      <c r="P336" t="str">
        <f>""</f>
        <v/>
      </c>
      <c r="Q336" t="str">
        <f>""</f>
        <v/>
      </c>
      <c r="R336" t="str">
        <f>""</f>
        <v/>
      </c>
      <c r="S336" t="str">
        <f>""</f>
        <v/>
      </c>
      <c r="T336" t="str">
        <f>""</f>
        <v/>
      </c>
      <c r="W336" t="str">
        <f>""</f>
        <v/>
      </c>
    </row>
    <row r="337" spans="1:23" ht="75" x14ac:dyDescent="0.25">
      <c r="A337" s="1">
        <f t="shared" si="5"/>
        <v>336</v>
      </c>
      <c r="B337" s="10">
        <v>793</v>
      </c>
      <c r="D337" s="10" t="s">
        <v>1603</v>
      </c>
      <c r="F337" s="1" t="s">
        <v>752</v>
      </c>
      <c r="G337" s="1" t="s">
        <v>617</v>
      </c>
      <c r="H337" s="10" t="s">
        <v>1956</v>
      </c>
      <c r="I337" s="23"/>
      <c r="J337" s="10">
        <v>3851</v>
      </c>
      <c r="K337" s="1" t="s">
        <v>626</v>
      </c>
      <c r="L337" t="s">
        <v>1957</v>
      </c>
      <c r="M337">
        <v>1</v>
      </c>
      <c r="N337" t="str">
        <f>""</f>
        <v/>
      </c>
      <c r="O337" t="str">
        <f>""</f>
        <v/>
      </c>
      <c r="P337" t="str">
        <f>""</f>
        <v/>
      </c>
      <c r="Q337" t="str">
        <f>""</f>
        <v/>
      </c>
      <c r="R337" t="str">
        <f>""</f>
        <v/>
      </c>
      <c r="S337" t="str">
        <f>""</f>
        <v/>
      </c>
      <c r="T337" t="str">
        <f>""</f>
        <v/>
      </c>
      <c r="W337" t="str">
        <f>""</f>
        <v/>
      </c>
    </row>
    <row r="338" spans="1:23" ht="75" x14ac:dyDescent="0.25">
      <c r="A338" s="1">
        <f t="shared" si="5"/>
        <v>337</v>
      </c>
      <c r="B338" s="10">
        <v>790</v>
      </c>
      <c r="D338" s="10" t="s">
        <v>1605</v>
      </c>
      <c r="H338" s="10" t="s">
        <v>1958</v>
      </c>
      <c r="I338" s="23"/>
      <c r="J338" s="10">
        <v>3852</v>
      </c>
      <c r="K338" s="1" t="s">
        <v>379</v>
      </c>
      <c r="L338" t="s">
        <v>1959</v>
      </c>
      <c r="M338">
        <v>12</v>
      </c>
      <c r="N338" t="str">
        <f>""</f>
        <v/>
      </c>
      <c r="O338" t="str">
        <f>""</f>
        <v/>
      </c>
      <c r="P338" t="str">
        <f>""</f>
        <v/>
      </c>
      <c r="Q338" t="str">
        <f>""</f>
        <v/>
      </c>
      <c r="R338" t="str">
        <f>""</f>
        <v/>
      </c>
      <c r="S338" t="str">
        <f>""</f>
        <v/>
      </c>
      <c r="T338" t="str">
        <f>""</f>
        <v/>
      </c>
      <c r="W338" t="str">
        <f>""</f>
        <v/>
      </c>
    </row>
    <row r="339" spans="1:23" ht="60" x14ac:dyDescent="0.25">
      <c r="A339" s="1">
        <f t="shared" si="5"/>
        <v>338</v>
      </c>
      <c r="B339" s="10">
        <v>788</v>
      </c>
      <c r="H339" s="10" t="s">
        <v>1960</v>
      </c>
      <c r="I339" s="23"/>
      <c r="J339" s="10">
        <v>3830</v>
      </c>
      <c r="K339" s="1" t="s">
        <v>371</v>
      </c>
      <c r="L339" t="s">
        <v>1339</v>
      </c>
      <c r="M339">
        <v>30</v>
      </c>
      <c r="N339" t="str">
        <f>""</f>
        <v/>
      </c>
      <c r="O339" t="str">
        <f>""</f>
        <v/>
      </c>
      <c r="P339" t="str">
        <f>""</f>
        <v/>
      </c>
      <c r="Q339" t="str">
        <f>""</f>
        <v/>
      </c>
      <c r="R339" t="str">
        <f>""</f>
        <v/>
      </c>
      <c r="S339" t="str">
        <f>""</f>
        <v/>
      </c>
      <c r="T339" t="str">
        <f>""</f>
        <v/>
      </c>
      <c r="W339" t="str">
        <f>""</f>
        <v/>
      </c>
    </row>
    <row r="340" spans="1:23" ht="60" x14ac:dyDescent="0.25">
      <c r="A340" s="1">
        <f t="shared" si="5"/>
        <v>339</v>
      </c>
      <c r="B340" s="10">
        <v>787</v>
      </c>
      <c r="D340" s="10" t="s">
        <v>1608</v>
      </c>
      <c r="H340" s="10" t="s">
        <v>1961</v>
      </c>
      <c r="I340" s="23"/>
      <c r="J340" s="10">
        <v>3830</v>
      </c>
      <c r="K340" s="1" t="s">
        <v>371</v>
      </c>
      <c r="L340" t="s">
        <v>1962</v>
      </c>
      <c r="M340">
        <v>5</v>
      </c>
      <c r="N340" t="str">
        <f>""</f>
        <v/>
      </c>
      <c r="O340" t="str">
        <f>""</f>
        <v/>
      </c>
      <c r="P340" t="str">
        <f>""</f>
        <v/>
      </c>
      <c r="Q340" t="str">
        <f>""</f>
        <v/>
      </c>
      <c r="R340" t="str">
        <f>""</f>
        <v/>
      </c>
      <c r="S340" t="str">
        <f>""</f>
        <v/>
      </c>
      <c r="T340" t="str">
        <f>""</f>
        <v/>
      </c>
      <c r="W340" t="str">
        <f>""</f>
        <v/>
      </c>
    </row>
    <row r="341" spans="1:23" ht="75" x14ac:dyDescent="0.25">
      <c r="A341" s="1">
        <f t="shared" si="5"/>
        <v>340</v>
      </c>
      <c r="B341" s="10">
        <v>786</v>
      </c>
      <c r="D341" s="10" t="s">
        <v>1610</v>
      </c>
      <c r="H341" s="10" t="s">
        <v>1963</v>
      </c>
      <c r="I341" s="23"/>
      <c r="J341" s="10">
        <v>3100</v>
      </c>
      <c r="K341" s="1" t="s">
        <v>935</v>
      </c>
      <c r="L341" t="s">
        <v>372</v>
      </c>
      <c r="M341">
        <v>38</v>
      </c>
      <c r="N341" t="str">
        <f>""</f>
        <v/>
      </c>
      <c r="O341" t="str">
        <f>""</f>
        <v/>
      </c>
      <c r="P341" t="str">
        <f>""</f>
        <v/>
      </c>
      <c r="Q341" t="str">
        <f>""</f>
        <v/>
      </c>
      <c r="R341" t="str">
        <f>""</f>
        <v/>
      </c>
      <c r="S341" t="str">
        <f>""</f>
        <v/>
      </c>
      <c r="T341" t="str">
        <f>""</f>
        <v/>
      </c>
      <c r="W341" t="str">
        <f>""</f>
        <v/>
      </c>
    </row>
    <row r="342" spans="1:23" ht="75" x14ac:dyDescent="0.25">
      <c r="A342" s="1">
        <f t="shared" si="5"/>
        <v>341</v>
      </c>
      <c r="B342" s="10">
        <v>785</v>
      </c>
      <c r="D342" s="10" t="s">
        <v>1613</v>
      </c>
      <c r="H342" s="10" t="s">
        <v>1964</v>
      </c>
      <c r="I342" s="23"/>
      <c r="J342" s="10">
        <v>3820</v>
      </c>
      <c r="K342" s="1" t="s">
        <v>467</v>
      </c>
      <c r="L342" t="s">
        <v>1965</v>
      </c>
      <c r="M342">
        <v>2</v>
      </c>
      <c r="N342" t="str">
        <f>""</f>
        <v/>
      </c>
      <c r="O342" t="str">
        <f>""</f>
        <v/>
      </c>
      <c r="P342" t="str">
        <f>""</f>
        <v/>
      </c>
      <c r="Q342" t="str">
        <f>""</f>
        <v/>
      </c>
      <c r="R342" t="str">
        <f>""</f>
        <v/>
      </c>
      <c r="S342" t="str">
        <f>""</f>
        <v/>
      </c>
      <c r="T342" t="str">
        <f>""</f>
        <v/>
      </c>
      <c r="W342" t="str">
        <f>""</f>
        <v/>
      </c>
    </row>
    <row r="343" spans="1:23" ht="75" x14ac:dyDescent="0.25">
      <c r="A343" s="1">
        <f t="shared" si="5"/>
        <v>342</v>
      </c>
      <c r="B343" s="10">
        <v>784</v>
      </c>
      <c r="D343" s="10" t="s">
        <v>937</v>
      </c>
      <c r="H343" s="10" t="s">
        <v>1966</v>
      </c>
      <c r="I343" s="23"/>
      <c r="J343" s="10">
        <v>3830</v>
      </c>
      <c r="K343" s="1" t="s">
        <v>371</v>
      </c>
      <c r="L343" t="s">
        <v>411</v>
      </c>
      <c r="M343">
        <v>9</v>
      </c>
      <c r="N343" t="str">
        <f>""</f>
        <v/>
      </c>
      <c r="O343" t="str">
        <f>""</f>
        <v/>
      </c>
      <c r="P343" t="str">
        <f>""</f>
        <v/>
      </c>
      <c r="Q343" t="str">
        <f>""</f>
        <v/>
      </c>
      <c r="R343" t="str">
        <f>""</f>
        <v/>
      </c>
      <c r="S343" t="str">
        <f>""</f>
        <v/>
      </c>
      <c r="T343" t="str">
        <f>""</f>
        <v/>
      </c>
      <c r="W343" t="str">
        <f>""</f>
        <v/>
      </c>
    </row>
    <row r="344" spans="1:23" ht="75" x14ac:dyDescent="0.25">
      <c r="A344" s="1">
        <f t="shared" si="5"/>
        <v>343</v>
      </c>
      <c r="B344" s="10">
        <v>783</v>
      </c>
      <c r="D344" s="10" t="s">
        <v>937</v>
      </c>
      <c r="H344" s="10" t="s">
        <v>1967</v>
      </c>
      <c r="I344" s="23"/>
      <c r="J344" s="10">
        <v>3830</v>
      </c>
      <c r="K344" s="1" t="s">
        <v>1968</v>
      </c>
      <c r="L344" t="s">
        <v>411</v>
      </c>
      <c r="M344">
        <v>9</v>
      </c>
      <c r="N344" t="str">
        <f>""</f>
        <v/>
      </c>
      <c r="O344" t="str">
        <f>""</f>
        <v/>
      </c>
      <c r="P344" t="str">
        <f>""</f>
        <v/>
      </c>
      <c r="Q344" t="str">
        <f>""</f>
        <v/>
      </c>
      <c r="R344" t="str">
        <f>""</f>
        <v/>
      </c>
      <c r="S344" t="str">
        <f>""</f>
        <v/>
      </c>
      <c r="T344" t="str">
        <f>""</f>
        <v/>
      </c>
      <c r="W344" t="str">
        <f>""</f>
        <v/>
      </c>
    </row>
    <row r="345" spans="1:23" ht="60" x14ac:dyDescent="0.25">
      <c r="A345" s="1">
        <f t="shared" si="5"/>
        <v>344</v>
      </c>
      <c r="B345" s="10">
        <v>781</v>
      </c>
      <c r="D345" s="10" t="s">
        <v>1617</v>
      </c>
      <c r="H345" s="10" t="s">
        <v>1969</v>
      </c>
      <c r="I345" s="23"/>
      <c r="J345" s="10">
        <v>3910</v>
      </c>
      <c r="K345" s="1" t="s">
        <v>125</v>
      </c>
      <c r="L345" t="s">
        <v>1912</v>
      </c>
      <c r="M345">
        <v>1</v>
      </c>
      <c r="N345" t="str">
        <f>""</f>
        <v/>
      </c>
      <c r="O345" t="str">
        <f>""</f>
        <v/>
      </c>
      <c r="P345" t="str">
        <f>""</f>
        <v/>
      </c>
      <c r="Q345" t="str">
        <f>""</f>
        <v/>
      </c>
      <c r="R345" t="str">
        <f>""</f>
        <v/>
      </c>
      <c r="S345" t="str">
        <f>""</f>
        <v/>
      </c>
      <c r="T345" t="str">
        <f>""</f>
        <v/>
      </c>
      <c r="W345" t="str">
        <f>""</f>
        <v/>
      </c>
    </row>
    <row r="346" spans="1:23" ht="45" x14ac:dyDescent="0.25">
      <c r="A346" s="1">
        <f t="shared" si="5"/>
        <v>345</v>
      </c>
      <c r="B346" s="10">
        <v>780</v>
      </c>
      <c r="D346" s="10" t="s">
        <v>1619</v>
      </c>
      <c r="H346" s="10" t="s">
        <v>1970</v>
      </c>
      <c r="I346" s="23"/>
      <c r="J346" s="10">
        <v>3100</v>
      </c>
      <c r="K346" s="1" t="s">
        <v>935</v>
      </c>
      <c r="L346" t="s">
        <v>1971</v>
      </c>
      <c r="M346">
        <v>5</v>
      </c>
      <c r="N346" t="str">
        <f>""</f>
        <v/>
      </c>
      <c r="O346" t="str">
        <f>""</f>
        <v/>
      </c>
      <c r="P346" t="str">
        <f>""</f>
        <v/>
      </c>
      <c r="Q346" t="str">
        <f>""</f>
        <v/>
      </c>
      <c r="R346" t="str">
        <f>""</f>
        <v/>
      </c>
      <c r="S346" t="str">
        <f>""</f>
        <v/>
      </c>
      <c r="T346" t="str">
        <f>""</f>
        <v/>
      </c>
      <c r="W346" t="str">
        <f>""</f>
        <v/>
      </c>
    </row>
    <row r="347" spans="1:23" ht="60" x14ac:dyDescent="0.25">
      <c r="A347" s="1">
        <f t="shared" si="5"/>
        <v>346</v>
      </c>
      <c r="B347" s="10">
        <v>778</v>
      </c>
      <c r="D347" s="10" t="s">
        <v>1621</v>
      </c>
      <c r="H347" s="10" t="s">
        <v>1972</v>
      </c>
      <c r="I347" s="23"/>
      <c r="J347" s="10">
        <v>3830</v>
      </c>
      <c r="K347" s="1" t="s">
        <v>371</v>
      </c>
      <c r="L347" t="s">
        <v>1973</v>
      </c>
      <c r="M347">
        <v>2</v>
      </c>
      <c r="N347" t="str">
        <f>""</f>
        <v/>
      </c>
      <c r="O347" t="str">
        <f>""</f>
        <v/>
      </c>
      <c r="P347" t="str">
        <f>""</f>
        <v/>
      </c>
      <c r="Q347" t="str">
        <f>""</f>
        <v/>
      </c>
      <c r="R347" t="str">
        <f>""</f>
        <v/>
      </c>
      <c r="S347" t="str">
        <f>""</f>
        <v/>
      </c>
      <c r="T347" t="str">
        <f>""</f>
        <v/>
      </c>
      <c r="W347" t="str">
        <f>""</f>
        <v/>
      </c>
    </row>
    <row r="348" spans="1:23" ht="30" x14ac:dyDescent="0.25">
      <c r="A348" s="1">
        <f t="shared" si="5"/>
        <v>347</v>
      </c>
      <c r="B348" s="10">
        <v>775</v>
      </c>
      <c r="H348" s="10" t="s">
        <v>1974</v>
      </c>
      <c r="I348" s="23"/>
      <c r="J348" s="10">
        <v>3843</v>
      </c>
      <c r="K348" s="1" t="s">
        <v>437</v>
      </c>
      <c r="L348" t="s">
        <v>1333</v>
      </c>
      <c r="M348">
        <v>5</v>
      </c>
      <c r="N348" t="str">
        <f>""</f>
        <v/>
      </c>
      <c r="O348" t="str">
        <f>""</f>
        <v/>
      </c>
      <c r="P348" t="str">
        <f>""</f>
        <v/>
      </c>
      <c r="Q348" t="str">
        <f>""</f>
        <v/>
      </c>
      <c r="R348" t="str">
        <f>""</f>
        <v/>
      </c>
      <c r="S348" t="str">
        <f>""</f>
        <v/>
      </c>
      <c r="T348" t="str">
        <f>""</f>
        <v/>
      </c>
      <c r="W348" t="str">
        <f>""</f>
        <v/>
      </c>
    </row>
    <row r="349" spans="1:23" ht="60" x14ac:dyDescent="0.25">
      <c r="A349" s="1">
        <f t="shared" si="5"/>
        <v>348</v>
      </c>
      <c r="B349" s="10">
        <v>773</v>
      </c>
      <c r="D349" s="10" t="s">
        <v>1624</v>
      </c>
      <c r="F349" s="1" t="s">
        <v>1975</v>
      </c>
      <c r="G349" s="1" t="s">
        <v>1976</v>
      </c>
      <c r="H349" s="10" t="s">
        <v>1977</v>
      </c>
      <c r="I349" s="23"/>
      <c r="J349" s="10">
        <v>3744</v>
      </c>
      <c r="K349" s="1" t="s">
        <v>1978</v>
      </c>
      <c r="L349" t="s">
        <v>1979</v>
      </c>
      <c r="M349">
        <v>115</v>
      </c>
      <c r="N349" t="str">
        <f>""</f>
        <v/>
      </c>
      <c r="O349" t="str">
        <f>""</f>
        <v/>
      </c>
      <c r="P349" t="str">
        <f>""</f>
        <v/>
      </c>
      <c r="Q349" t="str">
        <f>""</f>
        <v/>
      </c>
      <c r="R349" t="str">
        <f>""</f>
        <v/>
      </c>
      <c r="S349" t="str">
        <f>""</f>
        <v/>
      </c>
      <c r="T349" t="str">
        <f>""</f>
        <v/>
      </c>
      <c r="W349" t="str">
        <f>""</f>
        <v/>
      </c>
    </row>
    <row r="350" spans="1:23" ht="90" x14ac:dyDescent="0.25">
      <c r="A350" s="1">
        <f t="shared" si="5"/>
        <v>349</v>
      </c>
      <c r="B350" s="10">
        <v>772</v>
      </c>
      <c r="D350" s="10" t="s">
        <v>1626</v>
      </c>
      <c r="H350" s="10" t="s">
        <v>1980</v>
      </c>
      <c r="I350" s="23"/>
      <c r="J350" s="10">
        <v>3843</v>
      </c>
      <c r="K350" s="1" t="s">
        <v>437</v>
      </c>
      <c r="L350" t="s">
        <v>1333</v>
      </c>
      <c r="M350">
        <v>5</v>
      </c>
      <c r="N350" t="str">
        <f>""</f>
        <v/>
      </c>
      <c r="O350" t="str">
        <f>""</f>
        <v/>
      </c>
      <c r="P350" t="str">
        <f>""</f>
        <v/>
      </c>
      <c r="Q350" t="str">
        <f>""</f>
        <v/>
      </c>
      <c r="R350" t="str">
        <f>""</f>
        <v/>
      </c>
      <c r="S350" t="str">
        <f>""</f>
        <v/>
      </c>
      <c r="T350" t="str">
        <f>""</f>
        <v/>
      </c>
      <c r="W350" t="str">
        <f>""</f>
        <v/>
      </c>
    </row>
    <row r="351" spans="1:23" ht="75" x14ac:dyDescent="0.25">
      <c r="A351" s="1">
        <f t="shared" si="5"/>
        <v>350</v>
      </c>
      <c r="B351" s="10">
        <v>769</v>
      </c>
      <c r="D351" s="10" t="s">
        <v>1629</v>
      </c>
      <c r="F351" s="1" t="s">
        <v>747</v>
      </c>
      <c r="G351" s="1" t="s">
        <v>1981</v>
      </c>
      <c r="H351" s="10">
        <v>0</v>
      </c>
      <c r="I351" s="23"/>
      <c r="J351" s="10">
        <v>3580</v>
      </c>
      <c r="K351" s="1" t="s">
        <v>103</v>
      </c>
      <c r="L351" t="s">
        <v>980</v>
      </c>
      <c r="M351">
        <v>4</v>
      </c>
      <c r="N351" t="str">
        <f>""</f>
        <v/>
      </c>
      <c r="O351" t="str">
        <f>""</f>
        <v/>
      </c>
      <c r="P351" t="str">
        <f>""</f>
        <v/>
      </c>
      <c r="Q351" t="str">
        <f>""</f>
        <v/>
      </c>
      <c r="R351" t="str">
        <f>""</f>
        <v/>
      </c>
      <c r="S351" t="str">
        <f>""</f>
        <v/>
      </c>
      <c r="T351" t="str">
        <f>""</f>
        <v/>
      </c>
      <c r="W351" t="str">
        <f>""</f>
        <v/>
      </c>
    </row>
    <row r="352" spans="1:23" ht="60" x14ac:dyDescent="0.25">
      <c r="A352" s="1">
        <f t="shared" si="5"/>
        <v>351</v>
      </c>
      <c r="B352" s="10">
        <v>731</v>
      </c>
      <c r="D352" s="10" t="s">
        <v>1632</v>
      </c>
      <c r="H352" s="10" t="s">
        <v>1982</v>
      </c>
      <c r="I352" s="23"/>
      <c r="J352" s="10">
        <v>3830</v>
      </c>
      <c r="K352" s="1" t="s">
        <v>371</v>
      </c>
      <c r="L352" t="s">
        <v>1983</v>
      </c>
      <c r="M352">
        <v>5</v>
      </c>
      <c r="N352" t="str">
        <f>""</f>
        <v/>
      </c>
      <c r="O352" t="str">
        <f>""</f>
        <v/>
      </c>
      <c r="P352" t="str">
        <f>""</f>
        <v/>
      </c>
      <c r="Q352" t="str">
        <f>""</f>
        <v/>
      </c>
      <c r="R352" t="str">
        <f>""</f>
        <v/>
      </c>
      <c r="S352" t="str">
        <f>""</f>
        <v/>
      </c>
      <c r="T352" t="str">
        <f>""</f>
        <v/>
      </c>
      <c r="W352" t="str">
        <f>""</f>
        <v/>
      </c>
    </row>
    <row r="353" spans="1:23" ht="60" x14ac:dyDescent="0.25">
      <c r="A353" s="1">
        <f t="shared" si="5"/>
        <v>352</v>
      </c>
      <c r="B353" s="10">
        <v>766</v>
      </c>
      <c r="D353" s="10" t="s">
        <v>1634</v>
      </c>
      <c r="H353" s="10" t="s">
        <v>1984</v>
      </c>
      <c r="I353" s="23"/>
      <c r="J353" s="10">
        <v>3842</v>
      </c>
      <c r="K353" s="1" t="s">
        <v>563</v>
      </c>
      <c r="L353" t="s">
        <v>150</v>
      </c>
      <c r="M353">
        <v>32</v>
      </c>
      <c r="N353" t="str">
        <f>""</f>
        <v/>
      </c>
      <c r="O353" t="str">
        <f>""</f>
        <v/>
      </c>
      <c r="P353" t="str">
        <f>""</f>
        <v/>
      </c>
      <c r="Q353" t="str">
        <f>""</f>
        <v/>
      </c>
      <c r="R353" t="str">
        <f>""</f>
        <v/>
      </c>
      <c r="S353" t="str">
        <f>""</f>
        <v/>
      </c>
      <c r="T353" t="str">
        <f>""</f>
        <v/>
      </c>
      <c r="W353" t="str">
        <f>""</f>
        <v/>
      </c>
    </row>
    <row r="354" spans="1:23" ht="45" x14ac:dyDescent="0.25">
      <c r="A354" s="1">
        <f t="shared" si="5"/>
        <v>353</v>
      </c>
      <c r="B354" s="10">
        <v>765</v>
      </c>
      <c r="D354" s="10" t="s">
        <v>1636</v>
      </c>
      <c r="H354" s="10" t="s">
        <v>1985</v>
      </c>
      <c r="I354" s="23"/>
      <c r="J354" s="10">
        <v>3902</v>
      </c>
      <c r="K354" s="1" t="s">
        <v>344</v>
      </c>
      <c r="L354" t="s">
        <v>411</v>
      </c>
      <c r="M354">
        <v>16</v>
      </c>
      <c r="N354" t="str">
        <f>""</f>
        <v/>
      </c>
      <c r="O354" t="str">
        <f>""</f>
        <v/>
      </c>
      <c r="P354" t="str">
        <f>""</f>
        <v/>
      </c>
      <c r="Q354" t="str">
        <f>""</f>
        <v/>
      </c>
      <c r="R354" t="str">
        <f>""</f>
        <v/>
      </c>
      <c r="S354" t="str">
        <f>""</f>
        <v/>
      </c>
      <c r="T354" t="str">
        <f>""</f>
        <v/>
      </c>
      <c r="W354" t="str">
        <f>""</f>
        <v/>
      </c>
    </row>
    <row r="355" spans="1:23" ht="45" x14ac:dyDescent="0.25">
      <c r="A355" s="1">
        <f t="shared" si="5"/>
        <v>354</v>
      </c>
      <c r="B355" s="10">
        <v>763</v>
      </c>
      <c r="D355" s="10" t="s">
        <v>1638</v>
      </c>
      <c r="H355" s="10" t="s">
        <v>1986</v>
      </c>
      <c r="I355" s="23"/>
      <c r="J355" s="10">
        <v>3822</v>
      </c>
      <c r="K355" s="1" t="s">
        <v>865</v>
      </c>
      <c r="L355" t="s">
        <v>150</v>
      </c>
      <c r="M355">
        <v>12</v>
      </c>
      <c r="N355" t="str">
        <f>""</f>
        <v/>
      </c>
      <c r="O355" t="str">
        <f>""</f>
        <v/>
      </c>
      <c r="P355" t="str">
        <f>""</f>
        <v/>
      </c>
      <c r="Q355" t="str">
        <f>""</f>
        <v/>
      </c>
      <c r="R355" t="str">
        <f>""</f>
        <v/>
      </c>
      <c r="S355" t="str">
        <f>""</f>
        <v/>
      </c>
      <c r="T355" t="str">
        <f>""</f>
        <v/>
      </c>
      <c r="W355" t="str">
        <f>""</f>
        <v/>
      </c>
    </row>
    <row r="356" spans="1:23" ht="30" x14ac:dyDescent="0.25">
      <c r="A356" s="1">
        <f t="shared" si="5"/>
        <v>355</v>
      </c>
      <c r="B356" s="10">
        <v>760</v>
      </c>
      <c r="D356" s="10" t="s">
        <v>1640</v>
      </c>
      <c r="H356" s="10" t="s">
        <v>1987</v>
      </c>
      <c r="I356" s="23"/>
      <c r="J356" s="10">
        <v>3841</v>
      </c>
      <c r="K356" s="1" t="s">
        <v>1988</v>
      </c>
      <c r="L356" t="s">
        <v>212</v>
      </c>
      <c r="M356">
        <v>4</v>
      </c>
      <c r="N356" t="str">
        <f>""</f>
        <v/>
      </c>
      <c r="O356" t="str">
        <f>""</f>
        <v/>
      </c>
      <c r="P356" t="str">
        <f>""</f>
        <v/>
      </c>
      <c r="Q356" t="str">
        <f>""</f>
        <v/>
      </c>
      <c r="R356" t="str">
        <f>""</f>
        <v/>
      </c>
      <c r="S356" t="str">
        <f>""</f>
        <v/>
      </c>
      <c r="T356" t="str">
        <f>""</f>
        <v/>
      </c>
      <c r="W356" t="str">
        <f>""</f>
        <v/>
      </c>
    </row>
    <row r="357" spans="1:23" ht="30" x14ac:dyDescent="0.25">
      <c r="A357" s="1">
        <f t="shared" si="5"/>
        <v>356</v>
      </c>
      <c r="B357" s="10">
        <v>758</v>
      </c>
      <c r="D357" s="10" t="s">
        <v>1643</v>
      </c>
      <c r="H357" s="10" t="s">
        <v>1989</v>
      </c>
      <c r="I357" s="23"/>
      <c r="J357" s="10">
        <v>3842</v>
      </c>
      <c r="K357" s="1" t="s">
        <v>563</v>
      </c>
      <c r="L357" t="s">
        <v>150</v>
      </c>
      <c r="M357">
        <v>10</v>
      </c>
      <c r="N357" t="str">
        <f>""</f>
        <v/>
      </c>
      <c r="O357" t="str">
        <f>""</f>
        <v/>
      </c>
      <c r="P357" t="str">
        <f>""</f>
        <v/>
      </c>
      <c r="Q357" t="str">
        <f>""</f>
        <v/>
      </c>
      <c r="R357" t="str">
        <f>""</f>
        <v/>
      </c>
      <c r="S357" t="str">
        <f>""</f>
        <v/>
      </c>
      <c r="T357" t="str">
        <f>""</f>
        <v/>
      </c>
      <c r="W357" t="str">
        <f>""</f>
        <v/>
      </c>
    </row>
    <row r="358" spans="1:23" ht="60" x14ac:dyDescent="0.25">
      <c r="A358" s="1">
        <f t="shared" si="5"/>
        <v>357</v>
      </c>
      <c r="B358" s="10">
        <v>735</v>
      </c>
      <c r="D358" s="10" t="s">
        <v>1645</v>
      </c>
      <c r="F358" s="1" t="s">
        <v>1866</v>
      </c>
      <c r="G358" s="1" t="s">
        <v>1990</v>
      </c>
      <c r="H358" s="10" t="s">
        <v>1991</v>
      </c>
      <c r="I358" s="23"/>
      <c r="J358" s="10">
        <v>3580</v>
      </c>
      <c r="K358" s="1" t="s">
        <v>103</v>
      </c>
      <c r="L358" t="s">
        <v>980</v>
      </c>
      <c r="M358">
        <v>4</v>
      </c>
      <c r="N358" t="str">
        <f>""</f>
        <v/>
      </c>
      <c r="O358" t="str">
        <f>""</f>
        <v/>
      </c>
      <c r="P358" t="str">
        <f>""</f>
        <v/>
      </c>
      <c r="Q358" t="str">
        <f>""</f>
        <v/>
      </c>
      <c r="R358" t="str">
        <f>""</f>
        <v/>
      </c>
      <c r="S358" t="str">
        <f>""</f>
        <v/>
      </c>
      <c r="T358" t="str">
        <f>""</f>
        <v/>
      </c>
      <c r="W358" t="str">
        <f>""</f>
        <v/>
      </c>
    </row>
    <row r="359" spans="1:23" ht="60" x14ac:dyDescent="0.25">
      <c r="A359" s="1">
        <f t="shared" si="5"/>
        <v>358</v>
      </c>
      <c r="B359" s="10">
        <v>737</v>
      </c>
      <c r="D359" s="10" t="s">
        <v>1647</v>
      </c>
      <c r="H359" s="10">
        <v>0</v>
      </c>
      <c r="I359" s="23"/>
      <c r="J359" s="10">
        <v>3812</v>
      </c>
      <c r="K359" s="1" t="s">
        <v>1992</v>
      </c>
      <c r="L359" t="s">
        <v>1992</v>
      </c>
      <c r="M359">
        <v>34</v>
      </c>
      <c r="N359" t="str">
        <f>""</f>
        <v/>
      </c>
      <c r="O359" t="str">
        <f>""</f>
        <v/>
      </c>
      <c r="P359" t="str">
        <f>""</f>
        <v/>
      </c>
      <c r="Q359" t="str">
        <f>""</f>
        <v/>
      </c>
      <c r="R359" t="str">
        <f>""</f>
        <v/>
      </c>
      <c r="S359" t="str">
        <f>""</f>
        <v/>
      </c>
      <c r="T359" t="str">
        <f>""</f>
        <v/>
      </c>
      <c r="W359" t="str">
        <f>""</f>
        <v/>
      </c>
    </row>
    <row r="360" spans="1:23" ht="75" x14ac:dyDescent="0.25">
      <c r="A360" s="1">
        <f t="shared" si="5"/>
        <v>359</v>
      </c>
      <c r="B360" s="10">
        <v>738</v>
      </c>
      <c r="D360" s="10" t="s">
        <v>1649</v>
      </c>
      <c r="H360" s="10">
        <v>0</v>
      </c>
      <c r="I360" s="23"/>
      <c r="J360" s="10">
        <v>3820</v>
      </c>
      <c r="K360" s="1" t="s">
        <v>467</v>
      </c>
      <c r="L360" t="s">
        <v>150</v>
      </c>
      <c r="M360">
        <v>25</v>
      </c>
      <c r="N360" t="str">
        <f>""</f>
        <v/>
      </c>
      <c r="O360" t="str">
        <f>""</f>
        <v/>
      </c>
      <c r="P360" t="str">
        <f>""</f>
        <v/>
      </c>
      <c r="Q360" t="str">
        <f>""</f>
        <v/>
      </c>
      <c r="R360" t="str">
        <f>""</f>
        <v/>
      </c>
      <c r="S360" t="str">
        <f>""</f>
        <v/>
      </c>
      <c r="T360" t="str">
        <f>""</f>
        <v/>
      </c>
      <c r="W360" t="str">
        <f>""</f>
        <v/>
      </c>
    </row>
    <row r="361" spans="1:23" ht="75" x14ac:dyDescent="0.25">
      <c r="A361" s="1">
        <f t="shared" si="5"/>
        <v>360</v>
      </c>
      <c r="B361" s="10">
        <v>746</v>
      </c>
      <c r="D361" s="10" t="s">
        <v>1651</v>
      </c>
      <c r="H361" s="10">
        <v>0</v>
      </c>
      <c r="I361" s="23"/>
      <c r="J361" s="10">
        <v>3852</v>
      </c>
      <c r="K361" s="1" t="s">
        <v>379</v>
      </c>
      <c r="L361" t="s">
        <v>150</v>
      </c>
      <c r="M361">
        <v>19</v>
      </c>
      <c r="N361" t="str">
        <f>""</f>
        <v/>
      </c>
      <c r="O361" t="str">
        <f>""</f>
        <v/>
      </c>
      <c r="P361" t="str">
        <f>""</f>
        <v/>
      </c>
      <c r="Q361" t="str">
        <f>""</f>
        <v/>
      </c>
      <c r="R361" t="str">
        <f>""</f>
        <v/>
      </c>
      <c r="S361" t="str">
        <f>""</f>
        <v/>
      </c>
      <c r="T361" t="str">
        <f>""</f>
        <v/>
      </c>
      <c r="W361" t="str">
        <f>""</f>
        <v/>
      </c>
    </row>
    <row r="362" spans="1:23" x14ac:dyDescent="0.25">
      <c r="B362" s="10" t="s">
        <v>1998</v>
      </c>
      <c r="D362" s="10" t="s">
        <v>1999</v>
      </c>
      <c r="E362" s="10" t="s">
        <v>1999</v>
      </c>
      <c r="F362" s="1" t="s">
        <v>1999</v>
      </c>
      <c r="G362" s="1" t="s">
        <v>1999</v>
      </c>
      <c r="I362" s="23"/>
      <c r="N362" t="str">
        <f>""</f>
        <v/>
      </c>
      <c r="O362" t="str">
        <f>""</f>
        <v/>
      </c>
      <c r="P362" t="str">
        <f>""</f>
        <v/>
      </c>
      <c r="Q362" t="str">
        <f>""</f>
        <v/>
      </c>
      <c r="R362" t="str">
        <f>""</f>
        <v/>
      </c>
      <c r="S362" t="str">
        <f>""</f>
        <v/>
      </c>
      <c r="T362" t="str">
        <f>""</f>
        <v/>
      </c>
      <c r="W362" t="str">
        <f>""</f>
        <v/>
      </c>
    </row>
    <row r="363" spans="1:23" x14ac:dyDescent="0.25">
      <c r="A363"/>
      <c r="B363"/>
      <c r="C363"/>
      <c r="D363"/>
      <c r="E363"/>
      <c r="F363"/>
      <c r="G363"/>
      <c r="H363"/>
      <c r="I363"/>
      <c r="J363"/>
      <c r="K363"/>
    </row>
    <row r="364" spans="1:23" x14ac:dyDescent="0.25">
      <c r="A364"/>
      <c r="B364"/>
      <c r="C364"/>
      <c r="D364"/>
      <c r="E364"/>
      <c r="F364"/>
      <c r="G364"/>
      <c r="H364"/>
      <c r="I364"/>
      <c r="J364"/>
      <c r="K364"/>
    </row>
    <row r="365" spans="1:23" x14ac:dyDescent="0.25">
      <c r="A365"/>
      <c r="B365"/>
      <c r="C365"/>
      <c r="D365"/>
      <c r="E365"/>
      <c r="F365"/>
      <c r="G365"/>
      <c r="H365"/>
      <c r="I365"/>
      <c r="J365"/>
      <c r="K365"/>
    </row>
    <row r="366" spans="1:23" x14ac:dyDescent="0.25">
      <c r="A366"/>
      <c r="B366"/>
      <c r="C366"/>
      <c r="D366"/>
      <c r="E366"/>
      <c r="F366"/>
      <c r="G366"/>
      <c r="H366"/>
      <c r="I366"/>
      <c r="J366"/>
      <c r="K366"/>
    </row>
    <row r="367" spans="1:23" x14ac:dyDescent="0.25">
      <c r="A367"/>
      <c r="B367"/>
      <c r="C367"/>
      <c r="D367"/>
      <c r="E367"/>
      <c r="F367"/>
      <c r="G367"/>
      <c r="H367"/>
      <c r="I367"/>
      <c r="J367"/>
      <c r="K367"/>
    </row>
    <row r="368" spans="1:23" x14ac:dyDescent="0.25">
      <c r="A368"/>
      <c r="B368"/>
      <c r="C368"/>
      <c r="D368"/>
      <c r="E368"/>
      <c r="F368"/>
      <c r="G368"/>
      <c r="H368"/>
      <c r="I368"/>
      <c r="J368"/>
      <c r="K368"/>
    </row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</sheetData>
  <phoneticPr fontId="7" type="noConversion"/>
  <conditionalFormatting sqref="B2:B362">
    <cfRule type="duplicateValues" dxfId="36" priority="2"/>
  </conditionalFormatting>
  <conditionalFormatting sqref="E1:E1048576">
    <cfRule type="duplicateValues" dxfId="35" priority="1"/>
  </conditionalFormatting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A75CE-CC7A-48BB-9D8C-FE45BEE89A3D}">
  <sheetPr codeName="Tabelle3"/>
  <dimension ref="A1:AK868"/>
  <sheetViews>
    <sheetView tabSelected="1" topLeftCell="A837" zoomScaleNormal="100" workbookViewId="0">
      <selection activeCell="A868" sqref="A868"/>
    </sheetView>
  </sheetViews>
  <sheetFormatPr baseColWidth="10" defaultRowHeight="15" x14ac:dyDescent="0.25"/>
  <cols>
    <col min="1" max="1" width="11.42578125" customWidth="1"/>
    <col min="2" max="3" width="26.42578125" customWidth="1"/>
    <col min="4" max="4" width="17.28515625" bestFit="1" customWidth="1"/>
    <col min="5" max="6" width="17.28515625" customWidth="1"/>
    <col min="7" max="7" width="10.5703125" bestFit="1" customWidth="1"/>
    <col min="8" max="8" width="17.42578125" bestFit="1" customWidth="1"/>
    <col min="9" max="9" width="19.28515625" bestFit="1" customWidth="1"/>
    <col min="10" max="10" width="15" bestFit="1" customWidth="1"/>
    <col min="11" max="11" width="8.7109375" bestFit="1" customWidth="1"/>
    <col min="12" max="12" width="11.85546875" bestFit="1" customWidth="1"/>
    <col min="13" max="13" width="19.7109375" bestFit="1" customWidth="1"/>
    <col min="14" max="16" width="19.7109375" customWidth="1"/>
    <col min="17" max="17" width="18.28515625" bestFit="1" customWidth="1"/>
    <col min="18" max="18" width="13.42578125" bestFit="1" customWidth="1"/>
    <col min="19" max="25" width="13.42578125" customWidth="1"/>
    <col min="26" max="26" width="15.7109375" bestFit="1" customWidth="1"/>
    <col min="27" max="27" width="10.85546875" bestFit="1" customWidth="1"/>
    <col min="28" max="28" width="14.7109375" bestFit="1" customWidth="1"/>
    <col min="29" max="29" width="20.140625" bestFit="1" customWidth="1"/>
    <col min="30" max="30" width="25.28515625" bestFit="1" customWidth="1"/>
    <col min="31" max="31" width="20.7109375" bestFit="1" customWidth="1"/>
    <col min="32" max="32" width="24.7109375" bestFit="1" customWidth="1"/>
    <col min="33" max="33" width="23" bestFit="1" customWidth="1"/>
    <col min="34" max="34" width="25.85546875" bestFit="1" customWidth="1"/>
    <col min="35" max="35" width="19.28515625" bestFit="1" customWidth="1"/>
    <col min="36" max="36" width="30.7109375" bestFit="1" customWidth="1"/>
    <col min="37" max="37" width="10.28515625" bestFit="1" customWidth="1"/>
  </cols>
  <sheetData>
    <row r="1" spans="1:37" s="1" customFormat="1" ht="44.45" customHeight="1" x14ac:dyDescent="0.25">
      <c r="A1" s="20" t="s">
        <v>1228</v>
      </c>
      <c r="B1" s="20" t="s">
        <v>1227</v>
      </c>
      <c r="C1" s="20" t="s">
        <v>31</v>
      </c>
      <c r="D1" s="20" t="s">
        <v>116</v>
      </c>
      <c r="E1" s="20" t="s">
        <v>36</v>
      </c>
      <c r="F1" s="20" t="s">
        <v>49</v>
      </c>
      <c r="G1" s="20" t="s">
        <v>54</v>
      </c>
      <c r="H1" s="20" t="s">
        <v>37</v>
      </c>
      <c r="I1" s="20" t="s">
        <v>38</v>
      </c>
      <c r="J1" s="20" t="s">
        <v>39</v>
      </c>
      <c r="K1" s="20" t="s">
        <v>40</v>
      </c>
      <c r="L1" s="20" t="s">
        <v>53</v>
      </c>
      <c r="M1" s="20" t="s">
        <v>50</v>
      </c>
      <c r="N1" s="20" t="s">
        <v>52</v>
      </c>
      <c r="O1" s="20" t="s">
        <v>1284</v>
      </c>
      <c r="P1" s="20" t="s">
        <v>63</v>
      </c>
      <c r="Q1" s="20" t="s">
        <v>1037</v>
      </c>
      <c r="R1" s="20" t="s">
        <v>51</v>
      </c>
      <c r="S1" s="20" t="s">
        <v>1038</v>
      </c>
      <c r="T1" s="20" t="s">
        <v>1039</v>
      </c>
      <c r="U1" s="20" t="s">
        <v>1040</v>
      </c>
      <c r="V1" s="20" t="s">
        <v>1041</v>
      </c>
      <c r="W1" s="20" t="s">
        <v>1042</v>
      </c>
      <c r="X1" s="20" t="s">
        <v>1043</v>
      </c>
      <c r="Y1" s="20" t="s">
        <v>1044</v>
      </c>
      <c r="Z1" s="20" t="s">
        <v>56</v>
      </c>
      <c r="AA1" s="20" t="s">
        <v>57</v>
      </c>
      <c r="AB1" s="20" t="s">
        <v>58</v>
      </c>
      <c r="AC1" s="20" t="s">
        <v>55</v>
      </c>
      <c r="AD1" s="20" t="s">
        <v>59</v>
      </c>
      <c r="AE1" s="20" t="s">
        <v>60</v>
      </c>
      <c r="AF1" s="20" t="s">
        <v>61</v>
      </c>
      <c r="AG1" s="20" t="s">
        <v>62</v>
      </c>
      <c r="AH1" s="20" t="s">
        <v>64</v>
      </c>
      <c r="AI1" s="20" t="s">
        <v>65</v>
      </c>
      <c r="AJ1" s="20" t="s">
        <v>66</v>
      </c>
      <c r="AK1" s="20" t="s">
        <v>47</v>
      </c>
    </row>
    <row r="2" spans="1:37" x14ac:dyDescent="0.25">
      <c r="A2">
        <f t="shared" ref="A2:A65" si="0">ROW(A2)-1</f>
        <v>1</v>
      </c>
      <c r="B2">
        <v>4</v>
      </c>
      <c r="C2">
        <v>836</v>
      </c>
      <c r="D2" t="s">
        <v>119</v>
      </c>
      <c r="E2" t="s">
        <v>120</v>
      </c>
      <c r="F2" t="s">
        <v>1045</v>
      </c>
      <c r="G2" t="s">
        <v>1285</v>
      </c>
      <c r="M2">
        <v>2025</v>
      </c>
      <c r="N2">
        <v>2025</v>
      </c>
      <c r="O2" t="s">
        <v>1118</v>
      </c>
      <c r="S2">
        <v>787</v>
      </c>
      <c r="W2" s="21"/>
      <c r="X2">
        <v>16674</v>
      </c>
      <c r="Y2" s="21">
        <v>133340</v>
      </c>
    </row>
    <row r="3" spans="1:37" x14ac:dyDescent="0.25">
      <c r="A3">
        <f t="shared" si="0"/>
        <v>2</v>
      </c>
      <c r="B3">
        <v>5</v>
      </c>
      <c r="C3">
        <v>609</v>
      </c>
      <c r="D3" t="s">
        <v>127</v>
      </c>
      <c r="E3" t="s">
        <v>128</v>
      </c>
      <c r="F3" t="s">
        <v>1047</v>
      </c>
      <c r="G3" t="s">
        <v>1285</v>
      </c>
      <c r="H3" t="s">
        <v>1048</v>
      </c>
      <c r="I3" t="s">
        <v>133</v>
      </c>
      <c r="J3" t="s">
        <v>1049</v>
      </c>
      <c r="K3" t="s">
        <v>1050</v>
      </c>
      <c r="M3">
        <v>2016</v>
      </c>
      <c r="N3">
        <v>2023</v>
      </c>
      <c r="O3" t="s">
        <v>1281</v>
      </c>
      <c r="S3">
        <v>5700</v>
      </c>
      <c r="W3" s="21"/>
      <c r="X3">
        <v>90000</v>
      </c>
      <c r="AK3" t="s">
        <v>1278</v>
      </c>
    </row>
    <row r="4" spans="1:37" x14ac:dyDescent="0.25">
      <c r="A4">
        <f t="shared" si="0"/>
        <v>3</v>
      </c>
      <c r="B4">
        <v>6</v>
      </c>
      <c r="C4">
        <v>1106</v>
      </c>
      <c r="D4" t="s">
        <v>135</v>
      </c>
      <c r="E4" t="s">
        <v>136</v>
      </c>
      <c r="F4" t="s">
        <v>1051</v>
      </c>
      <c r="G4" t="s">
        <v>1285</v>
      </c>
      <c r="I4" t="s">
        <v>141</v>
      </c>
      <c r="N4">
        <v>2025</v>
      </c>
      <c r="O4" t="s">
        <v>1126</v>
      </c>
      <c r="S4">
        <v>530</v>
      </c>
      <c r="V4">
        <v>18907</v>
      </c>
      <c r="W4" s="21"/>
      <c r="X4">
        <v>12500</v>
      </c>
    </row>
    <row r="5" spans="1:37" x14ac:dyDescent="0.25">
      <c r="A5">
        <f t="shared" si="0"/>
        <v>4</v>
      </c>
      <c r="B5">
        <v>7</v>
      </c>
      <c r="C5">
        <v>3148</v>
      </c>
      <c r="D5" t="s">
        <v>143</v>
      </c>
      <c r="E5" t="s">
        <v>144</v>
      </c>
      <c r="F5" t="s">
        <v>1052</v>
      </c>
      <c r="G5" t="s">
        <v>1285</v>
      </c>
      <c r="N5">
        <v>2024</v>
      </c>
      <c r="O5" t="s">
        <v>1104</v>
      </c>
      <c r="W5" s="21"/>
    </row>
    <row r="6" spans="1:37" x14ac:dyDescent="0.25">
      <c r="A6">
        <f t="shared" si="0"/>
        <v>5</v>
      </c>
      <c r="B6">
        <v>8</v>
      </c>
      <c r="C6">
        <v>3151</v>
      </c>
      <c r="D6" t="s">
        <v>151</v>
      </c>
      <c r="E6" t="s">
        <v>152</v>
      </c>
      <c r="F6" t="s">
        <v>1053</v>
      </c>
      <c r="G6" t="s">
        <v>1285</v>
      </c>
      <c r="N6">
        <v>2025</v>
      </c>
      <c r="O6" t="s">
        <v>1118</v>
      </c>
      <c r="W6" s="21"/>
      <c r="X6">
        <v>232000</v>
      </c>
    </row>
    <row r="7" spans="1:37" x14ac:dyDescent="0.25">
      <c r="A7">
        <f t="shared" si="0"/>
        <v>6</v>
      </c>
      <c r="B7">
        <v>9</v>
      </c>
      <c r="C7">
        <v>1115</v>
      </c>
      <c r="D7" t="s">
        <v>158</v>
      </c>
      <c r="E7" t="s">
        <v>159</v>
      </c>
      <c r="F7" t="s">
        <v>1054</v>
      </c>
      <c r="G7" t="s">
        <v>1285</v>
      </c>
      <c r="N7">
        <v>2024</v>
      </c>
      <c r="W7" s="21"/>
    </row>
    <row r="8" spans="1:37" x14ac:dyDescent="0.25">
      <c r="A8">
        <f t="shared" si="0"/>
        <v>7</v>
      </c>
      <c r="B8">
        <v>10</v>
      </c>
      <c r="C8">
        <v>1118</v>
      </c>
      <c r="D8" t="s">
        <v>165</v>
      </c>
      <c r="E8" t="s">
        <v>166</v>
      </c>
      <c r="F8" t="s">
        <v>1055</v>
      </c>
      <c r="G8" t="s">
        <v>1285</v>
      </c>
      <c r="N8">
        <v>2024</v>
      </c>
      <c r="W8" s="21"/>
    </row>
    <row r="9" spans="1:37" x14ac:dyDescent="0.25">
      <c r="A9">
        <f t="shared" si="0"/>
        <v>8</v>
      </c>
      <c r="B9">
        <v>11</v>
      </c>
      <c r="C9">
        <v>350</v>
      </c>
      <c r="D9" t="s">
        <v>173</v>
      </c>
      <c r="E9" t="s">
        <v>174</v>
      </c>
      <c r="F9" t="s">
        <v>1056</v>
      </c>
      <c r="G9" t="s">
        <v>1285</v>
      </c>
      <c r="I9" t="s">
        <v>179</v>
      </c>
      <c r="M9">
        <v>1957</v>
      </c>
      <c r="N9">
        <v>2014</v>
      </c>
      <c r="O9" t="s">
        <v>1118</v>
      </c>
      <c r="S9">
        <v>355</v>
      </c>
      <c r="V9">
        <v>48000</v>
      </c>
      <c r="W9" s="21"/>
      <c r="X9">
        <v>17800</v>
      </c>
    </row>
    <row r="10" spans="1:37" x14ac:dyDescent="0.25">
      <c r="A10">
        <f t="shared" si="0"/>
        <v>9</v>
      </c>
      <c r="B10">
        <v>12</v>
      </c>
      <c r="C10">
        <v>3156</v>
      </c>
      <c r="D10" t="s">
        <v>181</v>
      </c>
      <c r="E10" t="s">
        <v>182</v>
      </c>
      <c r="F10" t="s">
        <v>1057</v>
      </c>
      <c r="G10" t="s">
        <v>1285</v>
      </c>
      <c r="N10">
        <v>2025</v>
      </c>
      <c r="S10">
        <v>9000</v>
      </c>
      <c r="W10" s="21"/>
    </row>
    <row r="11" spans="1:37" x14ac:dyDescent="0.25">
      <c r="A11">
        <f t="shared" si="0"/>
        <v>10</v>
      </c>
      <c r="B11">
        <v>13</v>
      </c>
      <c r="C11">
        <v>1126</v>
      </c>
      <c r="D11" t="s">
        <v>189</v>
      </c>
      <c r="E11" t="s">
        <v>190</v>
      </c>
      <c r="F11" t="s">
        <v>1058</v>
      </c>
      <c r="G11" t="s">
        <v>1285</v>
      </c>
      <c r="N11">
        <v>2024</v>
      </c>
      <c r="W11" s="21"/>
    </row>
    <row r="12" spans="1:37" x14ac:dyDescent="0.25">
      <c r="A12">
        <f t="shared" si="0"/>
        <v>11</v>
      </c>
      <c r="B12">
        <v>14</v>
      </c>
      <c r="C12">
        <v>630</v>
      </c>
      <c r="D12" t="s">
        <v>192</v>
      </c>
      <c r="E12" t="s">
        <v>193</v>
      </c>
      <c r="F12" t="s">
        <v>1056</v>
      </c>
      <c r="G12" t="s">
        <v>1285</v>
      </c>
      <c r="H12" t="s">
        <v>1059</v>
      </c>
      <c r="I12" t="s">
        <v>198</v>
      </c>
      <c r="J12" t="s">
        <v>199</v>
      </c>
      <c r="K12" t="s">
        <v>1060</v>
      </c>
      <c r="M12">
        <v>1900</v>
      </c>
      <c r="N12">
        <v>2025</v>
      </c>
      <c r="O12" t="s">
        <v>1118</v>
      </c>
      <c r="S12">
        <v>622</v>
      </c>
      <c r="W12" s="21"/>
      <c r="X12">
        <v>33200</v>
      </c>
    </row>
    <row r="13" spans="1:37" x14ac:dyDescent="0.25">
      <c r="A13">
        <f>ROW(A13)-1</f>
        <v>12</v>
      </c>
      <c r="B13">
        <v>15</v>
      </c>
      <c r="C13">
        <v>1131</v>
      </c>
      <c r="D13" t="s">
        <v>189</v>
      </c>
      <c r="E13" t="s">
        <v>200</v>
      </c>
      <c r="F13" t="s">
        <v>1061</v>
      </c>
      <c r="G13" t="s">
        <v>1285</v>
      </c>
      <c r="N13">
        <v>2025</v>
      </c>
      <c r="W13" s="21"/>
    </row>
    <row r="14" spans="1:37" x14ac:dyDescent="0.25">
      <c r="A14">
        <f t="shared" si="0"/>
        <v>13</v>
      </c>
      <c r="B14">
        <v>16</v>
      </c>
      <c r="C14">
        <v>3117</v>
      </c>
      <c r="D14" t="s">
        <v>207</v>
      </c>
      <c r="E14" t="s">
        <v>208</v>
      </c>
      <c r="F14" t="s">
        <v>1062</v>
      </c>
      <c r="G14" t="s">
        <v>1285</v>
      </c>
      <c r="I14" t="s">
        <v>211</v>
      </c>
      <c r="N14">
        <v>2022</v>
      </c>
      <c r="O14" t="s">
        <v>1277</v>
      </c>
      <c r="S14">
        <v>832</v>
      </c>
      <c r="W14" s="21"/>
      <c r="X14">
        <v>17645</v>
      </c>
    </row>
    <row r="15" spans="1:37" x14ac:dyDescent="0.25">
      <c r="A15">
        <f t="shared" si="0"/>
        <v>14</v>
      </c>
      <c r="B15">
        <v>17</v>
      </c>
      <c r="C15">
        <v>3169</v>
      </c>
      <c r="D15" t="s">
        <v>213</v>
      </c>
      <c r="E15" t="s">
        <v>214</v>
      </c>
      <c r="F15" t="s">
        <v>1064</v>
      </c>
      <c r="G15" t="s">
        <v>1285</v>
      </c>
      <c r="H15" t="s">
        <v>1048</v>
      </c>
      <c r="I15" t="s">
        <v>218</v>
      </c>
      <c r="J15" t="s">
        <v>736</v>
      </c>
      <c r="K15" t="s">
        <v>1065</v>
      </c>
      <c r="M15">
        <v>1994</v>
      </c>
      <c r="N15">
        <v>2025</v>
      </c>
      <c r="O15" t="s">
        <v>1280</v>
      </c>
      <c r="W15" s="21"/>
    </row>
    <row r="16" spans="1:37" x14ac:dyDescent="0.25">
      <c r="A16">
        <f t="shared" si="0"/>
        <v>15</v>
      </c>
      <c r="B16">
        <v>18</v>
      </c>
      <c r="C16">
        <v>1128</v>
      </c>
      <c r="D16" t="s">
        <v>219</v>
      </c>
      <c r="E16" t="s">
        <v>220</v>
      </c>
      <c r="F16" t="s">
        <v>1067</v>
      </c>
      <c r="G16" t="s">
        <v>1285</v>
      </c>
      <c r="H16" t="s">
        <v>1068</v>
      </c>
      <c r="I16" t="s">
        <v>27</v>
      </c>
      <c r="J16" t="s">
        <v>1069</v>
      </c>
      <c r="K16" t="s">
        <v>1070</v>
      </c>
      <c r="M16">
        <v>1822</v>
      </c>
      <c r="N16">
        <v>2025</v>
      </c>
      <c r="W16" s="21"/>
    </row>
    <row r="17" spans="1:37" x14ac:dyDescent="0.25">
      <c r="A17">
        <f t="shared" si="0"/>
        <v>16</v>
      </c>
      <c r="B17">
        <v>19</v>
      </c>
      <c r="C17">
        <v>3069</v>
      </c>
      <c r="D17" t="s">
        <v>226</v>
      </c>
      <c r="E17" t="s">
        <v>227</v>
      </c>
      <c r="F17" t="s">
        <v>1071</v>
      </c>
      <c r="G17" t="s">
        <v>1285</v>
      </c>
      <c r="H17" t="s">
        <v>1048</v>
      </c>
      <c r="I17" t="s">
        <v>231</v>
      </c>
      <c r="N17">
        <v>2020</v>
      </c>
      <c r="O17" t="s">
        <v>1104</v>
      </c>
      <c r="S17">
        <v>11000</v>
      </c>
      <c r="V17">
        <v>445480</v>
      </c>
      <c r="W17" s="21"/>
      <c r="X17">
        <v>1077119</v>
      </c>
    </row>
    <row r="18" spans="1:37" x14ac:dyDescent="0.25">
      <c r="A18">
        <f t="shared" si="0"/>
        <v>17</v>
      </c>
      <c r="B18">
        <v>20</v>
      </c>
      <c r="C18">
        <v>855</v>
      </c>
      <c r="E18" t="s">
        <v>233</v>
      </c>
      <c r="F18" t="s">
        <v>1072</v>
      </c>
      <c r="G18" t="s">
        <v>1285</v>
      </c>
      <c r="H18" t="s">
        <v>1073</v>
      </c>
      <c r="I18" t="s">
        <v>1074</v>
      </c>
      <c r="J18" t="s">
        <v>1075</v>
      </c>
      <c r="K18" t="s">
        <v>1076</v>
      </c>
      <c r="N18">
        <v>2025</v>
      </c>
      <c r="W18" s="21"/>
    </row>
    <row r="19" spans="1:37" x14ac:dyDescent="0.25">
      <c r="A19">
        <f t="shared" si="0"/>
        <v>18</v>
      </c>
      <c r="B19">
        <v>21</v>
      </c>
      <c r="C19">
        <v>304</v>
      </c>
      <c r="E19" t="s">
        <v>240</v>
      </c>
      <c r="G19" t="s">
        <v>1285</v>
      </c>
      <c r="I19" t="s">
        <v>125</v>
      </c>
      <c r="N19">
        <v>2011</v>
      </c>
      <c r="W19" s="21"/>
    </row>
    <row r="20" spans="1:37" x14ac:dyDescent="0.25">
      <c r="A20">
        <f t="shared" si="0"/>
        <v>19</v>
      </c>
      <c r="B20">
        <v>22</v>
      </c>
      <c r="C20">
        <v>321</v>
      </c>
      <c r="E20" t="s">
        <v>245</v>
      </c>
      <c r="G20" t="s">
        <v>1285</v>
      </c>
      <c r="I20" t="s">
        <v>1077</v>
      </c>
      <c r="N20">
        <v>2008</v>
      </c>
      <c r="W20" s="21"/>
    </row>
    <row r="21" spans="1:37" x14ac:dyDescent="0.25">
      <c r="A21">
        <f t="shared" si="0"/>
        <v>20</v>
      </c>
      <c r="B21">
        <v>23</v>
      </c>
      <c r="C21">
        <v>329</v>
      </c>
      <c r="E21" t="s">
        <v>252</v>
      </c>
      <c r="F21" t="s">
        <v>1078</v>
      </c>
      <c r="G21" t="s">
        <v>1285</v>
      </c>
      <c r="I21" t="s">
        <v>257</v>
      </c>
      <c r="N21">
        <v>2011</v>
      </c>
      <c r="W21" s="21"/>
      <c r="X21">
        <v>330500</v>
      </c>
    </row>
    <row r="22" spans="1:37" x14ac:dyDescent="0.25">
      <c r="A22">
        <f t="shared" si="0"/>
        <v>21</v>
      </c>
      <c r="B22">
        <v>24</v>
      </c>
      <c r="C22">
        <v>370</v>
      </c>
      <c r="E22" t="s">
        <v>259</v>
      </c>
      <c r="F22" t="s">
        <v>1079</v>
      </c>
      <c r="G22" t="s">
        <v>1285</v>
      </c>
      <c r="I22" t="s">
        <v>264</v>
      </c>
      <c r="N22">
        <v>2009</v>
      </c>
      <c r="W22" s="21"/>
    </row>
    <row r="23" spans="1:37" x14ac:dyDescent="0.25">
      <c r="A23">
        <f t="shared" si="0"/>
        <v>22</v>
      </c>
      <c r="B23">
        <v>25</v>
      </c>
      <c r="C23">
        <v>3051</v>
      </c>
      <c r="E23" t="s">
        <v>266</v>
      </c>
      <c r="F23" t="s">
        <v>1079</v>
      </c>
      <c r="G23" t="s">
        <v>1285</v>
      </c>
      <c r="I23" t="s">
        <v>271</v>
      </c>
      <c r="N23">
        <v>2020</v>
      </c>
      <c r="W23" s="21"/>
    </row>
    <row r="24" spans="1:37" x14ac:dyDescent="0.25">
      <c r="A24">
        <f t="shared" si="0"/>
        <v>23</v>
      </c>
      <c r="B24">
        <v>26</v>
      </c>
      <c r="D24" t="s">
        <v>272</v>
      </c>
      <c r="F24" t="s">
        <v>1080</v>
      </c>
      <c r="G24" t="s">
        <v>1285</v>
      </c>
      <c r="H24" t="s">
        <v>1081</v>
      </c>
      <c r="I24" t="s">
        <v>275</v>
      </c>
      <c r="J24" t="s">
        <v>276</v>
      </c>
      <c r="K24" t="s">
        <v>1082</v>
      </c>
      <c r="O24" t="s">
        <v>1277</v>
      </c>
      <c r="S24">
        <v>1820</v>
      </c>
      <c r="W24" s="21"/>
      <c r="X24">
        <v>540000</v>
      </c>
    </row>
    <row r="25" spans="1:37" x14ac:dyDescent="0.25">
      <c r="A25">
        <f t="shared" si="0"/>
        <v>24</v>
      </c>
      <c r="B25">
        <v>27</v>
      </c>
      <c r="C25">
        <v>837</v>
      </c>
      <c r="D25" t="s">
        <v>277</v>
      </c>
      <c r="E25" t="s">
        <v>278</v>
      </c>
      <c r="F25" t="s">
        <v>1079</v>
      </c>
      <c r="G25" t="s">
        <v>1285</v>
      </c>
      <c r="I25" t="s">
        <v>282</v>
      </c>
      <c r="J25" t="s">
        <v>283</v>
      </c>
      <c r="N25">
        <v>2022</v>
      </c>
      <c r="S25">
        <v>7000</v>
      </c>
      <c r="W25" s="21"/>
      <c r="X25">
        <v>4500000</v>
      </c>
    </row>
    <row r="26" spans="1:37" x14ac:dyDescent="0.25">
      <c r="A26">
        <f t="shared" si="0"/>
        <v>25</v>
      </c>
      <c r="B26">
        <v>28</v>
      </c>
      <c r="C26">
        <v>3124</v>
      </c>
      <c r="D26" t="s">
        <v>284</v>
      </c>
      <c r="E26" t="s">
        <v>285</v>
      </c>
      <c r="F26" t="s">
        <v>1079</v>
      </c>
      <c r="G26" t="s">
        <v>1285</v>
      </c>
      <c r="I26" t="s">
        <v>275</v>
      </c>
      <c r="N26">
        <v>2023</v>
      </c>
      <c r="S26">
        <v>896</v>
      </c>
      <c r="W26" s="21"/>
      <c r="X26">
        <v>18944</v>
      </c>
    </row>
    <row r="27" spans="1:37" x14ac:dyDescent="0.25">
      <c r="A27">
        <f t="shared" si="0"/>
        <v>26</v>
      </c>
      <c r="B27">
        <v>29</v>
      </c>
      <c r="C27">
        <v>3138</v>
      </c>
      <c r="D27" t="s">
        <v>291</v>
      </c>
      <c r="E27" t="s">
        <v>292</v>
      </c>
      <c r="F27" t="s">
        <v>1079</v>
      </c>
      <c r="G27" t="s">
        <v>1285</v>
      </c>
      <c r="I27" t="s">
        <v>275</v>
      </c>
      <c r="N27">
        <v>2024</v>
      </c>
      <c r="W27" s="21"/>
    </row>
    <row r="28" spans="1:37" x14ac:dyDescent="0.25">
      <c r="A28">
        <f t="shared" si="0"/>
        <v>27</v>
      </c>
      <c r="B28">
        <v>30</v>
      </c>
      <c r="C28">
        <v>3145</v>
      </c>
      <c r="D28" t="s">
        <v>298</v>
      </c>
      <c r="E28" t="s">
        <v>299</v>
      </c>
      <c r="F28" t="s">
        <v>1083</v>
      </c>
      <c r="G28" t="s">
        <v>1285</v>
      </c>
      <c r="I28" t="s">
        <v>275</v>
      </c>
      <c r="N28">
        <v>2024</v>
      </c>
      <c r="O28" t="s">
        <v>1277</v>
      </c>
      <c r="W28" s="21"/>
    </row>
    <row r="29" spans="1:37" x14ac:dyDescent="0.25">
      <c r="A29">
        <f t="shared" si="0"/>
        <v>28</v>
      </c>
      <c r="B29">
        <v>31</v>
      </c>
      <c r="C29">
        <v>1132</v>
      </c>
      <c r="E29" t="s">
        <v>305</v>
      </c>
      <c r="G29" t="s">
        <v>1285</v>
      </c>
      <c r="N29">
        <v>2025</v>
      </c>
      <c r="W29" s="21"/>
    </row>
    <row r="30" spans="1:37" x14ac:dyDescent="0.25">
      <c r="A30">
        <f t="shared" si="0"/>
        <v>29</v>
      </c>
      <c r="B30">
        <v>32</v>
      </c>
      <c r="C30">
        <v>337</v>
      </c>
      <c r="D30" t="s">
        <v>192</v>
      </c>
      <c r="E30" t="s">
        <v>311</v>
      </c>
      <c r="F30" t="s">
        <v>1084</v>
      </c>
      <c r="G30" t="s">
        <v>1285</v>
      </c>
      <c r="I30" t="s">
        <v>275</v>
      </c>
      <c r="M30">
        <v>1960</v>
      </c>
      <c r="N30">
        <v>2012</v>
      </c>
      <c r="O30" t="s">
        <v>1277</v>
      </c>
      <c r="S30">
        <v>12000</v>
      </c>
      <c r="T30">
        <v>0</v>
      </c>
      <c r="V30">
        <v>16246770</v>
      </c>
      <c r="W30" s="21">
        <v>0</v>
      </c>
      <c r="X30">
        <v>2016000</v>
      </c>
      <c r="Y30" s="21">
        <v>0</v>
      </c>
    </row>
    <row r="31" spans="1:37" x14ac:dyDescent="0.25">
      <c r="A31">
        <f t="shared" si="0"/>
        <v>30</v>
      </c>
      <c r="B31">
        <v>33</v>
      </c>
      <c r="C31">
        <v>3021</v>
      </c>
      <c r="D31" t="s">
        <v>313</v>
      </c>
      <c r="E31" t="s">
        <v>314</v>
      </c>
      <c r="F31" t="s">
        <v>1085</v>
      </c>
      <c r="G31" t="s">
        <v>1285</v>
      </c>
      <c r="I31" t="s">
        <v>319</v>
      </c>
      <c r="M31">
        <v>1700</v>
      </c>
      <c r="N31">
        <v>2025</v>
      </c>
      <c r="O31" t="s">
        <v>1126</v>
      </c>
      <c r="S31">
        <v>600</v>
      </c>
      <c r="T31">
        <v>0</v>
      </c>
      <c r="V31">
        <v>50000</v>
      </c>
      <c r="W31" s="21">
        <v>0</v>
      </c>
      <c r="X31">
        <v>17000</v>
      </c>
      <c r="Y31" s="21">
        <v>0</v>
      </c>
      <c r="AK31" t="s">
        <v>1229</v>
      </c>
    </row>
    <row r="32" spans="1:37" x14ac:dyDescent="0.25">
      <c r="A32">
        <f t="shared" si="0"/>
        <v>31</v>
      </c>
      <c r="B32">
        <v>34</v>
      </c>
      <c r="C32">
        <v>3143</v>
      </c>
      <c r="E32" t="s">
        <v>320</v>
      </c>
      <c r="G32" t="s">
        <v>1285</v>
      </c>
      <c r="M32">
        <v>0</v>
      </c>
      <c r="N32">
        <v>2025</v>
      </c>
      <c r="S32">
        <v>0</v>
      </c>
      <c r="T32">
        <v>0</v>
      </c>
      <c r="V32">
        <v>0</v>
      </c>
      <c r="W32" s="21">
        <v>0</v>
      </c>
      <c r="X32">
        <v>0</v>
      </c>
      <c r="Y32" s="21">
        <v>0</v>
      </c>
      <c r="AK32" t="s">
        <v>1230</v>
      </c>
    </row>
    <row r="33" spans="1:37" x14ac:dyDescent="0.25">
      <c r="A33">
        <f t="shared" si="0"/>
        <v>32</v>
      </c>
      <c r="B33">
        <v>35</v>
      </c>
      <c r="C33">
        <v>3166</v>
      </c>
      <c r="D33" t="s">
        <v>277</v>
      </c>
      <c r="E33" t="s">
        <v>321</v>
      </c>
      <c r="F33" t="s">
        <v>1085</v>
      </c>
      <c r="G33" t="s">
        <v>1285</v>
      </c>
      <c r="I33" t="s">
        <v>133</v>
      </c>
      <c r="M33">
        <v>1910</v>
      </c>
      <c r="N33">
        <v>2025</v>
      </c>
      <c r="O33" t="s">
        <v>1114</v>
      </c>
      <c r="S33">
        <v>1200</v>
      </c>
      <c r="T33">
        <v>0</v>
      </c>
      <c r="V33">
        <v>0</v>
      </c>
      <c r="W33" s="21">
        <v>0</v>
      </c>
      <c r="X33">
        <v>0</v>
      </c>
      <c r="Y33" s="21">
        <v>0</v>
      </c>
    </row>
    <row r="34" spans="1:37" x14ac:dyDescent="0.25">
      <c r="A34">
        <f t="shared" si="0"/>
        <v>33</v>
      </c>
      <c r="B34">
        <v>36</v>
      </c>
      <c r="C34">
        <v>737</v>
      </c>
      <c r="E34" t="s">
        <v>326</v>
      </c>
      <c r="G34" t="s">
        <v>1285</v>
      </c>
      <c r="M34">
        <v>0</v>
      </c>
      <c r="N34">
        <v>2021</v>
      </c>
      <c r="S34">
        <v>0</v>
      </c>
      <c r="T34">
        <v>0</v>
      </c>
      <c r="V34">
        <v>0</v>
      </c>
      <c r="W34" s="21">
        <v>0</v>
      </c>
      <c r="X34">
        <v>0</v>
      </c>
      <c r="Y34" s="21">
        <v>0</v>
      </c>
    </row>
    <row r="35" spans="1:37" x14ac:dyDescent="0.25">
      <c r="A35">
        <f t="shared" si="0"/>
        <v>34</v>
      </c>
      <c r="B35">
        <v>37</v>
      </c>
      <c r="C35">
        <v>851</v>
      </c>
      <c r="E35" t="s">
        <v>327</v>
      </c>
      <c r="G35" t="s">
        <v>1285</v>
      </c>
      <c r="M35">
        <v>0</v>
      </c>
      <c r="N35">
        <v>2023</v>
      </c>
      <c r="S35">
        <v>0</v>
      </c>
      <c r="T35">
        <v>0</v>
      </c>
      <c r="V35">
        <v>0</v>
      </c>
      <c r="W35" s="21">
        <v>0</v>
      </c>
      <c r="X35">
        <v>0</v>
      </c>
      <c r="Y35" s="21">
        <v>0</v>
      </c>
    </row>
    <row r="36" spans="1:37" x14ac:dyDescent="0.25">
      <c r="A36">
        <f t="shared" si="0"/>
        <v>35</v>
      </c>
      <c r="B36">
        <v>38</v>
      </c>
      <c r="C36">
        <v>856</v>
      </c>
      <c r="E36" t="s">
        <v>329</v>
      </c>
      <c r="G36" t="s">
        <v>1285</v>
      </c>
      <c r="M36">
        <v>0</v>
      </c>
      <c r="N36">
        <v>2025</v>
      </c>
      <c r="S36">
        <v>0</v>
      </c>
      <c r="T36">
        <v>0</v>
      </c>
      <c r="V36">
        <v>0</v>
      </c>
      <c r="W36" s="21">
        <v>0</v>
      </c>
      <c r="X36">
        <v>0</v>
      </c>
      <c r="Y36" s="21">
        <v>0</v>
      </c>
    </row>
    <row r="37" spans="1:37" x14ac:dyDescent="0.25">
      <c r="A37">
        <f t="shared" si="0"/>
        <v>36</v>
      </c>
      <c r="B37">
        <v>39</v>
      </c>
      <c r="C37">
        <v>774</v>
      </c>
      <c r="D37" t="s">
        <v>330</v>
      </c>
      <c r="E37" t="s">
        <v>331</v>
      </c>
      <c r="G37" t="s">
        <v>1285</v>
      </c>
      <c r="M37">
        <v>0</v>
      </c>
      <c r="N37">
        <v>2025</v>
      </c>
      <c r="S37">
        <v>0</v>
      </c>
      <c r="T37">
        <v>0</v>
      </c>
      <c r="V37">
        <v>0</v>
      </c>
      <c r="W37" s="21">
        <v>0</v>
      </c>
      <c r="X37">
        <v>0</v>
      </c>
      <c r="Y37" s="21">
        <v>0</v>
      </c>
      <c r="AK37" t="s">
        <v>1231</v>
      </c>
    </row>
    <row r="38" spans="1:37" x14ac:dyDescent="0.25">
      <c r="A38">
        <f t="shared" si="0"/>
        <v>37</v>
      </c>
      <c r="B38">
        <v>40</v>
      </c>
      <c r="C38">
        <v>814</v>
      </c>
      <c r="E38" t="s">
        <v>332</v>
      </c>
      <c r="G38" t="s">
        <v>1285</v>
      </c>
      <c r="M38">
        <v>0</v>
      </c>
      <c r="N38">
        <v>2021</v>
      </c>
      <c r="S38">
        <v>0</v>
      </c>
      <c r="T38">
        <v>0</v>
      </c>
      <c r="V38">
        <v>0</v>
      </c>
      <c r="W38" s="21">
        <v>0</v>
      </c>
      <c r="X38">
        <v>0</v>
      </c>
      <c r="Y38" s="21">
        <v>0</v>
      </c>
      <c r="AK38" t="s">
        <v>1232</v>
      </c>
    </row>
    <row r="39" spans="1:37" x14ac:dyDescent="0.25">
      <c r="A39">
        <f t="shared" si="0"/>
        <v>38</v>
      </c>
      <c r="B39">
        <v>41</v>
      </c>
      <c r="C39">
        <v>445</v>
      </c>
      <c r="D39" t="s">
        <v>333</v>
      </c>
      <c r="E39" t="s">
        <v>334</v>
      </c>
      <c r="F39" t="s">
        <v>1085</v>
      </c>
      <c r="G39" t="s">
        <v>1285</v>
      </c>
      <c r="M39">
        <v>0</v>
      </c>
      <c r="N39">
        <v>2014</v>
      </c>
      <c r="O39" t="s">
        <v>1277</v>
      </c>
      <c r="S39">
        <v>1180</v>
      </c>
      <c r="T39">
        <v>0</v>
      </c>
      <c r="V39">
        <v>0</v>
      </c>
      <c r="W39" s="21">
        <v>0</v>
      </c>
      <c r="X39">
        <v>0</v>
      </c>
      <c r="Y39" s="21">
        <v>0</v>
      </c>
    </row>
    <row r="40" spans="1:37" x14ac:dyDescent="0.25">
      <c r="A40">
        <f t="shared" si="0"/>
        <v>39</v>
      </c>
      <c r="B40">
        <v>42</v>
      </c>
      <c r="C40">
        <v>307</v>
      </c>
      <c r="D40" t="s">
        <v>338</v>
      </c>
      <c r="E40" t="s">
        <v>339</v>
      </c>
      <c r="G40" t="s">
        <v>1285</v>
      </c>
      <c r="M40">
        <v>0</v>
      </c>
      <c r="N40">
        <v>2006</v>
      </c>
      <c r="S40">
        <v>0</v>
      </c>
      <c r="T40">
        <v>0</v>
      </c>
      <c r="V40">
        <v>0</v>
      </c>
      <c r="W40" s="21">
        <v>0</v>
      </c>
      <c r="X40">
        <v>0</v>
      </c>
      <c r="Y40" s="21">
        <v>0</v>
      </c>
    </row>
    <row r="41" spans="1:37" x14ac:dyDescent="0.25">
      <c r="A41">
        <f t="shared" si="0"/>
        <v>40</v>
      </c>
      <c r="B41">
        <v>43</v>
      </c>
      <c r="C41">
        <v>497</v>
      </c>
      <c r="D41" t="s">
        <v>298</v>
      </c>
      <c r="E41" t="s">
        <v>342</v>
      </c>
      <c r="G41" t="s">
        <v>1285</v>
      </c>
      <c r="M41">
        <v>0</v>
      </c>
      <c r="N41">
        <v>2015</v>
      </c>
      <c r="S41">
        <v>0</v>
      </c>
      <c r="T41">
        <v>0</v>
      </c>
      <c r="V41">
        <v>0</v>
      </c>
      <c r="W41" s="21">
        <v>0</v>
      </c>
      <c r="X41">
        <v>1200000</v>
      </c>
      <c r="Y41" s="21">
        <v>0</v>
      </c>
    </row>
    <row r="42" spans="1:37" x14ac:dyDescent="0.25">
      <c r="A42">
        <f t="shared" si="0"/>
        <v>41</v>
      </c>
      <c r="B42">
        <v>44</v>
      </c>
      <c r="C42">
        <v>479</v>
      </c>
      <c r="D42" t="s">
        <v>346</v>
      </c>
      <c r="E42" t="s">
        <v>347</v>
      </c>
      <c r="F42" t="s">
        <v>1086</v>
      </c>
      <c r="G42" t="s">
        <v>1285</v>
      </c>
      <c r="M42">
        <v>0</v>
      </c>
      <c r="N42">
        <v>2015</v>
      </c>
      <c r="O42" t="s">
        <v>1277</v>
      </c>
      <c r="S42">
        <v>0</v>
      </c>
      <c r="T42">
        <v>0</v>
      </c>
      <c r="V42">
        <v>0</v>
      </c>
      <c r="W42" s="21">
        <v>0</v>
      </c>
      <c r="Y42" s="21">
        <v>0</v>
      </c>
    </row>
    <row r="43" spans="1:37" x14ac:dyDescent="0.25">
      <c r="A43">
        <f t="shared" si="0"/>
        <v>42</v>
      </c>
      <c r="B43">
        <v>45</v>
      </c>
      <c r="C43">
        <v>567</v>
      </c>
      <c r="D43" t="s">
        <v>351</v>
      </c>
      <c r="E43" t="s">
        <v>352</v>
      </c>
      <c r="F43" t="s">
        <v>1085</v>
      </c>
      <c r="G43" t="s">
        <v>1285</v>
      </c>
      <c r="M43">
        <v>0</v>
      </c>
      <c r="N43">
        <v>2016</v>
      </c>
      <c r="S43">
        <v>750</v>
      </c>
      <c r="T43">
        <v>0</v>
      </c>
      <c r="V43">
        <v>52500</v>
      </c>
      <c r="W43" s="21">
        <v>0</v>
      </c>
      <c r="X43">
        <v>40700</v>
      </c>
      <c r="Y43" s="21">
        <v>0</v>
      </c>
    </row>
    <row r="44" spans="1:37" x14ac:dyDescent="0.25">
      <c r="A44">
        <f t="shared" si="0"/>
        <v>43</v>
      </c>
      <c r="B44">
        <v>46</v>
      </c>
      <c r="C44">
        <v>562</v>
      </c>
      <c r="D44" t="s">
        <v>359</v>
      </c>
      <c r="E44" t="s">
        <v>360</v>
      </c>
      <c r="F44" t="s">
        <v>1087</v>
      </c>
      <c r="G44" t="s">
        <v>1285</v>
      </c>
      <c r="M44">
        <v>0</v>
      </c>
      <c r="N44">
        <v>2009</v>
      </c>
      <c r="O44" t="s">
        <v>1282</v>
      </c>
      <c r="S44">
        <v>0</v>
      </c>
      <c r="T44">
        <v>0</v>
      </c>
      <c r="V44">
        <v>0</v>
      </c>
      <c r="W44" s="21">
        <v>0</v>
      </c>
      <c r="X44">
        <v>0</v>
      </c>
      <c r="Y44" s="21">
        <v>0</v>
      </c>
      <c r="AK44" t="s">
        <v>1233</v>
      </c>
    </row>
    <row r="45" spans="1:37" x14ac:dyDescent="0.25">
      <c r="A45">
        <f t="shared" si="0"/>
        <v>44</v>
      </c>
      <c r="B45">
        <v>47</v>
      </c>
      <c r="C45">
        <v>609</v>
      </c>
      <c r="D45" t="s">
        <v>364</v>
      </c>
      <c r="E45" t="s">
        <v>365</v>
      </c>
      <c r="F45" t="s">
        <v>1089</v>
      </c>
      <c r="G45" t="s">
        <v>1285</v>
      </c>
      <c r="M45">
        <v>0</v>
      </c>
      <c r="N45">
        <v>2017</v>
      </c>
      <c r="O45" t="s">
        <v>1118</v>
      </c>
      <c r="P45" t="s">
        <v>1090</v>
      </c>
      <c r="S45">
        <v>0</v>
      </c>
      <c r="T45">
        <v>0</v>
      </c>
      <c r="V45">
        <v>159000</v>
      </c>
      <c r="W45" s="21">
        <v>0</v>
      </c>
      <c r="X45">
        <v>8422</v>
      </c>
      <c r="Y45" s="21">
        <v>0</v>
      </c>
    </row>
    <row r="46" spans="1:37" x14ac:dyDescent="0.25">
      <c r="A46">
        <f t="shared" si="0"/>
        <v>45</v>
      </c>
      <c r="B46">
        <v>48</v>
      </c>
      <c r="C46">
        <v>481</v>
      </c>
      <c r="D46" t="s">
        <v>366</v>
      </c>
      <c r="E46" t="s">
        <v>367</v>
      </c>
      <c r="F46" t="s">
        <v>1091</v>
      </c>
      <c r="G46" t="s">
        <v>1285</v>
      </c>
      <c r="M46">
        <v>0</v>
      </c>
      <c r="N46">
        <v>2009</v>
      </c>
      <c r="O46" t="s">
        <v>1281</v>
      </c>
      <c r="P46" t="s">
        <v>1092</v>
      </c>
      <c r="T46">
        <v>0</v>
      </c>
      <c r="V46">
        <v>0</v>
      </c>
      <c r="W46" s="21">
        <v>0</v>
      </c>
      <c r="X46">
        <v>0</v>
      </c>
      <c r="Y46" s="21">
        <v>0</v>
      </c>
      <c r="AK46" t="s">
        <v>1234</v>
      </c>
    </row>
    <row r="47" spans="1:37" x14ac:dyDescent="0.25">
      <c r="A47">
        <f t="shared" si="0"/>
        <v>46</v>
      </c>
      <c r="B47">
        <v>49</v>
      </c>
      <c r="C47">
        <v>363</v>
      </c>
      <c r="D47" t="s">
        <v>369</v>
      </c>
      <c r="E47" t="s">
        <v>370</v>
      </c>
      <c r="G47" t="s">
        <v>1285</v>
      </c>
      <c r="M47">
        <v>0</v>
      </c>
      <c r="N47">
        <v>2006</v>
      </c>
      <c r="S47">
        <v>0</v>
      </c>
      <c r="T47">
        <v>0</v>
      </c>
      <c r="V47">
        <v>0</v>
      </c>
      <c r="W47" s="21">
        <v>0</v>
      </c>
      <c r="X47">
        <v>0</v>
      </c>
      <c r="Y47" s="21">
        <v>0</v>
      </c>
    </row>
    <row r="48" spans="1:37" x14ac:dyDescent="0.25">
      <c r="A48">
        <f t="shared" si="0"/>
        <v>47</v>
      </c>
      <c r="B48">
        <v>50</v>
      </c>
      <c r="C48">
        <v>303</v>
      </c>
      <c r="D48" t="s">
        <v>373</v>
      </c>
      <c r="E48" t="s">
        <v>374</v>
      </c>
      <c r="F48" t="s">
        <v>1093</v>
      </c>
      <c r="G48" t="s">
        <v>1285</v>
      </c>
      <c r="M48">
        <v>0</v>
      </c>
      <c r="N48">
        <v>2009</v>
      </c>
      <c r="O48" t="s">
        <v>1104</v>
      </c>
      <c r="S48">
        <v>0</v>
      </c>
      <c r="T48">
        <v>0</v>
      </c>
      <c r="V48">
        <v>0</v>
      </c>
      <c r="W48" s="21">
        <v>0</v>
      </c>
      <c r="X48">
        <v>0</v>
      </c>
      <c r="Y48" s="21">
        <v>0</v>
      </c>
    </row>
    <row r="49" spans="1:37" x14ac:dyDescent="0.25">
      <c r="A49">
        <f t="shared" si="0"/>
        <v>48</v>
      </c>
      <c r="B49">
        <v>51</v>
      </c>
      <c r="C49">
        <v>366</v>
      </c>
      <c r="E49" t="s">
        <v>378</v>
      </c>
      <c r="F49" t="s">
        <v>1085</v>
      </c>
      <c r="G49" t="s">
        <v>1285</v>
      </c>
      <c r="M49">
        <v>0</v>
      </c>
      <c r="N49">
        <v>2009</v>
      </c>
      <c r="S49">
        <v>0</v>
      </c>
      <c r="T49">
        <v>0</v>
      </c>
      <c r="V49">
        <v>164090</v>
      </c>
      <c r="W49" s="21">
        <v>0</v>
      </c>
      <c r="X49">
        <v>0</v>
      </c>
      <c r="Y49" s="21">
        <v>0</v>
      </c>
    </row>
    <row r="50" spans="1:37" x14ac:dyDescent="0.25">
      <c r="A50">
        <f t="shared" si="0"/>
        <v>49</v>
      </c>
      <c r="B50">
        <v>52</v>
      </c>
      <c r="C50">
        <v>322</v>
      </c>
      <c r="D50" t="s">
        <v>381</v>
      </c>
      <c r="E50" t="s">
        <v>382</v>
      </c>
      <c r="F50" t="s">
        <v>1085</v>
      </c>
      <c r="G50" t="s">
        <v>1285</v>
      </c>
      <c r="M50">
        <v>0</v>
      </c>
      <c r="N50">
        <v>2009</v>
      </c>
      <c r="S50">
        <v>0</v>
      </c>
      <c r="T50">
        <v>0</v>
      </c>
      <c r="V50">
        <v>0</v>
      </c>
      <c r="W50" s="21">
        <v>0</v>
      </c>
      <c r="X50">
        <v>0</v>
      </c>
      <c r="Y50" s="21">
        <v>0</v>
      </c>
    </row>
    <row r="51" spans="1:37" x14ac:dyDescent="0.25">
      <c r="A51">
        <f t="shared" si="0"/>
        <v>50</v>
      </c>
      <c r="B51">
        <v>53</v>
      </c>
      <c r="C51">
        <v>396</v>
      </c>
      <c r="D51" t="s">
        <v>384</v>
      </c>
      <c r="E51" t="s">
        <v>385</v>
      </c>
      <c r="G51" t="s">
        <v>1285</v>
      </c>
      <c r="M51">
        <v>0</v>
      </c>
      <c r="N51">
        <v>2013</v>
      </c>
      <c r="S51">
        <v>0</v>
      </c>
      <c r="T51">
        <v>0</v>
      </c>
      <c r="V51">
        <v>0</v>
      </c>
      <c r="W51" s="21">
        <v>0</v>
      </c>
      <c r="X51">
        <v>0</v>
      </c>
      <c r="Y51" s="21">
        <v>0</v>
      </c>
    </row>
    <row r="52" spans="1:37" x14ac:dyDescent="0.25">
      <c r="A52">
        <f t="shared" si="0"/>
        <v>51</v>
      </c>
      <c r="B52">
        <v>54</v>
      </c>
      <c r="C52">
        <v>476</v>
      </c>
      <c r="D52" t="s">
        <v>389</v>
      </c>
      <c r="E52" t="s">
        <v>390</v>
      </c>
      <c r="F52" t="s">
        <v>1045</v>
      </c>
      <c r="G52" t="s">
        <v>1285</v>
      </c>
      <c r="M52">
        <v>0</v>
      </c>
      <c r="N52">
        <v>2015</v>
      </c>
      <c r="O52" t="s">
        <v>1104</v>
      </c>
      <c r="S52">
        <v>0</v>
      </c>
      <c r="T52">
        <v>0</v>
      </c>
      <c r="V52">
        <v>0</v>
      </c>
      <c r="W52" s="21">
        <v>0</v>
      </c>
      <c r="X52">
        <v>0</v>
      </c>
      <c r="Y52" s="21">
        <v>0</v>
      </c>
    </row>
    <row r="53" spans="1:37" x14ac:dyDescent="0.25">
      <c r="A53">
        <f t="shared" si="0"/>
        <v>52</v>
      </c>
      <c r="B53">
        <v>55</v>
      </c>
      <c r="C53">
        <v>442</v>
      </c>
      <c r="D53" t="s">
        <v>395</v>
      </c>
      <c r="E53" t="s">
        <v>396</v>
      </c>
      <c r="F53" t="s">
        <v>1085</v>
      </c>
      <c r="G53" t="s">
        <v>1285</v>
      </c>
      <c r="M53">
        <v>0</v>
      </c>
      <c r="N53">
        <v>2014</v>
      </c>
      <c r="O53" t="s">
        <v>1277</v>
      </c>
      <c r="S53">
        <v>0</v>
      </c>
      <c r="T53">
        <v>0</v>
      </c>
      <c r="V53">
        <v>0</v>
      </c>
      <c r="W53" s="21">
        <v>0</v>
      </c>
      <c r="X53">
        <v>0</v>
      </c>
      <c r="Y53" s="21">
        <v>0</v>
      </c>
    </row>
    <row r="54" spans="1:37" x14ac:dyDescent="0.25">
      <c r="A54">
        <f t="shared" si="0"/>
        <v>53</v>
      </c>
      <c r="B54">
        <v>56</v>
      </c>
      <c r="C54">
        <v>487</v>
      </c>
      <c r="D54" t="s">
        <v>398</v>
      </c>
      <c r="E54" t="s">
        <v>399</v>
      </c>
      <c r="F54" t="s">
        <v>1094</v>
      </c>
      <c r="G54" t="s">
        <v>1285</v>
      </c>
      <c r="M54">
        <v>2008</v>
      </c>
      <c r="N54">
        <v>2009</v>
      </c>
      <c r="O54" t="s">
        <v>1277</v>
      </c>
      <c r="S54">
        <v>0</v>
      </c>
      <c r="T54">
        <v>0</v>
      </c>
      <c r="V54">
        <v>0</v>
      </c>
      <c r="W54" s="21">
        <v>0</v>
      </c>
      <c r="X54">
        <v>8465000</v>
      </c>
      <c r="Y54" s="21">
        <v>0</v>
      </c>
      <c r="AK54" t="s">
        <v>1278</v>
      </c>
    </row>
    <row r="55" spans="1:37" x14ac:dyDescent="0.25">
      <c r="A55">
        <f t="shared" si="0"/>
        <v>54</v>
      </c>
      <c r="B55">
        <v>57</v>
      </c>
      <c r="C55">
        <v>483</v>
      </c>
      <c r="D55" t="s">
        <v>403</v>
      </c>
      <c r="E55" t="s">
        <v>404</v>
      </c>
      <c r="F55" t="s">
        <v>1095</v>
      </c>
      <c r="G55" t="s">
        <v>1285</v>
      </c>
      <c r="M55">
        <v>0</v>
      </c>
      <c r="N55">
        <v>2021</v>
      </c>
      <c r="O55" t="s">
        <v>1104</v>
      </c>
      <c r="S55">
        <v>2127</v>
      </c>
      <c r="T55">
        <v>0</v>
      </c>
      <c r="V55">
        <v>117759</v>
      </c>
      <c r="W55" s="21">
        <v>0</v>
      </c>
      <c r="X55">
        <v>20262</v>
      </c>
      <c r="Y55" s="21">
        <v>0</v>
      </c>
    </row>
    <row r="56" spans="1:37" x14ac:dyDescent="0.25">
      <c r="A56">
        <f t="shared" si="0"/>
        <v>55</v>
      </c>
      <c r="B56">
        <v>58</v>
      </c>
      <c r="C56">
        <v>433</v>
      </c>
      <c r="D56" t="s">
        <v>409</v>
      </c>
      <c r="E56" t="s">
        <v>410</v>
      </c>
      <c r="F56" t="s">
        <v>1096</v>
      </c>
      <c r="G56" t="s">
        <v>1285</v>
      </c>
      <c r="M56">
        <v>0</v>
      </c>
      <c r="N56">
        <v>2021</v>
      </c>
      <c r="O56" t="s">
        <v>1277</v>
      </c>
      <c r="S56">
        <v>0</v>
      </c>
      <c r="T56">
        <v>0</v>
      </c>
      <c r="V56">
        <v>0</v>
      </c>
      <c r="W56" s="21">
        <v>0</v>
      </c>
      <c r="X56">
        <v>2100</v>
      </c>
      <c r="Y56" s="21">
        <v>0</v>
      </c>
    </row>
    <row r="57" spans="1:37" x14ac:dyDescent="0.25">
      <c r="A57">
        <f t="shared" si="0"/>
        <v>56</v>
      </c>
      <c r="B57">
        <v>59</v>
      </c>
      <c r="C57">
        <v>600</v>
      </c>
      <c r="D57" t="s">
        <v>192</v>
      </c>
      <c r="E57" t="s">
        <v>412</v>
      </c>
      <c r="F57" t="s">
        <v>1091</v>
      </c>
      <c r="G57" t="s">
        <v>1285</v>
      </c>
      <c r="M57">
        <v>0</v>
      </c>
      <c r="N57">
        <v>2022</v>
      </c>
      <c r="O57" t="s">
        <v>1114</v>
      </c>
      <c r="S57">
        <v>680</v>
      </c>
      <c r="T57">
        <v>0</v>
      </c>
      <c r="V57">
        <v>110230</v>
      </c>
      <c r="W57" s="21">
        <v>0</v>
      </c>
      <c r="X57">
        <v>150000</v>
      </c>
      <c r="Y57" s="21">
        <v>0</v>
      </c>
    </row>
    <row r="58" spans="1:37" x14ac:dyDescent="0.25">
      <c r="A58">
        <f t="shared" si="0"/>
        <v>57</v>
      </c>
      <c r="B58">
        <v>60</v>
      </c>
      <c r="C58">
        <v>395</v>
      </c>
      <c r="D58" t="s">
        <v>416</v>
      </c>
      <c r="E58" t="s">
        <v>417</v>
      </c>
      <c r="F58" t="s">
        <v>1097</v>
      </c>
      <c r="G58" t="s">
        <v>1285</v>
      </c>
      <c r="M58">
        <v>0</v>
      </c>
      <c r="N58">
        <v>2022</v>
      </c>
      <c r="O58" t="s">
        <v>1104</v>
      </c>
      <c r="S58">
        <v>0</v>
      </c>
      <c r="T58">
        <v>0</v>
      </c>
      <c r="V58">
        <v>35000</v>
      </c>
      <c r="W58" s="21">
        <v>0</v>
      </c>
      <c r="X58">
        <v>62000</v>
      </c>
      <c r="Y58" s="21">
        <v>0</v>
      </c>
    </row>
    <row r="59" spans="1:37" x14ac:dyDescent="0.25">
      <c r="A59">
        <f t="shared" si="0"/>
        <v>58</v>
      </c>
      <c r="B59">
        <v>61</v>
      </c>
      <c r="C59">
        <v>550</v>
      </c>
      <c r="D59" t="s">
        <v>423</v>
      </c>
      <c r="E59" t="s">
        <v>424</v>
      </c>
      <c r="F59" t="s">
        <v>1098</v>
      </c>
      <c r="G59" t="s">
        <v>1285</v>
      </c>
      <c r="M59">
        <v>0</v>
      </c>
      <c r="N59">
        <v>2022</v>
      </c>
      <c r="O59" t="s">
        <v>1114</v>
      </c>
      <c r="S59">
        <v>400</v>
      </c>
      <c r="T59">
        <v>0</v>
      </c>
      <c r="V59">
        <v>166800</v>
      </c>
      <c r="W59" s="21">
        <v>0</v>
      </c>
      <c r="X59">
        <v>66000</v>
      </c>
      <c r="Y59" s="21">
        <v>0</v>
      </c>
    </row>
    <row r="60" spans="1:37" x14ac:dyDescent="0.25">
      <c r="A60">
        <f t="shared" si="0"/>
        <v>59</v>
      </c>
      <c r="B60">
        <v>62</v>
      </c>
      <c r="C60">
        <v>348</v>
      </c>
      <c r="D60" t="s">
        <v>192</v>
      </c>
      <c r="E60" t="s">
        <v>428</v>
      </c>
      <c r="F60" t="s">
        <v>1099</v>
      </c>
      <c r="G60" t="s">
        <v>1285</v>
      </c>
      <c r="M60">
        <v>0</v>
      </c>
      <c r="N60">
        <v>2022</v>
      </c>
      <c r="O60" t="s">
        <v>1277</v>
      </c>
      <c r="S60">
        <v>3550</v>
      </c>
      <c r="T60">
        <v>0</v>
      </c>
      <c r="V60">
        <v>82500</v>
      </c>
      <c r="W60" s="21">
        <v>0</v>
      </c>
      <c r="X60">
        <v>0</v>
      </c>
      <c r="Y60" s="21">
        <v>0</v>
      </c>
    </row>
    <row r="61" spans="1:37" x14ac:dyDescent="0.25">
      <c r="A61">
        <f t="shared" si="0"/>
        <v>60</v>
      </c>
      <c r="B61">
        <v>63</v>
      </c>
      <c r="C61">
        <v>618</v>
      </c>
      <c r="D61" t="s">
        <v>435</v>
      </c>
      <c r="E61" t="s">
        <v>436</v>
      </c>
      <c r="F61" t="s">
        <v>1100</v>
      </c>
      <c r="G61" t="s">
        <v>1285</v>
      </c>
      <c r="M61">
        <v>0</v>
      </c>
      <c r="N61">
        <v>2010</v>
      </c>
      <c r="O61" t="s">
        <v>1277</v>
      </c>
      <c r="S61">
        <v>250</v>
      </c>
      <c r="T61">
        <v>0</v>
      </c>
      <c r="V61">
        <v>0</v>
      </c>
      <c r="W61" s="21">
        <v>0</v>
      </c>
      <c r="X61">
        <v>0</v>
      </c>
      <c r="Y61" s="21">
        <v>0</v>
      </c>
      <c r="AK61" t="s">
        <v>1235</v>
      </c>
    </row>
    <row r="62" spans="1:37" x14ac:dyDescent="0.25">
      <c r="A62">
        <f t="shared" si="0"/>
        <v>61</v>
      </c>
      <c r="B62">
        <v>64</v>
      </c>
      <c r="C62">
        <v>561</v>
      </c>
      <c r="D62" t="s">
        <v>439</v>
      </c>
      <c r="E62" t="s">
        <v>440</v>
      </c>
      <c r="F62" t="s">
        <v>1101</v>
      </c>
      <c r="G62" t="s">
        <v>1285</v>
      </c>
      <c r="M62">
        <v>0</v>
      </c>
      <c r="N62">
        <v>2022</v>
      </c>
      <c r="O62" t="s">
        <v>1277</v>
      </c>
      <c r="S62">
        <v>900</v>
      </c>
      <c r="T62">
        <v>0</v>
      </c>
      <c r="V62">
        <v>0</v>
      </c>
      <c r="W62" s="21">
        <v>0</v>
      </c>
      <c r="X62">
        <v>15741</v>
      </c>
      <c r="Y62" s="21">
        <v>0</v>
      </c>
    </row>
    <row r="63" spans="1:37" x14ac:dyDescent="0.25">
      <c r="A63">
        <f t="shared" si="0"/>
        <v>62</v>
      </c>
      <c r="B63">
        <v>65</v>
      </c>
      <c r="C63">
        <v>302</v>
      </c>
      <c r="D63" t="s">
        <v>445</v>
      </c>
      <c r="E63" t="s">
        <v>446</v>
      </c>
      <c r="F63" t="s">
        <v>1102</v>
      </c>
      <c r="G63" t="s">
        <v>1285</v>
      </c>
      <c r="M63">
        <v>0</v>
      </c>
      <c r="N63">
        <v>2010</v>
      </c>
      <c r="O63" t="s">
        <v>1118</v>
      </c>
      <c r="S63">
        <v>0</v>
      </c>
      <c r="T63">
        <v>0</v>
      </c>
      <c r="V63">
        <v>0</v>
      </c>
      <c r="W63" s="21">
        <v>0</v>
      </c>
      <c r="X63">
        <v>15000</v>
      </c>
      <c r="Y63" s="21">
        <v>0</v>
      </c>
      <c r="AK63" t="s">
        <v>1278</v>
      </c>
    </row>
    <row r="64" spans="1:37" x14ac:dyDescent="0.25">
      <c r="A64">
        <f t="shared" si="0"/>
        <v>63</v>
      </c>
      <c r="B64">
        <v>66</v>
      </c>
      <c r="C64">
        <v>673</v>
      </c>
      <c r="D64" t="s">
        <v>449</v>
      </c>
      <c r="E64" t="s">
        <v>450</v>
      </c>
      <c r="F64" t="s">
        <v>1103</v>
      </c>
      <c r="G64" t="s">
        <v>1285</v>
      </c>
      <c r="M64">
        <v>0</v>
      </c>
      <c r="N64">
        <v>2010</v>
      </c>
      <c r="O64" t="s">
        <v>1118</v>
      </c>
      <c r="P64" t="s">
        <v>1104</v>
      </c>
      <c r="S64">
        <v>0</v>
      </c>
      <c r="T64">
        <v>0</v>
      </c>
      <c r="V64">
        <v>0</v>
      </c>
      <c r="W64" s="21">
        <v>0</v>
      </c>
      <c r="X64">
        <v>200000</v>
      </c>
      <c r="Y64" s="21">
        <v>0</v>
      </c>
      <c r="AK64" t="s">
        <v>1236</v>
      </c>
    </row>
    <row r="65" spans="1:37" x14ac:dyDescent="0.25">
      <c r="A65">
        <f t="shared" si="0"/>
        <v>64</v>
      </c>
      <c r="B65">
        <v>67</v>
      </c>
      <c r="C65">
        <v>671</v>
      </c>
      <c r="D65" t="s">
        <v>452</v>
      </c>
      <c r="E65" t="s">
        <v>453</v>
      </c>
      <c r="F65" t="s">
        <v>1105</v>
      </c>
      <c r="G65" t="s">
        <v>1285</v>
      </c>
      <c r="M65">
        <v>0</v>
      </c>
      <c r="N65">
        <v>2011</v>
      </c>
      <c r="O65" t="s">
        <v>1114</v>
      </c>
      <c r="S65">
        <v>400</v>
      </c>
      <c r="T65">
        <v>0</v>
      </c>
      <c r="V65">
        <v>65000</v>
      </c>
      <c r="W65" s="21">
        <v>0</v>
      </c>
      <c r="X65">
        <v>0</v>
      </c>
      <c r="Y65" s="21">
        <v>0</v>
      </c>
      <c r="AK65" t="s">
        <v>1237</v>
      </c>
    </row>
    <row r="66" spans="1:37" x14ac:dyDescent="0.25">
      <c r="A66">
        <f t="shared" ref="A66:A129" si="1">ROW(A66)-1</f>
        <v>65</v>
      </c>
      <c r="B66">
        <v>68</v>
      </c>
      <c r="C66">
        <v>666</v>
      </c>
      <c r="D66" t="s">
        <v>455</v>
      </c>
      <c r="E66" t="s">
        <v>456</v>
      </c>
      <c r="F66" t="s">
        <v>1106</v>
      </c>
      <c r="G66" t="s">
        <v>1285</v>
      </c>
      <c r="M66">
        <v>0</v>
      </c>
      <c r="N66">
        <v>2011</v>
      </c>
      <c r="O66" t="s">
        <v>1104</v>
      </c>
      <c r="S66">
        <v>70</v>
      </c>
      <c r="T66">
        <v>0</v>
      </c>
      <c r="V66">
        <v>0</v>
      </c>
      <c r="W66" s="21">
        <v>0</v>
      </c>
      <c r="X66">
        <v>0</v>
      </c>
      <c r="Y66" s="21">
        <v>0</v>
      </c>
      <c r="AK66" t="s">
        <v>1238</v>
      </c>
    </row>
    <row r="67" spans="1:37" x14ac:dyDescent="0.25">
      <c r="A67">
        <f t="shared" si="1"/>
        <v>66</v>
      </c>
      <c r="B67">
        <v>69</v>
      </c>
      <c r="C67">
        <v>664</v>
      </c>
      <c r="D67" t="s">
        <v>459</v>
      </c>
      <c r="E67" t="s">
        <v>460</v>
      </c>
      <c r="F67" t="s">
        <v>1085</v>
      </c>
      <c r="G67" t="s">
        <v>1285</v>
      </c>
      <c r="M67">
        <v>0</v>
      </c>
      <c r="N67">
        <v>2011</v>
      </c>
      <c r="O67" t="s">
        <v>1118</v>
      </c>
      <c r="S67">
        <v>0</v>
      </c>
      <c r="T67">
        <v>0</v>
      </c>
      <c r="V67">
        <v>0</v>
      </c>
      <c r="W67" s="21">
        <v>0</v>
      </c>
      <c r="X67">
        <v>0</v>
      </c>
      <c r="Y67" s="21">
        <v>0</v>
      </c>
      <c r="AK67" t="s">
        <v>1239</v>
      </c>
    </row>
    <row r="68" spans="1:37" x14ac:dyDescent="0.25">
      <c r="A68">
        <f t="shared" si="1"/>
        <v>67</v>
      </c>
      <c r="B68">
        <v>70</v>
      </c>
      <c r="C68">
        <v>688</v>
      </c>
      <c r="D68" t="s">
        <v>463</v>
      </c>
      <c r="E68" t="s">
        <v>464</v>
      </c>
      <c r="F68" t="s">
        <v>1100</v>
      </c>
      <c r="G68" t="s">
        <v>1285</v>
      </c>
      <c r="M68">
        <v>0</v>
      </c>
      <c r="N68">
        <v>2011</v>
      </c>
      <c r="O68" t="s">
        <v>1277</v>
      </c>
      <c r="S68">
        <v>0</v>
      </c>
      <c r="T68">
        <v>0</v>
      </c>
      <c r="V68">
        <v>0</v>
      </c>
      <c r="W68" s="21">
        <v>0</v>
      </c>
      <c r="X68">
        <v>0</v>
      </c>
      <c r="Y68" s="21">
        <v>0</v>
      </c>
      <c r="AK68" t="s">
        <v>1240</v>
      </c>
    </row>
    <row r="69" spans="1:37" x14ac:dyDescent="0.25">
      <c r="A69">
        <f t="shared" si="1"/>
        <v>68</v>
      </c>
      <c r="B69">
        <v>71</v>
      </c>
      <c r="C69">
        <v>624</v>
      </c>
      <c r="D69" t="s">
        <v>469</v>
      </c>
      <c r="E69" t="s">
        <v>470</v>
      </c>
      <c r="F69" t="s">
        <v>1107</v>
      </c>
      <c r="G69" t="s">
        <v>1285</v>
      </c>
      <c r="M69">
        <v>0</v>
      </c>
      <c r="N69">
        <v>2010</v>
      </c>
      <c r="O69" t="s">
        <v>1281</v>
      </c>
      <c r="S69">
        <v>0</v>
      </c>
      <c r="T69">
        <v>0</v>
      </c>
      <c r="V69">
        <v>0</v>
      </c>
      <c r="W69" s="21">
        <v>0</v>
      </c>
      <c r="X69">
        <v>0</v>
      </c>
      <c r="Y69" s="21">
        <v>0</v>
      </c>
      <c r="AK69" t="s">
        <v>1241</v>
      </c>
    </row>
    <row r="70" spans="1:37" x14ac:dyDescent="0.25">
      <c r="A70">
        <f t="shared" si="1"/>
        <v>69</v>
      </c>
      <c r="B70">
        <v>72</v>
      </c>
      <c r="C70">
        <v>616</v>
      </c>
      <c r="D70" t="s">
        <v>473</v>
      </c>
      <c r="E70" t="s">
        <v>474</v>
      </c>
      <c r="F70" t="s">
        <v>1108</v>
      </c>
      <c r="G70" t="s">
        <v>1285</v>
      </c>
      <c r="M70">
        <v>0</v>
      </c>
      <c r="N70">
        <v>2010</v>
      </c>
      <c r="O70" t="s">
        <v>1118</v>
      </c>
      <c r="S70">
        <v>0</v>
      </c>
      <c r="T70">
        <v>0</v>
      </c>
      <c r="V70">
        <v>0</v>
      </c>
      <c r="W70" s="21">
        <v>0</v>
      </c>
      <c r="X70">
        <v>0</v>
      </c>
      <c r="Y70" s="21">
        <v>0</v>
      </c>
      <c r="AK70" t="s">
        <v>1242</v>
      </c>
    </row>
    <row r="71" spans="1:37" x14ac:dyDescent="0.25">
      <c r="A71">
        <f t="shared" si="1"/>
        <v>70</v>
      </c>
      <c r="B71">
        <v>73</v>
      </c>
      <c r="C71">
        <v>613</v>
      </c>
      <c r="D71" t="s">
        <v>476</v>
      </c>
      <c r="E71" t="s">
        <v>477</v>
      </c>
      <c r="F71" t="s">
        <v>1085</v>
      </c>
      <c r="G71" t="s">
        <v>1285</v>
      </c>
      <c r="M71">
        <v>0</v>
      </c>
      <c r="N71">
        <v>2010</v>
      </c>
      <c r="O71" t="s">
        <v>1277</v>
      </c>
      <c r="P71" t="s">
        <v>1283</v>
      </c>
      <c r="S71">
        <v>0</v>
      </c>
      <c r="T71">
        <v>0</v>
      </c>
      <c r="V71">
        <v>0</v>
      </c>
      <c r="W71" s="21">
        <v>0</v>
      </c>
      <c r="X71">
        <v>0</v>
      </c>
      <c r="Y71" s="21">
        <v>0</v>
      </c>
      <c r="AK71" t="s">
        <v>1279</v>
      </c>
    </row>
    <row r="72" spans="1:37" x14ac:dyDescent="0.25">
      <c r="A72">
        <f t="shared" si="1"/>
        <v>71</v>
      </c>
      <c r="B72">
        <v>74</v>
      </c>
      <c r="C72">
        <v>612</v>
      </c>
      <c r="D72" t="s">
        <v>479</v>
      </c>
      <c r="E72" t="s">
        <v>480</v>
      </c>
      <c r="F72" t="s">
        <v>1109</v>
      </c>
      <c r="G72" t="s">
        <v>1285</v>
      </c>
      <c r="M72">
        <v>0</v>
      </c>
      <c r="N72">
        <v>2010</v>
      </c>
      <c r="O72" t="s">
        <v>1277</v>
      </c>
      <c r="S72">
        <v>0</v>
      </c>
      <c r="T72">
        <v>0</v>
      </c>
      <c r="V72">
        <v>0</v>
      </c>
      <c r="W72" s="21">
        <v>0</v>
      </c>
      <c r="X72">
        <v>0</v>
      </c>
      <c r="Y72" s="21">
        <v>0</v>
      </c>
      <c r="AK72" t="s">
        <v>1243</v>
      </c>
    </row>
    <row r="73" spans="1:37" x14ac:dyDescent="0.25">
      <c r="A73">
        <f t="shared" si="1"/>
        <v>72</v>
      </c>
      <c r="B73">
        <v>75</v>
      </c>
      <c r="C73">
        <v>611</v>
      </c>
      <c r="D73" t="s">
        <v>481</v>
      </c>
      <c r="E73" t="s">
        <v>482</v>
      </c>
      <c r="F73" t="s">
        <v>1110</v>
      </c>
      <c r="G73" t="s">
        <v>1285</v>
      </c>
      <c r="M73">
        <v>0</v>
      </c>
      <c r="N73">
        <v>2010</v>
      </c>
      <c r="O73" t="s">
        <v>1277</v>
      </c>
      <c r="S73">
        <v>1500</v>
      </c>
      <c r="T73">
        <v>0</v>
      </c>
      <c r="V73">
        <v>0</v>
      </c>
      <c r="W73" s="21">
        <v>0</v>
      </c>
      <c r="X73">
        <v>0</v>
      </c>
      <c r="Y73" s="21">
        <v>0</v>
      </c>
      <c r="AK73" t="s">
        <v>1244</v>
      </c>
    </row>
    <row r="74" spans="1:37" x14ac:dyDescent="0.25">
      <c r="A74">
        <f t="shared" si="1"/>
        <v>73</v>
      </c>
      <c r="B74">
        <v>76</v>
      </c>
      <c r="C74">
        <v>609</v>
      </c>
      <c r="D74" t="s">
        <v>487</v>
      </c>
      <c r="E74" t="s">
        <v>488</v>
      </c>
      <c r="F74" t="s">
        <v>1111</v>
      </c>
      <c r="G74" t="s">
        <v>1285</v>
      </c>
      <c r="M74">
        <v>0</v>
      </c>
      <c r="N74">
        <v>2010</v>
      </c>
      <c r="O74" t="s">
        <v>1281</v>
      </c>
      <c r="S74">
        <v>50</v>
      </c>
      <c r="T74">
        <v>0</v>
      </c>
      <c r="V74">
        <v>0</v>
      </c>
      <c r="W74" s="21">
        <v>0</v>
      </c>
      <c r="X74">
        <v>80000</v>
      </c>
      <c r="Y74" s="21">
        <v>0</v>
      </c>
      <c r="AK74" t="s">
        <v>1245</v>
      </c>
    </row>
    <row r="75" spans="1:37" x14ac:dyDescent="0.25">
      <c r="A75">
        <f t="shared" si="1"/>
        <v>74</v>
      </c>
      <c r="B75">
        <v>77</v>
      </c>
      <c r="C75">
        <v>693</v>
      </c>
      <c r="D75" t="s">
        <v>489</v>
      </c>
      <c r="E75" t="s">
        <v>490</v>
      </c>
      <c r="F75" t="s">
        <v>1085</v>
      </c>
      <c r="G75" t="s">
        <v>1285</v>
      </c>
      <c r="M75">
        <v>0</v>
      </c>
      <c r="N75">
        <v>2011</v>
      </c>
      <c r="O75" t="s">
        <v>1114</v>
      </c>
      <c r="S75">
        <v>0</v>
      </c>
      <c r="T75">
        <v>525</v>
      </c>
      <c r="V75">
        <v>0</v>
      </c>
      <c r="W75" s="21">
        <v>0</v>
      </c>
      <c r="X75">
        <v>0</v>
      </c>
      <c r="Y75" s="21">
        <v>0</v>
      </c>
      <c r="AK75" t="s">
        <v>1246</v>
      </c>
    </row>
    <row r="76" spans="1:37" x14ac:dyDescent="0.25">
      <c r="A76">
        <f t="shared" si="1"/>
        <v>75</v>
      </c>
      <c r="B76">
        <v>78</v>
      </c>
      <c r="C76">
        <v>568</v>
      </c>
      <c r="D76" t="s">
        <v>494</v>
      </c>
      <c r="E76" t="s">
        <v>495</v>
      </c>
      <c r="F76" t="s">
        <v>1112</v>
      </c>
      <c r="G76" t="s">
        <v>1285</v>
      </c>
      <c r="M76">
        <v>0</v>
      </c>
      <c r="N76">
        <v>2009</v>
      </c>
      <c r="O76" t="s">
        <v>1281</v>
      </c>
      <c r="S76">
        <v>0</v>
      </c>
      <c r="T76">
        <v>0</v>
      </c>
      <c r="V76">
        <v>0</v>
      </c>
      <c r="W76" s="21">
        <v>0</v>
      </c>
      <c r="X76">
        <v>0</v>
      </c>
      <c r="Y76" s="21">
        <v>0</v>
      </c>
      <c r="AK76" t="s">
        <v>1247</v>
      </c>
    </row>
    <row r="77" spans="1:37" x14ac:dyDescent="0.25">
      <c r="A77">
        <f t="shared" si="1"/>
        <v>76</v>
      </c>
      <c r="B77">
        <v>79</v>
      </c>
      <c r="C77">
        <v>594</v>
      </c>
      <c r="D77" t="s">
        <v>496</v>
      </c>
      <c r="E77" t="s">
        <v>497</v>
      </c>
      <c r="F77" t="s">
        <v>1113</v>
      </c>
      <c r="G77" t="s">
        <v>1285</v>
      </c>
      <c r="M77">
        <v>0</v>
      </c>
      <c r="N77">
        <v>2010</v>
      </c>
      <c r="O77" t="s">
        <v>1282</v>
      </c>
      <c r="P77" t="s">
        <v>1114</v>
      </c>
      <c r="S77">
        <v>2340</v>
      </c>
      <c r="T77">
        <v>0</v>
      </c>
      <c r="V77">
        <v>0</v>
      </c>
      <c r="W77" s="21">
        <v>0</v>
      </c>
      <c r="X77">
        <v>0</v>
      </c>
      <c r="Y77" s="21">
        <v>0</v>
      </c>
      <c r="AK77" t="s">
        <v>1248</v>
      </c>
    </row>
    <row r="78" spans="1:37" x14ac:dyDescent="0.25">
      <c r="A78">
        <f t="shared" si="1"/>
        <v>77</v>
      </c>
      <c r="B78">
        <v>80</v>
      </c>
      <c r="C78">
        <v>593</v>
      </c>
      <c r="D78" t="s">
        <v>501</v>
      </c>
      <c r="E78" t="s">
        <v>502</v>
      </c>
      <c r="F78" t="s">
        <v>1091</v>
      </c>
      <c r="G78" t="s">
        <v>1285</v>
      </c>
      <c r="M78">
        <v>0</v>
      </c>
      <c r="N78">
        <v>2010</v>
      </c>
      <c r="O78" t="s">
        <v>1114</v>
      </c>
      <c r="S78">
        <v>662</v>
      </c>
      <c r="T78">
        <v>0</v>
      </c>
      <c r="V78">
        <v>0</v>
      </c>
      <c r="W78" s="21">
        <v>0</v>
      </c>
      <c r="X78">
        <v>0</v>
      </c>
      <c r="Y78" s="21">
        <v>0</v>
      </c>
      <c r="AK78" t="s">
        <v>1249</v>
      </c>
    </row>
    <row r="79" spans="1:37" x14ac:dyDescent="0.25">
      <c r="A79">
        <f t="shared" si="1"/>
        <v>78</v>
      </c>
      <c r="B79">
        <v>81</v>
      </c>
      <c r="C79">
        <v>590</v>
      </c>
      <c r="D79" t="s">
        <v>504</v>
      </c>
      <c r="E79" t="s">
        <v>505</v>
      </c>
      <c r="F79" t="s">
        <v>1085</v>
      </c>
      <c r="G79" t="s">
        <v>1285</v>
      </c>
      <c r="M79">
        <v>0</v>
      </c>
      <c r="N79">
        <v>2010</v>
      </c>
      <c r="O79" t="s">
        <v>1104</v>
      </c>
      <c r="P79" t="s">
        <v>1115</v>
      </c>
      <c r="S79">
        <v>1500</v>
      </c>
      <c r="T79">
        <v>0</v>
      </c>
      <c r="V79">
        <v>350000</v>
      </c>
      <c r="W79" s="21">
        <v>0</v>
      </c>
      <c r="X79">
        <v>60000</v>
      </c>
      <c r="Y79" s="21">
        <v>8100</v>
      </c>
      <c r="AK79" t="s">
        <v>1250</v>
      </c>
    </row>
    <row r="80" spans="1:37" x14ac:dyDescent="0.25">
      <c r="A80">
        <f t="shared" si="1"/>
        <v>79</v>
      </c>
      <c r="B80">
        <v>82</v>
      </c>
      <c r="C80">
        <v>587</v>
      </c>
      <c r="D80" t="s">
        <v>506</v>
      </c>
      <c r="E80" t="s">
        <v>507</v>
      </c>
      <c r="F80" t="s">
        <v>1085</v>
      </c>
      <c r="G80" t="s">
        <v>1285</v>
      </c>
      <c r="M80">
        <v>0</v>
      </c>
      <c r="N80">
        <v>2010</v>
      </c>
      <c r="O80" t="s">
        <v>1281</v>
      </c>
      <c r="S80">
        <v>0</v>
      </c>
      <c r="T80">
        <v>0</v>
      </c>
      <c r="V80">
        <v>0</v>
      </c>
      <c r="W80" s="21">
        <v>0</v>
      </c>
      <c r="X80">
        <v>0</v>
      </c>
      <c r="Y80" s="21">
        <v>0</v>
      </c>
      <c r="AK80" t="s">
        <v>1251</v>
      </c>
    </row>
    <row r="81" spans="1:37" x14ac:dyDescent="0.25">
      <c r="A81">
        <f t="shared" si="1"/>
        <v>80</v>
      </c>
      <c r="B81">
        <v>83</v>
      </c>
      <c r="C81">
        <v>579</v>
      </c>
      <c r="D81" t="s">
        <v>508</v>
      </c>
      <c r="E81" t="s">
        <v>509</v>
      </c>
      <c r="F81" t="s">
        <v>1085</v>
      </c>
      <c r="G81" t="s">
        <v>1285</v>
      </c>
      <c r="M81">
        <v>0</v>
      </c>
      <c r="N81">
        <v>2009</v>
      </c>
      <c r="O81" t="s">
        <v>1281</v>
      </c>
      <c r="S81">
        <v>300</v>
      </c>
      <c r="T81">
        <v>0</v>
      </c>
      <c r="V81">
        <v>0</v>
      </c>
      <c r="W81" s="21">
        <v>0</v>
      </c>
      <c r="X81">
        <v>0</v>
      </c>
      <c r="Y81" s="21">
        <v>0</v>
      </c>
      <c r="AK81" t="s">
        <v>1252</v>
      </c>
    </row>
    <row r="82" spans="1:37" x14ac:dyDescent="0.25">
      <c r="A82">
        <f t="shared" si="1"/>
        <v>81</v>
      </c>
      <c r="B82">
        <v>84</v>
      </c>
      <c r="C82">
        <v>576</v>
      </c>
      <c r="D82" t="s">
        <v>512</v>
      </c>
      <c r="E82" t="s">
        <v>513</v>
      </c>
      <c r="F82" t="s">
        <v>1085</v>
      </c>
      <c r="G82" t="s">
        <v>1285</v>
      </c>
      <c r="M82">
        <v>0</v>
      </c>
      <c r="N82">
        <v>2010</v>
      </c>
      <c r="O82" t="s">
        <v>1104</v>
      </c>
      <c r="P82" t="s">
        <v>1114</v>
      </c>
      <c r="S82">
        <v>0</v>
      </c>
      <c r="T82">
        <v>0</v>
      </c>
      <c r="V82">
        <v>18000</v>
      </c>
      <c r="W82" s="21">
        <v>0</v>
      </c>
      <c r="X82">
        <v>20000</v>
      </c>
      <c r="Y82" s="21">
        <v>0</v>
      </c>
      <c r="AK82" t="s">
        <v>1253</v>
      </c>
    </row>
    <row r="83" spans="1:37" x14ac:dyDescent="0.25">
      <c r="A83">
        <f t="shared" si="1"/>
        <v>82</v>
      </c>
      <c r="B83">
        <v>85</v>
      </c>
      <c r="C83">
        <v>575</v>
      </c>
      <c r="D83" t="s">
        <v>515</v>
      </c>
      <c r="E83" t="s">
        <v>516</v>
      </c>
      <c r="F83" t="s">
        <v>1085</v>
      </c>
      <c r="G83" t="s">
        <v>1285</v>
      </c>
      <c r="M83">
        <v>0</v>
      </c>
      <c r="N83">
        <v>2009</v>
      </c>
      <c r="O83" t="s">
        <v>1118</v>
      </c>
      <c r="S83">
        <v>0</v>
      </c>
      <c r="T83">
        <v>0</v>
      </c>
      <c r="V83">
        <v>0</v>
      </c>
      <c r="W83" s="21">
        <v>0</v>
      </c>
      <c r="X83">
        <v>0</v>
      </c>
      <c r="Y83" s="21">
        <v>0</v>
      </c>
      <c r="AK83" t="s">
        <v>1254</v>
      </c>
    </row>
    <row r="84" spans="1:37" x14ac:dyDescent="0.25">
      <c r="A84">
        <f t="shared" si="1"/>
        <v>83</v>
      </c>
      <c r="B84">
        <v>86</v>
      </c>
      <c r="C84">
        <v>555</v>
      </c>
      <c r="D84" t="s">
        <v>518</v>
      </c>
      <c r="E84" t="s">
        <v>519</v>
      </c>
      <c r="F84" t="s">
        <v>1116</v>
      </c>
      <c r="G84" t="s">
        <v>1285</v>
      </c>
      <c r="M84">
        <v>0</v>
      </c>
      <c r="N84">
        <v>2009</v>
      </c>
      <c r="O84" t="s">
        <v>1282</v>
      </c>
      <c r="P84" t="s">
        <v>1114</v>
      </c>
      <c r="S84">
        <v>0</v>
      </c>
      <c r="T84">
        <v>0</v>
      </c>
      <c r="V84">
        <v>0</v>
      </c>
      <c r="W84" s="21">
        <v>0</v>
      </c>
      <c r="X84">
        <v>122300</v>
      </c>
      <c r="Y84" s="21">
        <v>0</v>
      </c>
      <c r="AK84" t="s">
        <v>1255</v>
      </c>
    </row>
    <row r="85" spans="1:37" x14ac:dyDescent="0.25">
      <c r="A85">
        <f t="shared" si="1"/>
        <v>84</v>
      </c>
      <c r="B85">
        <v>87</v>
      </c>
      <c r="C85">
        <v>549</v>
      </c>
      <c r="D85" t="s">
        <v>522</v>
      </c>
      <c r="E85" t="s">
        <v>523</v>
      </c>
      <c r="F85" t="s">
        <v>1117</v>
      </c>
      <c r="G85" t="s">
        <v>1285</v>
      </c>
      <c r="M85">
        <v>0</v>
      </c>
      <c r="N85">
        <v>2009</v>
      </c>
      <c r="O85" t="s">
        <v>1280</v>
      </c>
      <c r="P85" t="s">
        <v>1118</v>
      </c>
      <c r="S85">
        <v>1145</v>
      </c>
      <c r="T85">
        <v>0</v>
      </c>
      <c r="V85">
        <v>0</v>
      </c>
      <c r="W85" s="21">
        <v>0</v>
      </c>
      <c r="X85">
        <v>0</v>
      </c>
      <c r="Y85" s="21">
        <v>0</v>
      </c>
      <c r="AK85" t="s">
        <v>1256</v>
      </c>
    </row>
    <row r="86" spans="1:37" x14ac:dyDescent="0.25">
      <c r="A86">
        <f t="shared" si="1"/>
        <v>85</v>
      </c>
      <c r="B86">
        <v>88</v>
      </c>
      <c r="C86">
        <v>547</v>
      </c>
      <c r="D86" t="s">
        <v>525</v>
      </c>
      <c r="E86" t="s">
        <v>526</v>
      </c>
      <c r="F86" t="s">
        <v>1119</v>
      </c>
      <c r="G86" t="s">
        <v>1285</v>
      </c>
      <c r="M86">
        <v>0</v>
      </c>
      <c r="N86">
        <v>2009</v>
      </c>
      <c r="O86" t="s">
        <v>1118</v>
      </c>
      <c r="S86">
        <v>5832</v>
      </c>
      <c r="T86">
        <v>0</v>
      </c>
      <c r="V86">
        <v>0</v>
      </c>
      <c r="W86" s="21">
        <v>0</v>
      </c>
      <c r="X86">
        <v>308600</v>
      </c>
      <c r="Y86" s="21">
        <v>0</v>
      </c>
      <c r="AK86" t="s">
        <v>1278</v>
      </c>
    </row>
    <row r="87" spans="1:37" x14ac:dyDescent="0.25">
      <c r="A87">
        <f t="shared" si="1"/>
        <v>86</v>
      </c>
      <c r="B87">
        <v>89</v>
      </c>
      <c r="C87">
        <v>511</v>
      </c>
      <c r="D87" t="s">
        <v>529</v>
      </c>
      <c r="E87" t="s">
        <v>530</v>
      </c>
      <c r="F87" t="s">
        <v>1091</v>
      </c>
      <c r="G87" t="s">
        <v>1285</v>
      </c>
      <c r="M87">
        <v>0</v>
      </c>
      <c r="N87">
        <v>2009</v>
      </c>
      <c r="O87" t="s">
        <v>1114</v>
      </c>
      <c r="S87">
        <v>0</v>
      </c>
      <c r="T87">
        <v>0</v>
      </c>
      <c r="V87">
        <v>0</v>
      </c>
      <c r="W87" s="21">
        <v>0</v>
      </c>
      <c r="X87">
        <v>0</v>
      </c>
      <c r="Y87" s="21">
        <v>0</v>
      </c>
      <c r="AK87" t="s">
        <v>1257</v>
      </c>
    </row>
    <row r="88" spans="1:37" x14ac:dyDescent="0.25">
      <c r="A88">
        <f t="shared" si="1"/>
        <v>87</v>
      </c>
      <c r="B88">
        <v>90</v>
      </c>
      <c r="C88">
        <v>487</v>
      </c>
      <c r="D88" t="s">
        <v>534</v>
      </c>
      <c r="E88" t="s">
        <v>535</v>
      </c>
      <c r="F88" t="s">
        <v>1091</v>
      </c>
      <c r="G88" t="s">
        <v>1285</v>
      </c>
      <c r="M88">
        <v>0</v>
      </c>
      <c r="N88">
        <v>2009</v>
      </c>
      <c r="O88" t="s">
        <v>1114</v>
      </c>
      <c r="S88">
        <v>0</v>
      </c>
      <c r="T88">
        <v>0</v>
      </c>
      <c r="V88">
        <v>0</v>
      </c>
      <c r="W88" s="21">
        <v>0</v>
      </c>
      <c r="X88">
        <v>0</v>
      </c>
      <c r="Y88" s="21">
        <v>0</v>
      </c>
      <c r="AK88" t="s">
        <v>1258</v>
      </c>
    </row>
    <row r="89" spans="1:37" x14ac:dyDescent="0.25">
      <c r="A89">
        <f t="shared" si="1"/>
        <v>88</v>
      </c>
      <c r="B89">
        <v>91</v>
      </c>
      <c r="C89">
        <v>397</v>
      </c>
      <c r="D89" t="s">
        <v>539</v>
      </c>
      <c r="E89" t="s">
        <v>540</v>
      </c>
      <c r="F89" t="s">
        <v>1096</v>
      </c>
      <c r="G89" t="s">
        <v>1285</v>
      </c>
      <c r="M89">
        <v>0</v>
      </c>
      <c r="N89">
        <v>2007</v>
      </c>
      <c r="O89" t="s">
        <v>1281</v>
      </c>
      <c r="S89">
        <v>320</v>
      </c>
      <c r="T89">
        <v>0</v>
      </c>
      <c r="V89">
        <v>0</v>
      </c>
      <c r="W89" s="21">
        <v>0</v>
      </c>
      <c r="X89">
        <v>0</v>
      </c>
      <c r="Y89" s="21">
        <v>0</v>
      </c>
      <c r="AK89" t="s">
        <v>1259</v>
      </c>
    </row>
    <row r="90" spans="1:37" x14ac:dyDescent="0.25">
      <c r="A90">
        <f t="shared" si="1"/>
        <v>89</v>
      </c>
      <c r="B90">
        <v>92</v>
      </c>
      <c r="C90">
        <v>3003</v>
      </c>
      <c r="D90" t="s">
        <v>545</v>
      </c>
      <c r="E90" t="s">
        <v>546</v>
      </c>
      <c r="F90" t="s">
        <v>1085</v>
      </c>
      <c r="G90" t="s">
        <v>1285</v>
      </c>
      <c r="M90">
        <v>0</v>
      </c>
      <c r="N90">
        <v>2023</v>
      </c>
      <c r="O90" t="s">
        <v>1281</v>
      </c>
      <c r="P90" t="s">
        <v>1120</v>
      </c>
      <c r="S90">
        <v>0</v>
      </c>
      <c r="T90">
        <v>0</v>
      </c>
      <c r="V90">
        <v>0</v>
      </c>
      <c r="W90" s="21">
        <v>0</v>
      </c>
      <c r="Y90" s="21">
        <v>0</v>
      </c>
    </row>
    <row r="91" spans="1:37" x14ac:dyDescent="0.25">
      <c r="A91">
        <f t="shared" si="1"/>
        <v>90</v>
      </c>
      <c r="B91">
        <v>93</v>
      </c>
      <c r="C91">
        <v>3001</v>
      </c>
      <c r="D91" t="s">
        <v>550</v>
      </c>
      <c r="E91" t="s">
        <v>551</v>
      </c>
      <c r="F91" t="s">
        <v>1121</v>
      </c>
      <c r="G91" t="s">
        <v>1285</v>
      </c>
      <c r="M91">
        <v>0</v>
      </c>
      <c r="N91">
        <v>2018</v>
      </c>
      <c r="O91" t="s">
        <v>1114</v>
      </c>
      <c r="S91">
        <v>0</v>
      </c>
      <c r="T91">
        <v>0</v>
      </c>
      <c r="V91">
        <v>0</v>
      </c>
      <c r="W91" s="21">
        <v>0</v>
      </c>
      <c r="X91">
        <v>0</v>
      </c>
      <c r="Y91" s="21">
        <v>0</v>
      </c>
    </row>
    <row r="92" spans="1:37" x14ac:dyDescent="0.25">
      <c r="A92">
        <f t="shared" si="1"/>
        <v>91</v>
      </c>
      <c r="B92">
        <v>94</v>
      </c>
      <c r="C92">
        <v>3002</v>
      </c>
      <c r="D92" t="s">
        <v>555</v>
      </c>
      <c r="E92" t="s">
        <v>556</v>
      </c>
      <c r="F92" t="s">
        <v>1122</v>
      </c>
      <c r="G92" t="s">
        <v>1285</v>
      </c>
      <c r="M92">
        <v>0</v>
      </c>
      <c r="N92">
        <v>2018</v>
      </c>
      <c r="O92" t="s">
        <v>1277</v>
      </c>
      <c r="S92">
        <v>0</v>
      </c>
      <c r="T92">
        <v>0</v>
      </c>
      <c r="V92">
        <v>123710</v>
      </c>
      <c r="W92" s="21">
        <v>0</v>
      </c>
      <c r="X92">
        <v>19040</v>
      </c>
      <c r="Y92" s="21">
        <v>0</v>
      </c>
      <c r="AK92" t="s">
        <v>1278</v>
      </c>
    </row>
    <row r="93" spans="1:37" x14ac:dyDescent="0.25">
      <c r="A93">
        <f t="shared" si="1"/>
        <v>92</v>
      </c>
      <c r="B93">
        <v>95</v>
      </c>
      <c r="C93">
        <v>3005</v>
      </c>
      <c r="D93" t="s">
        <v>550</v>
      </c>
      <c r="E93" t="s">
        <v>560</v>
      </c>
      <c r="F93" t="s">
        <v>1121</v>
      </c>
      <c r="G93" t="s">
        <v>1285</v>
      </c>
      <c r="M93">
        <v>0</v>
      </c>
      <c r="N93">
        <v>2018</v>
      </c>
      <c r="O93" t="s">
        <v>1114</v>
      </c>
      <c r="S93">
        <v>510</v>
      </c>
      <c r="T93">
        <v>0</v>
      </c>
      <c r="V93">
        <v>0</v>
      </c>
      <c r="W93" s="21">
        <v>0</v>
      </c>
      <c r="X93">
        <v>0</v>
      </c>
      <c r="Y93" s="21">
        <v>0</v>
      </c>
    </row>
    <row r="94" spans="1:37" x14ac:dyDescent="0.25">
      <c r="A94">
        <f t="shared" si="1"/>
        <v>93</v>
      </c>
      <c r="B94">
        <v>96</v>
      </c>
      <c r="C94">
        <v>3006</v>
      </c>
      <c r="D94" t="s">
        <v>550</v>
      </c>
      <c r="E94" t="s">
        <v>565</v>
      </c>
      <c r="F94" t="s">
        <v>1123</v>
      </c>
      <c r="G94" t="s">
        <v>1285</v>
      </c>
      <c r="M94">
        <v>0</v>
      </c>
      <c r="N94">
        <v>2018</v>
      </c>
      <c r="O94" t="s">
        <v>1118</v>
      </c>
      <c r="S94">
        <v>0</v>
      </c>
      <c r="T94">
        <v>0</v>
      </c>
      <c r="V94">
        <v>0</v>
      </c>
      <c r="W94" s="21">
        <v>0</v>
      </c>
      <c r="X94">
        <v>0</v>
      </c>
      <c r="Y94" s="21">
        <v>0</v>
      </c>
    </row>
    <row r="95" spans="1:37" x14ac:dyDescent="0.25">
      <c r="A95">
        <f t="shared" si="1"/>
        <v>94</v>
      </c>
      <c r="B95">
        <v>97</v>
      </c>
      <c r="C95">
        <v>3008</v>
      </c>
      <c r="D95" t="s">
        <v>550</v>
      </c>
      <c r="E95" t="s">
        <v>569</v>
      </c>
      <c r="F95" t="s">
        <v>1124</v>
      </c>
      <c r="G95" t="s">
        <v>1285</v>
      </c>
      <c r="M95">
        <v>0</v>
      </c>
      <c r="N95">
        <v>2018</v>
      </c>
      <c r="O95" t="s">
        <v>1118</v>
      </c>
      <c r="S95">
        <v>800</v>
      </c>
      <c r="T95">
        <v>0</v>
      </c>
      <c r="V95">
        <v>0</v>
      </c>
      <c r="W95" s="21">
        <v>0</v>
      </c>
      <c r="X95">
        <v>0</v>
      </c>
      <c r="Y95" s="21">
        <v>0</v>
      </c>
    </row>
    <row r="96" spans="1:37" x14ac:dyDescent="0.25">
      <c r="A96">
        <f t="shared" si="1"/>
        <v>95</v>
      </c>
      <c r="B96">
        <v>98</v>
      </c>
      <c r="C96">
        <v>3009</v>
      </c>
      <c r="D96" t="s">
        <v>574</v>
      </c>
      <c r="E96" t="s">
        <v>575</v>
      </c>
      <c r="F96" t="s">
        <v>1125</v>
      </c>
      <c r="G96" t="s">
        <v>1285</v>
      </c>
      <c r="M96">
        <v>0</v>
      </c>
      <c r="N96">
        <v>2018</v>
      </c>
      <c r="O96" t="s">
        <v>1118</v>
      </c>
      <c r="S96">
        <v>12</v>
      </c>
      <c r="T96">
        <v>0</v>
      </c>
      <c r="V96">
        <v>0</v>
      </c>
      <c r="W96" s="21">
        <v>0</v>
      </c>
      <c r="X96">
        <v>1000</v>
      </c>
      <c r="Y96" s="21">
        <v>0</v>
      </c>
      <c r="AK96" t="s">
        <v>1260</v>
      </c>
    </row>
    <row r="97" spans="1:37" x14ac:dyDescent="0.25">
      <c r="A97">
        <f t="shared" si="1"/>
        <v>96</v>
      </c>
      <c r="B97">
        <v>99</v>
      </c>
      <c r="C97">
        <v>3010</v>
      </c>
      <c r="D97" t="s">
        <v>578</v>
      </c>
      <c r="E97" t="s">
        <v>579</v>
      </c>
      <c r="F97" t="s">
        <v>1091</v>
      </c>
      <c r="G97" t="s">
        <v>1285</v>
      </c>
      <c r="M97">
        <v>0</v>
      </c>
      <c r="N97">
        <v>2018</v>
      </c>
      <c r="O97" t="s">
        <v>1114</v>
      </c>
      <c r="P97" t="s">
        <v>1126</v>
      </c>
      <c r="S97">
        <v>960</v>
      </c>
      <c r="T97">
        <v>0</v>
      </c>
      <c r="V97">
        <v>0</v>
      </c>
      <c r="W97" s="21">
        <v>0</v>
      </c>
      <c r="X97">
        <v>53000</v>
      </c>
      <c r="Y97" s="21">
        <v>0</v>
      </c>
    </row>
    <row r="98" spans="1:37" x14ac:dyDescent="0.25">
      <c r="A98">
        <f t="shared" si="1"/>
        <v>97</v>
      </c>
      <c r="B98">
        <v>100</v>
      </c>
      <c r="C98">
        <v>3011</v>
      </c>
      <c r="D98" t="s">
        <v>550</v>
      </c>
      <c r="E98" t="s">
        <v>582</v>
      </c>
      <c r="F98" t="s">
        <v>1085</v>
      </c>
      <c r="G98" t="s">
        <v>1285</v>
      </c>
      <c r="M98">
        <v>0</v>
      </c>
      <c r="N98">
        <v>2018</v>
      </c>
      <c r="O98" t="s">
        <v>1114</v>
      </c>
      <c r="S98">
        <v>0</v>
      </c>
      <c r="T98">
        <v>0</v>
      </c>
      <c r="V98">
        <v>0</v>
      </c>
      <c r="W98" s="21">
        <v>0</v>
      </c>
      <c r="X98">
        <v>12150</v>
      </c>
      <c r="Y98" s="21">
        <v>0</v>
      </c>
    </row>
    <row r="99" spans="1:37" x14ac:dyDescent="0.25">
      <c r="A99">
        <f t="shared" si="1"/>
        <v>98</v>
      </c>
      <c r="B99">
        <v>101</v>
      </c>
      <c r="C99">
        <v>3012</v>
      </c>
      <c r="D99" t="s">
        <v>550</v>
      </c>
      <c r="E99" t="s">
        <v>587</v>
      </c>
      <c r="F99" t="s">
        <v>1085</v>
      </c>
      <c r="G99" t="s">
        <v>1285</v>
      </c>
      <c r="M99">
        <v>0</v>
      </c>
      <c r="N99">
        <v>2018</v>
      </c>
      <c r="O99" t="s">
        <v>1104</v>
      </c>
      <c r="S99">
        <v>0</v>
      </c>
      <c r="T99">
        <v>0</v>
      </c>
      <c r="V99">
        <v>0</v>
      </c>
      <c r="W99" s="21">
        <v>0</v>
      </c>
      <c r="X99">
        <v>0</v>
      </c>
      <c r="Y99" s="21">
        <v>0</v>
      </c>
    </row>
    <row r="100" spans="1:37" x14ac:dyDescent="0.25">
      <c r="A100">
        <f t="shared" si="1"/>
        <v>99</v>
      </c>
      <c r="B100">
        <v>102</v>
      </c>
      <c r="C100">
        <v>3013</v>
      </c>
      <c r="D100" t="s">
        <v>550</v>
      </c>
      <c r="E100" t="s">
        <v>590</v>
      </c>
      <c r="F100" t="s">
        <v>1085</v>
      </c>
      <c r="G100" t="s">
        <v>1285</v>
      </c>
      <c r="M100">
        <v>0</v>
      </c>
      <c r="N100">
        <v>2018</v>
      </c>
      <c r="O100" t="s">
        <v>1277</v>
      </c>
      <c r="S100">
        <v>40</v>
      </c>
      <c r="T100">
        <v>0</v>
      </c>
      <c r="V100">
        <v>0</v>
      </c>
      <c r="W100" s="21">
        <v>0</v>
      </c>
      <c r="X100">
        <v>6000</v>
      </c>
      <c r="Y100" s="21">
        <v>0</v>
      </c>
    </row>
    <row r="101" spans="1:37" x14ac:dyDescent="0.25">
      <c r="A101">
        <f t="shared" si="1"/>
        <v>100</v>
      </c>
      <c r="B101">
        <v>103</v>
      </c>
      <c r="C101">
        <v>3014</v>
      </c>
      <c r="D101" t="s">
        <v>595</v>
      </c>
      <c r="E101" t="s">
        <v>596</v>
      </c>
      <c r="F101" t="s">
        <v>1099</v>
      </c>
      <c r="G101" t="s">
        <v>1285</v>
      </c>
      <c r="M101">
        <v>0</v>
      </c>
      <c r="N101">
        <v>2018</v>
      </c>
      <c r="S101">
        <v>4850</v>
      </c>
      <c r="T101">
        <v>0</v>
      </c>
      <c r="V101">
        <v>0</v>
      </c>
      <c r="W101" s="21">
        <v>0</v>
      </c>
      <c r="X101">
        <v>980054</v>
      </c>
      <c r="Y101" s="21">
        <v>0</v>
      </c>
      <c r="AK101" t="s">
        <v>1261</v>
      </c>
    </row>
    <row r="102" spans="1:37" x14ac:dyDescent="0.25">
      <c r="A102">
        <f t="shared" si="1"/>
        <v>101</v>
      </c>
      <c r="B102">
        <v>104</v>
      </c>
      <c r="C102">
        <v>3018</v>
      </c>
      <c r="D102" t="s">
        <v>550</v>
      </c>
      <c r="E102" t="s">
        <v>601</v>
      </c>
      <c r="F102" t="s">
        <v>1121</v>
      </c>
      <c r="G102" t="s">
        <v>1285</v>
      </c>
      <c r="M102">
        <v>0</v>
      </c>
      <c r="N102">
        <v>2019</v>
      </c>
      <c r="O102" t="s">
        <v>1114</v>
      </c>
      <c r="S102">
        <v>1000</v>
      </c>
      <c r="T102">
        <v>0</v>
      </c>
      <c r="V102">
        <v>81000</v>
      </c>
      <c r="W102" s="21">
        <v>0</v>
      </c>
      <c r="X102">
        <v>60000</v>
      </c>
      <c r="Y102" s="21">
        <v>0</v>
      </c>
    </row>
    <row r="103" spans="1:37" x14ac:dyDescent="0.25">
      <c r="A103">
        <f t="shared" si="1"/>
        <v>102</v>
      </c>
      <c r="B103">
        <v>105</v>
      </c>
      <c r="C103">
        <v>3020</v>
      </c>
      <c r="D103" t="s">
        <v>604</v>
      </c>
      <c r="E103" t="s">
        <v>605</v>
      </c>
      <c r="F103" t="s">
        <v>1127</v>
      </c>
      <c r="G103" t="s">
        <v>1285</v>
      </c>
      <c r="H103" t="s">
        <v>1128</v>
      </c>
      <c r="I103" t="s">
        <v>608</v>
      </c>
      <c r="J103" t="s">
        <v>608</v>
      </c>
      <c r="K103" t="s">
        <v>1088</v>
      </c>
      <c r="M103">
        <v>0</v>
      </c>
      <c r="N103">
        <v>2018</v>
      </c>
      <c r="O103" t="s">
        <v>1277</v>
      </c>
      <c r="S103">
        <v>0</v>
      </c>
      <c r="T103">
        <v>0</v>
      </c>
      <c r="V103">
        <v>0</v>
      </c>
      <c r="W103" s="21">
        <v>0</v>
      </c>
      <c r="X103">
        <v>160000</v>
      </c>
      <c r="Y103" s="21">
        <v>0</v>
      </c>
    </row>
    <row r="104" spans="1:37" x14ac:dyDescent="0.25">
      <c r="A104">
        <f t="shared" si="1"/>
        <v>103</v>
      </c>
      <c r="B104">
        <v>106</v>
      </c>
      <c r="C104">
        <v>3022</v>
      </c>
      <c r="D104" t="s">
        <v>550</v>
      </c>
      <c r="E104" t="s">
        <v>609</v>
      </c>
      <c r="F104" t="s">
        <v>1129</v>
      </c>
      <c r="G104" t="s">
        <v>1285</v>
      </c>
      <c r="M104">
        <v>0</v>
      </c>
      <c r="N104">
        <v>2018</v>
      </c>
      <c r="O104" t="s">
        <v>1118</v>
      </c>
      <c r="P104" t="s">
        <v>1130</v>
      </c>
      <c r="S104">
        <v>0</v>
      </c>
      <c r="T104">
        <v>0</v>
      </c>
      <c r="V104">
        <v>0</v>
      </c>
      <c r="W104" s="21">
        <v>0</v>
      </c>
      <c r="X104">
        <v>6100</v>
      </c>
      <c r="Y104" s="21">
        <v>0</v>
      </c>
    </row>
    <row r="105" spans="1:37" x14ac:dyDescent="0.25">
      <c r="A105">
        <f t="shared" si="1"/>
        <v>104</v>
      </c>
      <c r="B105">
        <v>107</v>
      </c>
      <c r="C105">
        <v>3024</v>
      </c>
      <c r="D105" t="s">
        <v>550</v>
      </c>
      <c r="F105" t="s">
        <v>1085</v>
      </c>
      <c r="G105" t="s">
        <v>1285</v>
      </c>
      <c r="M105">
        <v>0</v>
      </c>
      <c r="N105">
        <v>2018</v>
      </c>
      <c r="O105" t="s">
        <v>1277</v>
      </c>
      <c r="S105">
        <v>13</v>
      </c>
      <c r="T105">
        <v>0</v>
      </c>
      <c r="V105">
        <v>0</v>
      </c>
      <c r="W105" s="21">
        <v>0</v>
      </c>
      <c r="X105">
        <v>0</v>
      </c>
      <c r="Y105" s="21">
        <v>0</v>
      </c>
    </row>
    <row r="106" spans="1:37" x14ac:dyDescent="0.25">
      <c r="A106">
        <f t="shared" si="1"/>
        <v>105</v>
      </c>
      <c r="B106">
        <v>108</v>
      </c>
      <c r="C106">
        <v>3025</v>
      </c>
      <c r="D106" t="s">
        <v>615</v>
      </c>
      <c r="E106" t="s">
        <v>616</v>
      </c>
      <c r="F106" t="s">
        <v>1131</v>
      </c>
      <c r="G106" t="s">
        <v>1285</v>
      </c>
      <c r="M106">
        <v>0</v>
      </c>
      <c r="N106">
        <v>2019</v>
      </c>
      <c r="O106" t="s">
        <v>1114</v>
      </c>
      <c r="P106" t="s">
        <v>1104</v>
      </c>
      <c r="S106">
        <v>0</v>
      </c>
      <c r="T106">
        <v>0</v>
      </c>
      <c r="V106">
        <v>0</v>
      </c>
      <c r="W106" s="21">
        <v>0</v>
      </c>
      <c r="X106">
        <v>0</v>
      </c>
      <c r="Y106" s="21">
        <v>0</v>
      </c>
      <c r="AK106" t="s">
        <v>1262</v>
      </c>
    </row>
    <row r="107" spans="1:37" x14ac:dyDescent="0.25">
      <c r="A107">
        <f t="shared" si="1"/>
        <v>106</v>
      </c>
      <c r="B107">
        <v>109</v>
      </c>
      <c r="C107">
        <v>3026</v>
      </c>
      <c r="D107" t="s">
        <v>550</v>
      </c>
      <c r="E107" t="s">
        <v>619</v>
      </c>
      <c r="F107" t="s">
        <v>1085</v>
      </c>
      <c r="G107" t="s">
        <v>1285</v>
      </c>
      <c r="M107">
        <v>0</v>
      </c>
      <c r="N107">
        <v>2018</v>
      </c>
      <c r="O107" t="s">
        <v>1118</v>
      </c>
      <c r="S107">
        <v>50</v>
      </c>
      <c r="T107">
        <v>0</v>
      </c>
      <c r="V107">
        <v>0</v>
      </c>
      <c r="W107" s="21">
        <v>0</v>
      </c>
      <c r="X107">
        <v>1600</v>
      </c>
      <c r="Y107" s="21">
        <v>0</v>
      </c>
    </row>
    <row r="108" spans="1:37" x14ac:dyDescent="0.25">
      <c r="A108">
        <f t="shared" si="1"/>
        <v>107</v>
      </c>
      <c r="B108">
        <v>110</v>
      </c>
      <c r="C108">
        <v>3029</v>
      </c>
      <c r="D108" t="s">
        <v>574</v>
      </c>
      <c r="E108" t="s">
        <v>622</v>
      </c>
      <c r="F108" t="s">
        <v>1085</v>
      </c>
      <c r="G108" t="s">
        <v>1285</v>
      </c>
      <c r="M108">
        <v>0</v>
      </c>
      <c r="N108">
        <v>2023</v>
      </c>
      <c r="O108" t="s">
        <v>1104</v>
      </c>
      <c r="S108">
        <v>470</v>
      </c>
      <c r="T108">
        <v>0</v>
      </c>
      <c r="V108">
        <v>0</v>
      </c>
      <c r="W108" s="21">
        <v>0</v>
      </c>
      <c r="X108">
        <v>27000</v>
      </c>
      <c r="Y108" s="21">
        <v>0</v>
      </c>
      <c r="AK108" t="s">
        <v>1263</v>
      </c>
    </row>
    <row r="109" spans="1:37" x14ac:dyDescent="0.25">
      <c r="A109">
        <f t="shared" si="1"/>
        <v>108</v>
      </c>
      <c r="B109">
        <v>111</v>
      </c>
      <c r="C109">
        <v>3030</v>
      </c>
      <c r="D109" t="s">
        <v>550</v>
      </c>
      <c r="E109" t="s">
        <v>627</v>
      </c>
      <c r="F109" t="s">
        <v>1132</v>
      </c>
      <c r="G109" t="s">
        <v>1285</v>
      </c>
      <c r="M109">
        <v>0</v>
      </c>
      <c r="N109">
        <v>2019</v>
      </c>
      <c r="O109" t="s">
        <v>1104</v>
      </c>
      <c r="S109">
        <v>3060</v>
      </c>
      <c r="T109">
        <v>0</v>
      </c>
      <c r="V109">
        <v>0</v>
      </c>
      <c r="W109" s="21">
        <v>0</v>
      </c>
      <c r="X109">
        <v>26530</v>
      </c>
      <c r="Y109" s="21">
        <v>0</v>
      </c>
    </row>
    <row r="110" spans="1:37" x14ac:dyDescent="0.25">
      <c r="A110">
        <f t="shared" si="1"/>
        <v>109</v>
      </c>
      <c r="B110">
        <v>112</v>
      </c>
      <c r="C110">
        <v>3032</v>
      </c>
      <c r="D110" t="s">
        <v>631</v>
      </c>
      <c r="E110" t="s">
        <v>632</v>
      </c>
      <c r="F110" t="s">
        <v>1133</v>
      </c>
      <c r="G110" t="s">
        <v>1285</v>
      </c>
      <c r="M110">
        <v>0</v>
      </c>
      <c r="N110">
        <v>2021</v>
      </c>
      <c r="O110" t="s">
        <v>1277</v>
      </c>
      <c r="S110">
        <v>710</v>
      </c>
      <c r="T110">
        <v>0</v>
      </c>
      <c r="V110">
        <v>0</v>
      </c>
      <c r="W110" s="21">
        <v>0</v>
      </c>
      <c r="X110">
        <v>9140</v>
      </c>
      <c r="Y110" s="21">
        <v>0</v>
      </c>
      <c r="AK110" t="s">
        <v>1264</v>
      </c>
    </row>
    <row r="111" spans="1:37" x14ac:dyDescent="0.25">
      <c r="A111">
        <f t="shared" si="1"/>
        <v>110</v>
      </c>
      <c r="B111">
        <v>113</v>
      </c>
      <c r="C111">
        <v>3037</v>
      </c>
      <c r="D111" t="s">
        <v>550</v>
      </c>
      <c r="E111" t="s">
        <v>636</v>
      </c>
      <c r="F111" t="s">
        <v>1085</v>
      </c>
      <c r="G111" t="s">
        <v>1285</v>
      </c>
      <c r="M111">
        <v>0</v>
      </c>
      <c r="N111">
        <v>2019</v>
      </c>
      <c r="O111" t="s">
        <v>1118</v>
      </c>
      <c r="S111">
        <v>11812</v>
      </c>
      <c r="T111">
        <v>0</v>
      </c>
      <c r="V111">
        <v>0</v>
      </c>
      <c r="W111" s="21">
        <v>0</v>
      </c>
      <c r="X111">
        <v>1637473</v>
      </c>
      <c r="Y111" s="21">
        <v>0</v>
      </c>
    </row>
    <row r="112" spans="1:37" x14ac:dyDescent="0.25">
      <c r="A112">
        <f t="shared" si="1"/>
        <v>111</v>
      </c>
      <c r="B112">
        <v>114</v>
      </c>
      <c r="C112">
        <v>3038</v>
      </c>
      <c r="D112" t="s">
        <v>550</v>
      </c>
      <c r="E112" t="s">
        <v>640</v>
      </c>
      <c r="F112" t="s">
        <v>1085</v>
      </c>
      <c r="G112" t="s">
        <v>1285</v>
      </c>
      <c r="M112">
        <v>0</v>
      </c>
      <c r="N112">
        <v>2019</v>
      </c>
      <c r="O112" t="s">
        <v>1277</v>
      </c>
      <c r="S112">
        <v>40</v>
      </c>
      <c r="T112">
        <v>0</v>
      </c>
      <c r="V112">
        <v>0</v>
      </c>
      <c r="W112" s="21">
        <v>0</v>
      </c>
      <c r="X112">
        <v>0</v>
      </c>
      <c r="Y112" s="21">
        <v>0</v>
      </c>
    </row>
    <row r="113" spans="1:37" x14ac:dyDescent="0.25">
      <c r="A113">
        <f t="shared" si="1"/>
        <v>112</v>
      </c>
      <c r="B113">
        <v>115</v>
      </c>
      <c r="C113">
        <v>3041</v>
      </c>
      <c r="D113" t="s">
        <v>643</v>
      </c>
      <c r="E113" t="s">
        <v>644</v>
      </c>
      <c r="F113" t="s">
        <v>1134</v>
      </c>
      <c r="G113" t="s">
        <v>1285</v>
      </c>
      <c r="M113">
        <v>0</v>
      </c>
      <c r="N113">
        <v>2019</v>
      </c>
      <c r="O113" t="s">
        <v>1282</v>
      </c>
      <c r="S113">
        <v>0</v>
      </c>
      <c r="T113">
        <v>0</v>
      </c>
      <c r="V113">
        <v>0</v>
      </c>
      <c r="W113" s="21">
        <v>0</v>
      </c>
      <c r="X113">
        <v>0</v>
      </c>
      <c r="Y113" s="21">
        <v>0</v>
      </c>
    </row>
    <row r="114" spans="1:37" x14ac:dyDescent="0.25">
      <c r="A114">
        <f t="shared" si="1"/>
        <v>113</v>
      </c>
      <c r="B114">
        <v>116</v>
      </c>
      <c r="C114">
        <v>3042</v>
      </c>
      <c r="D114" t="s">
        <v>647</v>
      </c>
      <c r="E114" t="s">
        <v>648</v>
      </c>
      <c r="F114" t="s">
        <v>1100</v>
      </c>
      <c r="G114" t="s">
        <v>1285</v>
      </c>
      <c r="M114">
        <v>0</v>
      </c>
      <c r="N114">
        <v>2020</v>
      </c>
      <c r="O114" t="s">
        <v>1277</v>
      </c>
      <c r="S114">
        <v>0</v>
      </c>
      <c r="T114">
        <v>0</v>
      </c>
      <c r="V114">
        <v>0</v>
      </c>
      <c r="W114" s="21">
        <v>0</v>
      </c>
      <c r="X114">
        <v>0</v>
      </c>
      <c r="Y114" s="21">
        <v>0</v>
      </c>
      <c r="AK114" t="s">
        <v>1265</v>
      </c>
    </row>
    <row r="115" spans="1:37" x14ac:dyDescent="0.25">
      <c r="A115">
        <f t="shared" si="1"/>
        <v>114</v>
      </c>
      <c r="B115">
        <v>117</v>
      </c>
      <c r="C115">
        <v>3043</v>
      </c>
      <c r="D115" t="s">
        <v>652</v>
      </c>
      <c r="E115" t="s">
        <v>653</v>
      </c>
      <c r="F115" t="s">
        <v>1135</v>
      </c>
      <c r="G115" t="s">
        <v>1285</v>
      </c>
      <c r="M115">
        <v>0</v>
      </c>
      <c r="N115">
        <v>2019</v>
      </c>
      <c r="O115" t="s">
        <v>1277</v>
      </c>
      <c r="S115">
        <v>0</v>
      </c>
      <c r="T115">
        <v>0</v>
      </c>
      <c r="V115">
        <v>0</v>
      </c>
      <c r="W115" s="21">
        <v>0</v>
      </c>
      <c r="X115">
        <v>11425</v>
      </c>
      <c r="Y115" s="21">
        <v>0</v>
      </c>
    </row>
    <row r="116" spans="1:37" x14ac:dyDescent="0.25">
      <c r="A116">
        <f t="shared" si="1"/>
        <v>115</v>
      </c>
      <c r="B116">
        <v>118</v>
      </c>
      <c r="C116">
        <v>3045</v>
      </c>
      <c r="D116" t="s">
        <v>657</v>
      </c>
      <c r="E116" t="s">
        <v>658</v>
      </c>
      <c r="F116" t="s">
        <v>1136</v>
      </c>
      <c r="G116" t="s">
        <v>1285</v>
      </c>
      <c r="M116">
        <v>0</v>
      </c>
      <c r="N116">
        <v>2019</v>
      </c>
      <c r="S116">
        <v>0</v>
      </c>
      <c r="T116">
        <v>0</v>
      </c>
      <c r="V116">
        <v>0</v>
      </c>
      <c r="W116" s="21">
        <v>0</v>
      </c>
      <c r="X116">
        <v>0</v>
      </c>
      <c r="Y116" s="21">
        <v>0</v>
      </c>
    </row>
    <row r="117" spans="1:37" x14ac:dyDescent="0.25">
      <c r="A117">
        <f t="shared" si="1"/>
        <v>116</v>
      </c>
      <c r="B117">
        <v>119</v>
      </c>
      <c r="C117">
        <v>3046</v>
      </c>
      <c r="D117" t="s">
        <v>298</v>
      </c>
      <c r="E117" t="s">
        <v>662</v>
      </c>
      <c r="F117" t="s">
        <v>1137</v>
      </c>
      <c r="G117" t="s">
        <v>1285</v>
      </c>
      <c r="M117">
        <v>0</v>
      </c>
      <c r="N117">
        <v>2019</v>
      </c>
      <c r="O117" t="s">
        <v>1282</v>
      </c>
      <c r="S117">
        <v>0</v>
      </c>
      <c r="T117">
        <v>0</v>
      </c>
      <c r="V117">
        <v>0</v>
      </c>
      <c r="W117" s="21">
        <v>0</v>
      </c>
      <c r="X117">
        <v>243600</v>
      </c>
      <c r="Y117" s="21">
        <v>0</v>
      </c>
    </row>
    <row r="118" spans="1:37" x14ac:dyDescent="0.25">
      <c r="A118">
        <f t="shared" si="1"/>
        <v>117</v>
      </c>
      <c r="B118">
        <v>120</v>
      </c>
      <c r="C118">
        <v>3047</v>
      </c>
      <c r="D118" t="s">
        <v>665</v>
      </c>
      <c r="E118" t="s">
        <v>666</v>
      </c>
      <c r="F118" t="s">
        <v>1134</v>
      </c>
      <c r="G118" t="s">
        <v>1285</v>
      </c>
      <c r="M118">
        <v>0</v>
      </c>
      <c r="N118">
        <v>2020</v>
      </c>
      <c r="O118" t="s">
        <v>1282</v>
      </c>
      <c r="S118">
        <v>0</v>
      </c>
      <c r="T118">
        <v>0</v>
      </c>
      <c r="V118">
        <v>0</v>
      </c>
      <c r="W118" s="21">
        <v>0</v>
      </c>
      <c r="X118">
        <v>17000</v>
      </c>
      <c r="Y118" s="21">
        <v>0</v>
      </c>
      <c r="AK118" t="s">
        <v>1266</v>
      </c>
    </row>
    <row r="119" spans="1:37" x14ac:dyDescent="0.25">
      <c r="A119">
        <f t="shared" si="1"/>
        <v>118</v>
      </c>
      <c r="B119">
        <v>121</v>
      </c>
      <c r="C119">
        <v>3050</v>
      </c>
      <c r="D119" t="s">
        <v>669</v>
      </c>
      <c r="E119" t="s">
        <v>670</v>
      </c>
      <c r="F119" t="s">
        <v>1134</v>
      </c>
      <c r="G119" t="s">
        <v>1285</v>
      </c>
      <c r="H119" t="s">
        <v>1138</v>
      </c>
      <c r="I119" t="s">
        <v>350</v>
      </c>
      <c r="J119" t="s">
        <v>1139</v>
      </c>
      <c r="K119" t="s">
        <v>1140</v>
      </c>
      <c r="M119">
        <v>0</v>
      </c>
      <c r="N119">
        <v>2022</v>
      </c>
      <c r="O119" t="s">
        <v>1282</v>
      </c>
      <c r="S119">
        <v>625</v>
      </c>
      <c r="T119">
        <v>0</v>
      </c>
      <c r="V119">
        <v>0</v>
      </c>
      <c r="W119" s="21">
        <v>0</v>
      </c>
      <c r="X119">
        <v>1289235</v>
      </c>
      <c r="Y119" s="21">
        <v>0</v>
      </c>
      <c r="AK119" t="s">
        <v>1267</v>
      </c>
    </row>
    <row r="120" spans="1:37" x14ac:dyDescent="0.25">
      <c r="A120">
        <f t="shared" si="1"/>
        <v>119</v>
      </c>
      <c r="B120">
        <v>122</v>
      </c>
      <c r="C120">
        <v>3054</v>
      </c>
      <c r="D120" t="s">
        <v>674</v>
      </c>
      <c r="E120" t="s">
        <v>675</v>
      </c>
      <c r="F120" t="s">
        <v>1085</v>
      </c>
      <c r="G120" t="s">
        <v>1285</v>
      </c>
      <c r="M120">
        <v>0</v>
      </c>
      <c r="N120">
        <v>2022</v>
      </c>
      <c r="S120">
        <v>0</v>
      </c>
      <c r="T120">
        <v>0</v>
      </c>
      <c r="V120">
        <v>0</v>
      </c>
      <c r="W120" s="21">
        <v>0</v>
      </c>
      <c r="X120">
        <v>6000</v>
      </c>
      <c r="Y120" s="21">
        <v>0</v>
      </c>
    </row>
    <row r="121" spans="1:37" x14ac:dyDescent="0.25">
      <c r="A121">
        <f t="shared" si="1"/>
        <v>120</v>
      </c>
      <c r="B121">
        <v>123</v>
      </c>
      <c r="C121">
        <v>3055</v>
      </c>
      <c r="D121" t="s">
        <v>679</v>
      </c>
      <c r="E121" t="s">
        <v>680</v>
      </c>
      <c r="F121" t="s">
        <v>1085</v>
      </c>
      <c r="G121" t="s">
        <v>1285</v>
      </c>
      <c r="M121">
        <v>0</v>
      </c>
      <c r="N121">
        <v>2020</v>
      </c>
      <c r="O121" t="s">
        <v>1118</v>
      </c>
      <c r="S121">
        <v>1193</v>
      </c>
      <c r="T121">
        <v>0</v>
      </c>
      <c r="V121">
        <v>0</v>
      </c>
      <c r="W121" s="21">
        <v>0</v>
      </c>
      <c r="X121">
        <v>0</v>
      </c>
      <c r="Y121" s="21">
        <v>0</v>
      </c>
    </row>
    <row r="122" spans="1:37" x14ac:dyDescent="0.25">
      <c r="A122">
        <f t="shared" si="1"/>
        <v>121</v>
      </c>
      <c r="B122">
        <v>124</v>
      </c>
      <c r="C122">
        <v>3057</v>
      </c>
      <c r="D122" t="s">
        <v>682</v>
      </c>
      <c r="E122" t="s">
        <v>683</v>
      </c>
      <c r="F122" t="s">
        <v>1085</v>
      </c>
      <c r="G122" t="s">
        <v>1285</v>
      </c>
      <c r="M122">
        <v>0</v>
      </c>
      <c r="N122">
        <v>2020</v>
      </c>
      <c r="S122">
        <v>0</v>
      </c>
      <c r="T122">
        <v>0</v>
      </c>
      <c r="V122">
        <v>0</v>
      </c>
      <c r="W122" s="21">
        <v>0</v>
      </c>
      <c r="X122">
        <v>0</v>
      </c>
      <c r="Y122" s="21">
        <v>0</v>
      </c>
    </row>
    <row r="123" spans="1:37" x14ac:dyDescent="0.25">
      <c r="A123">
        <f t="shared" si="1"/>
        <v>122</v>
      </c>
      <c r="B123">
        <v>125</v>
      </c>
      <c r="C123">
        <v>3058</v>
      </c>
      <c r="D123" t="s">
        <v>685</v>
      </c>
      <c r="E123" t="s">
        <v>686</v>
      </c>
      <c r="F123" t="s">
        <v>1085</v>
      </c>
      <c r="G123" t="s">
        <v>1285</v>
      </c>
      <c r="M123">
        <v>0</v>
      </c>
      <c r="N123">
        <v>2021</v>
      </c>
      <c r="S123">
        <v>4388</v>
      </c>
      <c r="T123">
        <v>0</v>
      </c>
      <c r="V123">
        <v>0</v>
      </c>
      <c r="W123" s="21">
        <v>0</v>
      </c>
      <c r="X123">
        <v>170000</v>
      </c>
      <c r="Y123" s="21">
        <v>0</v>
      </c>
      <c r="AK123" t="s">
        <v>1268</v>
      </c>
    </row>
    <row r="124" spans="1:37" x14ac:dyDescent="0.25">
      <c r="A124">
        <f t="shared" si="1"/>
        <v>123</v>
      </c>
      <c r="B124">
        <v>126</v>
      </c>
      <c r="C124">
        <v>3059</v>
      </c>
      <c r="D124" t="s">
        <v>688</v>
      </c>
      <c r="E124" t="s">
        <v>689</v>
      </c>
      <c r="F124" t="s">
        <v>1141</v>
      </c>
      <c r="G124" t="s">
        <v>1285</v>
      </c>
      <c r="M124">
        <v>2019</v>
      </c>
      <c r="N124">
        <v>2020</v>
      </c>
      <c r="O124" t="s">
        <v>1277</v>
      </c>
      <c r="S124">
        <v>420</v>
      </c>
      <c r="T124">
        <v>0</v>
      </c>
      <c r="V124">
        <v>0</v>
      </c>
      <c r="W124" s="21">
        <v>0</v>
      </c>
      <c r="X124">
        <v>12490</v>
      </c>
      <c r="Y124" s="21">
        <v>0</v>
      </c>
      <c r="AK124" t="s">
        <v>1278</v>
      </c>
    </row>
    <row r="125" spans="1:37" x14ac:dyDescent="0.25">
      <c r="A125">
        <f t="shared" si="1"/>
        <v>124</v>
      </c>
      <c r="B125">
        <v>127</v>
      </c>
      <c r="C125">
        <v>3061</v>
      </c>
      <c r="D125" t="s">
        <v>692</v>
      </c>
      <c r="E125" t="s">
        <v>693</v>
      </c>
      <c r="F125" t="s">
        <v>1141</v>
      </c>
      <c r="G125" t="s">
        <v>1285</v>
      </c>
      <c r="M125">
        <v>2019</v>
      </c>
      <c r="N125">
        <v>2020</v>
      </c>
      <c r="O125" t="s">
        <v>1277</v>
      </c>
      <c r="S125">
        <v>0</v>
      </c>
      <c r="T125">
        <v>0</v>
      </c>
      <c r="V125">
        <v>0</v>
      </c>
      <c r="W125" s="21">
        <v>0</v>
      </c>
      <c r="X125">
        <v>27200</v>
      </c>
      <c r="Y125" s="21">
        <v>0</v>
      </c>
      <c r="AK125" t="s">
        <v>1278</v>
      </c>
    </row>
    <row r="126" spans="1:37" x14ac:dyDescent="0.25">
      <c r="A126">
        <f t="shared" si="1"/>
        <v>125</v>
      </c>
      <c r="B126">
        <v>128</v>
      </c>
      <c r="C126">
        <v>3062</v>
      </c>
      <c r="D126" t="s">
        <v>697</v>
      </c>
      <c r="E126" t="s">
        <v>698</v>
      </c>
      <c r="G126" t="s">
        <v>1285</v>
      </c>
      <c r="M126">
        <v>0</v>
      </c>
      <c r="N126">
        <v>2020</v>
      </c>
      <c r="S126">
        <v>0</v>
      </c>
      <c r="T126">
        <v>0</v>
      </c>
      <c r="V126">
        <v>0</v>
      </c>
      <c r="W126" s="21">
        <v>0</v>
      </c>
      <c r="X126">
        <v>0</v>
      </c>
      <c r="Y126" s="21">
        <v>0</v>
      </c>
    </row>
    <row r="127" spans="1:37" x14ac:dyDescent="0.25">
      <c r="A127">
        <f t="shared" si="1"/>
        <v>126</v>
      </c>
      <c r="B127">
        <v>129</v>
      </c>
      <c r="C127">
        <v>3063</v>
      </c>
      <c r="D127" t="s">
        <v>702</v>
      </c>
      <c r="E127" t="s">
        <v>703</v>
      </c>
      <c r="F127" t="s">
        <v>1142</v>
      </c>
      <c r="G127" t="s">
        <v>1285</v>
      </c>
      <c r="M127">
        <v>0</v>
      </c>
      <c r="N127">
        <v>2021</v>
      </c>
      <c r="O127" t="s">
        <v>1282</v>
      </c>
      <c r="S127">
        <v>4000</v>
      </c>
      <c r="T127">
        <v>0</v>
      </c>
      <c r="V127">
        <v>0</v>
      </c>
      <c r="W127" s="21">
        <v>0</v>
      </c>
      <c r="X127">
        <v>0</v>
      </c>
      <c r="Y127" s="21">
        <v>0</v>
      </c>
      <c r="AK127" t="s">
        <v>1269</v>
      </c>
    </row>
    <row r="128" spans="1:37" x14ac:dyDescent="0.25">
      <c r="A128">
        <f t="shared" si="1"/>
        <v>127</v>
      </c>
      <c r="B128">
        <v>130</v>
      </c>
      <c r="C128">
        <v>3067</v>
      </c>
      <c r="D128" t="s">
        <v>708</v>
      </c>
      <c r="E128" t="s">
        <v>709</v>
      </c>
      <c r="F128" t="s">
        <v>1099</v>
      </c>
      <c r="G128" t="s">
        <v>1285</v>
      </c>
      <c r="M128">
        <v>0</v>
      </c>
      <c r="N128">
        <v>2020</v>
      </c>
      <c r="O128" t="s">
        <v>1277</v>
      </c>
      <c r="S128">
        <v>1240</v>
      </c>
      <c r="T128">
        <v>0</v>
      </c>
      <c r="V128">
        <v>0</v>
      </c>
      <c r="W128" s="21">
        <v>0</v>
      </c>
      <c r="X128">
        <v>0</v>
      </c>
      <c r="Y128" s="21">
        <v>0</v>
      </c>
    </row>
    <row r="129" spans="1:37" x14ac:dyDescent="0.25">
      <c r="A129">
        <f t="shared" si="1"/>
        <v>128</v>
      </c>
      <c r="B129">
        <v>131</v>
      </c>
      <c r="C129">
        <v>3068</v>
      </c>
      <c r="D129" t="s">
        <v>708</v>
      </c>
      <c r="E129" t="s">
        <v>713</v>
      </c>
      <c r="F129" t="s">
        <v>1121</v>
      </c>
      <c r="G129" t="s">
        <v>1285</v>
      </c>
      <c r="M129">
        <v>0</v>
      </c>
      <c r="N129">
        <v>2020</v>
      </c>
      <c r="O129" t="s">
        <v>1114</v>
      </c>
      <c r="S129">
        <v>544</v>
      </c>
      <c r="T129">
        <v>0</v>
      </c>
      <c r="V129">
        <v>0</v>
      </c>
      <c r="W129" s="21">
        <v>0</v>
      </c>
      <c r="X129">
        <v>0</v>
      </c>
      <c r="Y129" s="21">
        <v>0</v>
      </c>
    </row>
    <row r="130" spans="1:37" x14ac:dyDescent="0.25">
      <c r="A130">
        <f t="shared" ref="A130:A193" si="2">ROW(A130)-1</f>
        <v>129</v>
      </c>
      <c r="B130">
        <v>132</v>
      </c>
      <c r="C130">
        <v>3070</v>
      </c>
      <c r="D130" t="s">
        <v>550</v>
      </c>
      <c r="E130" t="s">
        <v>715</v>
      </c>
      <c r="F130" t="s">
        <v>1085</v>
      </c>
      <c r="G130" t="s">
        <v>1285</v>
      </c>
      <c r="M130">
        <v>0</v>
      </c>
      <c r="N130">
        <v>2020</v>
      </c>
      <c r="O130" t="s">
        <v>1277</v>
      </c>
      <c r="S130">
        <v>1000</v>
      </c>
      <c r="T130">
        <v>0</v>
      </c>
      <c r="V130">
        <v>0</v>
      </c>
      <c r="W130" s="21">
        <v>0</v>
      </c>
      <c r="X130">
        <v>0</v>
      </c>
      <c r="Y130" s="21">
        <v>0</v>
      </c>
    </row>
    <row r="131" spans="1:37" x14ac:dyDescent="0.25">
      <c r="A131">
        <f t="shared" si="2"/>
        <v>130</v>
      </c>
      <c r="B131">
        <v>133</v>
      </c>
      <c r="C131">
        <v>3071</v>
      </c>
      <c r="D131" t="s">
        <v>550</v>
      </c>
      <c r="E131" t="s">
        <v>717</v>
      </c>
      <c r="F131" t="s">
        <v>1091</v>
      </c>
      <c r="G131" t="s">
        <v>1285</v>
      </c>
      <c r="M131">
        <v>0</v>
      </c>
      <c r="N131">
        <v>2020</v>
      </c>
      <c r="O131" t="s">
        <v>1114</v>
      </c>
      <c r="S131">
        <v>333</v>
      </c>
      <c r="T131">
        <v>0</v>
      </c>
      <c r="V131">
        <v>0</v>
      </c>
      <c r="W131" s="21">
        <v>0</v>
      </c>
      <c r="X131">
        <v>0</v>
      </c>
      <c r="Y131" s="21">
        <v>0</v>
      </c>
    </row>
    <row r="132" spans="1:37" x14ac:dyDescent="0.25">
      <c r="A132">
        <f t="shared" si="2"/>
        <v>131</v>
      </c>
      <c r="B132">
        <v>134</v>
      </c>
      <c r="C132">
        <v>3081</v>
      </c>
      <c r="D132" t="s">
        <v>298</v>
      </c>
      <c r="E132" t="s">
        <v>720</v>
      </c>
      <c r="G132" t="s">
        <v>1285</v>
      </c>
      <c r="M132">
        <v>0</v>
      </c>
      <c r="N132">
        <v>0</v>
      </c>
      <c r="S132">
        <v>0</v>
      </c>
      <c r="T132">
        <v>0</v>
      </c>
      <c r="V132">
        <v>0</v>
      </c>
      <c r="W132" s="21">
        <v>0</v>
      </c>
      <c r="X132">
        <v>0</v>
      </c>
      <c r="Y132" s="21">
        <v>0</v>
      </c>
    </row>
    <row r="133" spans="1:37" x14ac:dyDescent="0.25">
      <c r="A133">
        <f t="shared" si="2"/>
        <v>132</v>
      </c>
      <c r="B133">
        <v>135</v>
      </c>
      <c r="C133">
        <v>3082</v>
      </c>
      <c r="D133" t="s">
        <v>724</v>
      </c>
      <c r="E133" t="s">
        <v>725</v>
      </c>
      <c r="F133" t="s">
        <v>1085</v>
      </c>
      <c r="G133" t="s">
        <v>1285</v>
      </c>
      <c r="M133">
        <v>0</v>
      </c>
      <c r="N133">
        <v>2020</v>
      </c>
      <c r="O133" t="s">
        <v>1277</v>
      </c>
      <c r="S133">
        <v>0</v>
      </c>
      <c r="T133">
        <v>0</v>
      </c>
      <c r="V133">
        <v>0</v>
      </c>
      <c r="W133" s="21">
        <v>0</v>
      </c>
      <c r="X133">
        <v>0</v>
      </c>
      <c r="Y133" s="21">
        <v>0</v>
      </c>
    </row>
    <row r="134" spans="1:37" x14ac:dyDescent="0.25">
      <c r="A134">
        <f t="shared" si="2"/>
        <v>133</v>
      </c>
      <c r="B134">
        <v>136</v>
      </c>
      <c r="C134">
        <v>3084</v>
      </c>
      <c r="D134" t="s">
        <v>732</v>
      </c>
      <c r="E134" t="s">
        <v>733</v>
      </c>
      <c r="F134" t="s">
        <v>1143</v>
      </c>
      <c r="G134" t="s">
        <v>1285</v>
      </c>
      <c r="H134" t="s">
        <v>1144</v>
      </c>
      <c r="I134" t="s">
        <v>103</v>
      </c>
      <c r="J134" t="s">
        <v>1145</v>
      </c>
      <c r="K134" t="s">
        <v>1066</v>
      </c>
      <c r="M134">
        <v>0</v>
      </c>
      <c r="N134">
        <v>2022</v>
      </c>
      <c r="O134" t="s">
        <v>1277</v>
      </c>
      <c r="S134">
        <v>5656</v>
      </c>
      <c r="T134">
        <v>0</v>
      </c>
      <c r="V134">
        <v>0</v>
      </c>
      <c r="W134" s="21">
        <v>0</v>
      </c>
      <c r="X134">
        <v>0</v>
      </c>
      <c r="Y134" s="21">
        <v>0</v>
      </c>
      <c r="AK134" t="s">
        <v>1270</v>
      </c>
    </row>
    <row r="135" spans="1:37" x14ac:dyDescent="0.25">
      <c r="A135">
        <f t="shared" si="2"/>
        <v>134</v>
      </c>
      <c r="B135">
        <v>137</v>
      </c>
      <c r="C135">
        <v>3085</v>
      </c>
      <c r="D135" t="s">
        <v>737</v>
      </c>
      <c r="E135" t="s">
        <v>738</v>
      </c>
      <c r="F135" t="s">
        <v>1100</v>
      </c>
      <c r="G135" t="s">
        <v>1285</v>
      </c>
      <c r="H135" t="s">
        <v>1146</v>
      </c>
      <c r="I135" t="s">
        <v>344</v>
      </c>
      <c r="J135" t="s">
        <v>739</v>
      </c>
      <c r="K135" t="s">
        <v>1147</v>
      </c>
      <c r="M135">
        <v>0</v>
      </c>
      <c r="N135">
        <v>2021</v>
      </c>
      <c r="O135" t="s">
        <v>1277</v>
      </c>
      <c r="S135">
        <v>4000</v>
      </c>
      <c r="T135">
        <v>0</v>
      </c>
      <c r="V135">
        <v>0</v>
      </c>
      <c r="W135" s="21">
        <v>0</v>
      </c>
      <c r="X135">
        <v>170000</v>
      </c>
      <c r="Y135" s="21">
        <v>0</v>
      </c>
    </row>
    <row r="136" spans="1:37" x14ac:dyDescent="0.25">
      <c r="A136">
        <f t="shared" si="2"/>
        <v>135</v>
      </c>
      <c r="B136">
        <v>138</v>
      </c>
      <c r="C136">
        <v>3086</v>
      </c>
      <c r="D136" t="s">
        <v>740</v>
      </c>
      <c r="E136" t="s">
        <v>741</v>
      </c>
      <c r="F136" t="s">
        <v>1148</v>
      </c>
      <c r="G136" t="s">
        <v>1285</v>
      </c>
      <c r="H136" t="s">
        <v>1149</v>
      </c>
      <c r="I136" t="s">
        <v>742</v>
      </c>
      <c r="J136" t="s">
        <v>411</v>
      </c>
      <c r="K136" t="s">
        <v>1150</v>
      </c>
      <c r="M136">
        <v>0</v>
      </c>
      <c r="N136">
        <v>2021</v>
      </c>
      <c r="O136" t="s">
        <v>1104</v>
      </c>
      <c r="S136">
        <v>150</v>
      </c>
      <c r="T136">
        <v>0</v>
      </c>
      <c r="V136">
        <v>0</v>
      </c>
      <c r="W136" s="21">
        <v>0</v>
      </c>
      <c r="X136">
        <v>45295</v>
      </c>
      <c r="Y136" s="21">
        <v>0</v>
      </c>
    </row>
    <row r="137" spans="1:37" x14ac:dyDescent="0.25">
      <c r="A137">
        <f t="shared" si="2"/>
        <v>136</v>
      </c>
      <c r="B137">
        <v>139</v>
      </c>
      <c r="C137">
        <v>3087</v>
      </c>
      <c r="D137" t="s">
        <v>298</v>
      </c>
      <c r="E137" t="s">
        <v>743</v>
      </c>
      <c r="F137" t="s">
        <v>1094</v>
      </c>
      <c r="G137" t="s">
        <v>1285</v>
      </c>
      <c r="M137">
        <v>0</v>
      </c>
      <c r="N137">
        <v>2020</v>
      </c>
      <c r="O137" t="s">
        <v>1277</v>
      </c>
      <c r="S137">
        <v>0</v>
      </c>
      <c r="T137">
        <v>0</v>
      </c>
      <c r="V137">
        <v>0</v>
      </c>
      <c r="W137" s="21">
        <v>0</v>
      </c>
      <c r="X137">
        <v>0</v>
      </c>
      <c r="Y137" s="21">
        <v>0</v>
      </c>
    </row>
    <row r="138" spans="1:37" x14ac:dyDescent="0.25">
      <c r="A138">
        <f t="shared" si="2"/>
        <v>137</v>
      </c>
      <c r="B138">
        <v>140</v>
      </c>
      <c r="C138">
        <v>3088</v>
      </c>
      <c r="D138" t="s">
        <v>740</v>
      </c>
      <c r="E138" t="s">
        <v>746</v>
      </c>
      <c r="F138" t="s">
        <v>1151</v>
      </c>
      <c r="G138" t="s">
        <v>1285</v>
      </c>
      <c r="H138" t="s">
        <v>1144</v>
      </c>
      <c r="I138" t="s">
        <v>103</v>
      </c>
      <c r="J138" t="s">
        <v>749</v>
      </c>
      <c r="K138" t="s">
        <v>1152</v>
      </c>
      <c r="M138">
        <v>1956</v>
      </c>
      <c r="N138">
        <v>2022</v>
      </c>
      <c r="O138" t="s">
        <v>1118</v>
      </c>
      <c r="P138" t="s">
        <v>1153</v>
      </c>
      <c r="S138">
        <v>540</v>
      </c>
      <c r="T138">
        <v>0</v>
      </c>
      <c r="V138">
        <v>75000</v>
      </c>
      <c r="W138" s="21">
        <v>0</v>
      </c>
      <c r="X138">
        <v>10000</v>
      </c>
      <c r="Y138" s="21">
        <v>0</v>
      </c>
    </row>
    <row r="139" spans="1:37" x14ac:dyDescent="0.25">
      <c r="A139">
        <f t="shared" si="2"/>
        <v>138</v>
      </c>
      <c r="B139">
        <v>141</v>
      </c>
      <c r="C139">
        <v>3089</v>
      </c>
      <c r="D139" t="s">
        <v>750</v>
      </c>
      <c r="E139" t="s">
        <v>751</v>
      </c>
      <c r="F139" t="s">
        <v>1085</v>
      </c>
      <c r="G139" t="s">
        <v>1285</v>
      </c>
      <c r="H139" t="s">
        <v>1144</v>
      </c>
      <c r="I139" t="s">
        <v>103</v>
      </c>
      <c r="J139" t="s">
        <v>754</v>
      </c>
      <c r="K139" t="s">
        <v>1154</v>
      </c>
      <c r="M139">
        <v>1894</v>
      </c>
      <c r="N139">
        <v>2022</v>
      </c>
      <c r="O139" t="s">
        <v>1118</v>
      </c>
      <c r="P139" t="s">
        <v>1104</v>
      </c>
      <c r="S139">
        <v>800</v>
      </c>
      <c r="T139">
        <v>0</v>
      </c>
      <c r="V139">
        <v>93240</v>
      </c>
      <c r="W139" s="21">
        <v>0</v>
      </c>
      <c r="X139">
        <v>17500</v>
      </c>
      <c r="Y139" s="21">
        <v>0</v>
      </c>
    </row>
    <row r="140" spans="1:37" x14ac:dyDescent="0.25">
      <c r="A140">
        <f t="shared" si="2"/>
        <v>139</v>
      </c>
      <c r="B140">
        <v>142</v>
      </c>
      <c r="C140">
        <v>3092</v>
      </c>
      <c r="D140" t="s">
        <v>207</v>
      </c>
      <c r="E140" t="s">
        <v>755</v>
      </c>
      <c r="F140" t="s">
        <v>1085</v>
      </c>
      <c r="G140" t="s">
        <v>1285</v>
      </c>
      <c r="H140" t="s">
        <v>1144</v>
      </c>
      <c r="I140" t="s">
        <v>103</v>
      </c>
      <c r="J140" t="s">
        <v>754</v>
      </c>
      <c r="K140" t="s">
        <v>1155</v>
      </c>
      <c r="M140">
        <v>1900</v>
      </c>
      <c r="N140">
        <v>2022</v>
      </c>
      <c r="O140" t="s">
        <v>1104</v>
      </c>
      <c r="S140">
        <v>600</v>
      </c>
      <c r="T140">
        <v>0</v>
      </c>
      <c r="V140">
        <v>50000</v>
      </c>
      <c r="W140" s="21">
        <v>0</v>
      </c>
      <c r="X140">
        <v>14620</v>
      </c>
      <c r="Y140" s="21">
        <v>0</v>
      </c>
    </row>
    <row r="141" spans="1:37" x14ac:dyDescent="0.25">
      <c r="A141">
        <f t="shared" si="2"/>
        <v>140</v>
      </c>
      <c r="B141">
        <v>143</v>
      </c>
      <c r="C141">
        <v>3094</v>
      </c>
      <c r="D141" t="s">
        <v>750</v>
      </c>
      <c r="E141" t="s">
        <v>758</v>
      </c>
      <c r="F141" t="s">
        <v>1085</v>
      </c>
      <c r="G141" t="s">
        <v>1285</v>
      </c>
      <c r="H141" t="s">
        <v>1156</v>
      </c>
      <c r="I141" t="s">
        <v>554</v>
      </c>
      <c r="J141" t="s">
        <v>761</v>
      </c>
      <c r="K141" t="s">
        <v>1157</v>
      </c>
      <c r="M141">
        <v>0</v>
      </c>
      <c r="N141">
        <v>2021</v>
      </c>
      <c r="O141" t="s">
        <v>1277</v>
      </c>
      <c r="S141">
        <v>600</v>
      </c>
      <c r="T141">
        <v>0</v>
      </c>
      <c r="V141">
        <v>0</v>
      </c>
      <c r="W141" s="21">
        <v>0</v>
      </c>
      <c r="X141">
        <v>35000</v>
      </c>
      <c r="Y141" s="21">
        <v>0</v>
      </c>
    </row>
    <row r="142" spans="1:37" x14ac:dyDescent="0.25">
      <c r="A142">
        <f t="shared" si="2"/>
        <v>141</v>
      </c>
      <c r="B142">
        <v>144</v>
      </c>
      <c r="C142">
        <v>3095</v>
      </c>
      <c r="D142" t="s">
        <v>750</v>
      </c>
      <c r="E142" t="s">
        <v>762</v>
      </c>
      <c r="F142" t="s">
        <v>1085</v>
      </c>
      <c r="G142" t="s">
        <v>1285</v>
      </c>
      <c r="H142" t="s">
        <v>1158</v>
      </c>
      <c r="I142" t="s">
        <v>371</v>
      </c>
      <c r="J142" t="s">
        <v>765</v>
      </c>
      <c r="K142" t="s">
        <v>1063</v>
      </c>
      <c r="M142">
        <v>0</v>
      </c>
      <c r="N142">
        <v>2021</v>
      </c>
      <c r="O142" t="s">
        <v>1277</v>
      </c>
      <c r="S142">
        <v>250</v>
      </c>
      <c r="T142">
        <v>0</v>
      </c>
      <c r="V142">
        <v>0</v>
      </c>
      <c r="W142" s="21">
        <v>0</v>
      </c>
      <c r="X142">
        <v>14434</v>
      </c>
      <c r="Y142" s="21">
        <v>0</v>
      </c>
    </row>
    <row r="143" spans="1:37" x14ac:dyDescent="0.25">
      <c r="A143">
        <f t="shared" si="2"/>
        <v>142</v>
      </c>
      <c r="B143">
        <v>145</v>
      </c>
      <c r="C143">
        <v>3096</v>
      </c>
      <c r="D143" t="s">
        <v>766</v>
      </c>
      <c r="E143" t="s">
        <v>767</v>
      </c>
      <c r="F143" t="s">
        <v>1099</v>
      </c>
      <c r="G143" t="s">
        <v>1285</v>
      </c>
      <c r="H143" t="s">
        <v>1156</v>
      </c>
      <c r="I143" t="s">
        <v>554</v>
      </c>
      <c r="J143" t="s">
        <v>150</v>
      </c>
      <c r="K143" t="s">
        <v>1076</v>
      </c>
      <c r="M143">
        <v>0</v>
      </c>
      <c r="N143">
        <v>2021</v>
      </c>
      <c r="O143" t="s">
        <v>1277</v>
      </c>
      <c r="S143">
        <v>1750</v>
      </c>
      <c r="T143">
        <v>0</v>
      </c>
      <c r="V143">
        <v>0</v>
      </c>
      <c r="W143" s="21">
        <v>0</v>
      </c>
      <c r="X143">
        <v>39552</v>
      </c>
      <c r="Y143" s="21">
        <v>0</v>
      </c>
    </row>
    <row r="144" spans="1:37" x14ac:dyDescent="0.25">
      <c r="A144">
        <f t="shared" si="2"/>
        <v>143</v>
      </c>
      <c r="B144">
        <v>146</v>
      </c>
      <c r="C144">
        <v>3098</v>
      </c>
      <c r="D144" t="s">
        <v>770</v>
      </c>
      <c r="E144" t="s">
        <v>771</v>
      </c>
      <c r="F144" t="s">
        <v>1085</v>
      </c>
      <c r="G144" t="s">
        <v>1285</v>
      </c>
      <c r="M144">
        <v>0</v>
      </c>
      <c r="N144">
        <v>2022</v>
      </c>
      <c r="O144" t="s">
        <v>1277</v>
      </c>
      <c r="S144">
        <v>0</v>
      </c>
      <c r="T144">
        <v>0</v>
      </c>
      <c r="V144">
        <v>0</v>
      </c>
      <c r="W144" s="21">
        <v>0</v>
      </c>
      <c r="X144">
        <v>0</v>
      </c>
      <c r="Y144" s="21">
        <v>0</v>
      </c>
      <c r="AK144" t="s">
        <v>1271</v>
      </c>
    </row>
    <row r="145" spans="1:37" x14ac:dyDescent="0.25">
      <c r="A145">
        <f t="shared" si="2"/>
        <v>144</v>
      </c>
      <c r="B145">
        <v>147</v>
      </c>
      <c r="C145">
        <v>3102</v>
      </c>
      <c r="D145" t="s">
        <v>298</v>
      </c>
      <c r="E145" t="s">
        <v>775</v>
      </c>
      <c r="F145" t="s">
        <v>1085</v>
      </c>
      <c r="G145" t="s">
        <v>1285</v>
      </c>
      <c r="M145">
        <v>0</v>
      </c>
      <c r="N145">
        <v>2020</v>
      </c>
      <c r="O145" t="s">
        <v>1277</v>
      </c>
      <c r="S145">
        <v>0</v>
      </c>
      <c r="T145">
        <v>0</v>
      </c>
      <c r="V145">
        <v>0</v>
      </c>
      <c r="W145" s="21">
        <v>0</v>
      </c>
      <c r="X145">
        <v>0</v>
      </c>
      <c r="Y145" s="21">
        <v>0</v>
      </c>
    </row>
    <row r="146" spans="1:37" x14ac:dyDescent="0.25">
      <c r="A146">
        <f t="shared" si="2"/>
        <v>145</v>
      </c>
      <c r="B146">
        <v>148</v>
      </c>
      <c r="C146">
        <v>3105</v>
      </c>
      <c r="D146" t="s">
        <v>298</v>
      </c>
      <c r="E146" t="s">
        <v>781</v>
      </c>
      <c r="F146" t="s">
        <v>1085</v>
      </c>
      <c r="G146" t="s">
        <v>1285</v>
      </c>
      <c r="M146">
        <v>0</v>
      </c>
      <c r="N146">
        <v>2023</v>
      </c>
      <c r="O146" t="s">
        <v>1277</v>
      </c>
      <c r="S146">
        <v>0</v>
      </c>
      <c r="T146">
        <v>0</v>
      </c>
      <c r="V146">
        <v>0</v>
      </c>
      <c r="W146" s="21">
        <v>0</v>
      </c>
      <c r="X146">
        <v>0</v>
      </c>
      <c r="Y146" s="21">
        <v>0</v>
      </c>
    </row>
    <row r="147" spans="1:37" x14ac:dyDescent="0.25">
      <c r="A147">
        <f t="shared" si="2"/>
        <v>146</v>
      </c>
      <c r="B147">
        <v>149</v>
      </c>
      <c r="C147">
        <v>3107</v>
      </c>
      <c r="D147" t="s">
        <v>298</v>
      </c>
      <c r="E147" t="s">
        <v>786</v>
      </c>
      <c r="F147" t="s">
        <v>1091</v>
      </c>
      <c r="G147" t="s">
        <v>1285</v>
      </c>
      <c r="M147">
        <v>0</v>
      </c>
      <c r="N147">
        <v>2020</v>
      </c>
      <c r="O147" t="s">
        <v>1114</v>
      </c>
      <c r="S147">
        <v>0</v>
      </c>
      <c r="T147">
        <v>0</v>
      </c>
      <c r="V147">
        <v>0</v>
      </c>
      <c r="W147" s="21">
        <v>0</v>
      </c>
      <c r="X147">
        <v>0</v>
      </c>
      <c r="Y147" s="21">
        <v>0</v>
      </c>
    </row>
    <row r="148" spans="1:37" x14ac:dyDescent="0.25">
      <c r="A148">
        <f t="shared" si="2"/>
        <v>147</v>
      </c>
      <c r="B148">
        <v>150</v>
      </c>
      <c r="C148">
        <v>3113</v>
      </c>
      <c r="D148" t="s">
        <v>788</v>
      </c>
      <c r="E148" t="s">
        <v>789</v>
      </c>
      <c r="F148" t="s">
        <v>1159</v>
      </c>
      <c r="G148" t="s">
        <v>1285</v>
      </c>
      <c r="M148">
        <v>0</v>
      </c>
      <c r="N148">
        <v>2022</v>
      </c>
      <c r="O148" t="s">
        <v>1277</v>
      </c>
      <c r="S148">
        <v>0</v>
      </c>
      <c r="T148">
        <v>0</v>
      </c>
      <c r="V148">
        <v>0</v>
      </c>
      <c r="W148" s="21">
        <v>0</v>
      </c>
      <c r="X148">
        <v>0</v>
      </c>
      <c r="Y148" s="21">
        <v>0</v>
      </c>
      <c r="AK148" t="s">
        <v>1272</v>
      </c>
    </row>
    <row r="149" spans="1:37" x14ac:dyDescent="0.25">
      <c r="A149">
        <f t="shared" si="2"/>
        <v>148</v>
      </c>
      <c r="B149">
        <v>151</v>
      </c>
      <c r="C149">
        <v>3116</v>
      </c>
      <c r="D149" t="s">
        <v>793</v>
      </c>
      <c r="E149" t="s">
        <v>794</v>
      </c>
      <c r="F149" t="s">
        <v>1100</v>
      </c>
      <c r="G149" t="s">
        <v>1285</v>
      </c>
      <c r="M149">
        <v>0</v>
      </c>
      <c r="N149">
        <v>2022</v>
      </c>
      <c r="O149" t="s">
        <v>1277</v>
      </c>
      <c r="S149">
        <v>800</v>
      </c>
      <c r="T149">
        <v>0</v>
      </c>
      <c r="V149">
        <v>0</v>
      </c>
      <c r="W149" s="21">
        <v>0</v>
      </c>
      <c r="X149">
        <v>0</v>
      </c>
      <c r="Y149" s="21">
        <v>0</v>
      </c>
    </row>
    <row r="150" spans="1:37" x14ac:dyDescent="0.25">
      <c r="A150">
        <f t="shared" si="2"/>
        <v>149</v>
      </c>
      <c r="B150">
        <v>152</v>
      </c>
      <c r="C150">
        <v>3119</v>
      </c>
      <c r="D150" t="s">
        <v>796</v>
      </c>
      <c r="E150" t="s">
        <v>797</v>
      </c>
      <c r="F150" t="s">
        <v>1085</v>
      </c>
      <c r="G150" t="s">
        <v>1285</v>
      </c>
      <c r="M150">
        <v>0</v>
      </c>
      <c r="N150">
        <v>2022</v>
      </c>
      <c r="O150" t="s">
        <v>1277</v>
      </c>
      <c r="S150">
        <v>150</v>
      </c>
      <c r="T150">
        <v>0</v>
      </c>
      <c r="V150">
        <v>0</v>
      </c>
      <c r="W150" s="21">
        <v>0</v>
      </c>
      <c r="X150">
        <v>5500</v>
      </c>
      <c r="Y150" s="21">
        <v>0</v>
      </c>
    </row>
    <row r="151" spans="1:37" x14ac:dyDescent="0.25">
      <c r="A151">
        <f t="shared" si="2"/>
        <v>150</v>
      </c>
      <c r="B151">
        <v>153</v>
      </c>
      <c r="C151">
        <v>3120</v>
      </c>
      <c r="D151" t="s">
        <v>801</v>
      </c>
      <c r="E151" t="s">
        <v>802</v>
      </c>
      <c r="F151" t="s">
        <v>1085</v>
      </c>
      <c r="G151" t="s">
        <v>1285</v>
      </c>
      <c r="M151">
        <v>0</v>
      </c>
      <c r="N151">
        <v>2022</v>
      </c>
      <c r="O151" t="s">
        <v>1277</v>
      </c>
      <c r="S151">
        <v>500</v>
      </c>
      <c r="T151">
        <v>0</v>
      </c>
      <c r="V151">
        <v>0</v>
      </c>
      <c r="W151" s="21">
        <v>0</v>
      </c>
      <c r="X151">
        <v>12000</v>
      </c>
      <c r="Y151" s="21">
        <v>0</v>
      </c>
    </row>
    <row r="152" spans="1:37" x14ac:dyDescent="0.25">
      <c r="A152">
        <f t="shared" si="2"/>
        <v>151</v>
      </c>
      <c r="B152">
        <v>154</v>
      </c>
      <c r="C152">
        <v>3121</v>
      </c>
      <c r="D152" t="s">
        <v>806</v>
      </c>
      <c r="E152" t="s">
        <v>807</v>
      </c>
      <c r="F152" t="s">
        <v>1085</v>
      </c>
      <c r="G152" t="s">
        <v>1285</v>
      </c>
      <c r="M152">
        <v>0</v>
      </c>
      <c r="N152">
        <v>2022</v>
      </c>
      <c r="O152" t="s">
        <v>1277</v>
      </c>
      <c r="S152">
        <v>200</v>
      </c>
      <c r="T152">
        <v>0</v>
      </c>
      <c r="V152">
        <v>0</v>
      </c>
      <c r="W152" s="21">
        <v>0</v>
      </c>
      <c r="X152">
        <v>25161</v>
      </c>
      <c r="Y152" s="21">
        <v>0</v>
      </c>
    </row>
    <row r="153" spans="1:37" x14ac:dyDescent="0.25">
      <c r="A153">
        <f t="shared" si="2"/>
        <v>152</v>
      </c>
      <c r="B153">
        <v>155</v>
      </c>
      <c r="C153">
        <v>3123</v>
      </c>
      <c r="D153" t="s">
        <v>298</v>
      </c>
      <c r="E153" t="s">
        <v>811</v>
      </c>
      <c r="G153" t="s">
        <v>1285</v>
      </c>
      <c r="M153">
        <v>0</v>
      </c>
      <c r="N153">
        <v>2023</v>
      </c>
      <c r="S153">
        <v>0</v>
      </c>
      <c r="T153">
        <v>0</v>
      </c>
      <c r="V153">
        <v>0</v>
      </c>
      <c r="W153" s="21">
        <v>0</v>
      </c>
      <c r="X153">
        <v>0</v>
      </c>
      <c r="Y153" s="21">
        <v>0</v>
      </c>
    </row>
    <row r="154" spans="1:37" x14ac:dyDescent="0.25">
      <c r="A154">
        <f t="shared" si="2"/>
        <v>153</v>
      </c>
      <c r="B154">
        <v>156</v>
      </c>
      <c r="C154">
        <v>3125</v>
      </c>
      <c r="D154" t="s">
        <v>298</v>
      </c>
      <c r="E154" t="s">
        <v>816</v>
      </c>
      <c r="F154" t="s">
        <v>1085</v>
      </c>
      <c r="G154" t="s">
        <v>1285</v>
      </c>
      <c r="M154">
        <v>0</v>
      </c>
      <c r="N154">
        <v>2023</v>
      </c>
      <c r="O154" t="s">
        <v>1277</v>
      </c>
      <c r="S154">
        <v>0</v>
      </c>
      <c r="T154">
        <v>0</v>
      </c>
      <c r="V154">
        <v>0</v>
      </c>
      <c r="W154" s="21">
        <v>0</v>
      </c>
      <c r="X154">
        <v>0</v>
      </c>
      <c r="Y154" s="21">
        <v>0</v>
      </c>
    </row>
    <row r="155" spans="1:37" x14ac:dyDescent="0.25">
      <c r="A155">
        <f t="shared" si="2"/>
        <v>154</v>
      </c>
      <c r="B155">
        <v>157</v>
      </c>
      <c r="C155">
        <v>3126</v>
      </c>
      <c r="D155" t="s">
        <v>298</v>
      </c>
      <c r="E155" t="s">
        <v>819</v>
      </c>
      <c r="F155" t="s">
        <v>1091</v>
      </c>
      <c r="G155" t="s">
        <v>1285</v>
      </c>
      <c r="M155">
        <v>0</v>
      </c>
      <c r="N155">
        <v>2023</v>
      </c>
      <c r="O155" t="s">
        <v>1114</v>
      </c>
      <c r="S155">
        <v>0</v>
      </c>
      <c r="T155">
        <v>0</v>
      </c>
      <c r="V155">
        <v>0</v>
      </c>
      <c r="W155" s="21">
        <v>0</v>
      </c>
      <c r="X155">
        <v>37720</v>
      </c>
      <c r="Y155" s="21">
        <v>0</v>
      </c>
    </row>
    <row r="156" spans="1:37" x14ac:dyDescent="0.25">
      <c r="A156">
        <f t="shared" si="2"/>
        <v>155</v>
      </c>
      <c r="B156">
        <v>158</v>
      </c>
      <c r="C156">
        <v>3127</v>
      </c>
      <c r="D156" t="s">
        <v>298</v>
      </c>
      <c r="E156" t="s">
        <v>822</v>
      </c>
      <c r="G156" t="s">
        <v>1285</v>
      </c>
      <c r="M156">
        <v>0</v>
      </c>
      <c r="N156">
        <v>2023</v>
      </c>
      <c r="S156">
        <v>0</v>
      </c>
      <c r="T156">
        <v>0</v>
      </c>
      <c r="V156">
        <v>0</v>
      </c>
      <c r="W156" s="21">
        <v>0</v>
      </c>
      <c r="X156">
        <v>0</v>
      </c>
      <c r="Y156" s="21">
        <v>0</v>
      </c>
      <c r="AK156" t="s">
        <v>1273</v>
      </c>
    </row>
    <row r="157" spans="1:37" x14ac:dyDescent="0.25">
      <c r="A157">
        <f t="shared" si="2"/>
        <v>156</v>
      </c>
      <c r="B157">
        <v>159</v>
      </c>
      <c r="C157">
        <v>3128</v>
      </c>
      <c r="D157" t="s">
        <v>298</v>
      </c>
      <c r="E157" t="s">
        <v>825</v>
      </c>
      <c r="F157" t="s">
        <v>1110</v>
      </c>
      <c r="G157" t="s">
        <v>1285</v>
      </c>
      <c r="M157">
        <v>0</v>
      </c>
      <c r="N157">
        <v>2023</v>
      </c>
      <c r="O157" t="s">
        <v>1277</v>
      </c>
      <c r="S157">
        <v>0</v>
      </c>
      <c r="T157">
        <v>0</v>
      </c>
      <c r="V157">
        <v>0</v>
      </c>
      <c r="W157" s="21">
        <v>0</v>
      </c>
      <c r="X157">
        <v>0</v>
      </c>
      <c r="Y157" s="21">
        <v>0</v>
      </c>
    </row>
    <row r="158" spans="1:37" x14ac:dyDescent="0.25">
      <c r="A158">
        <f t="shared" si="2"/>
        <v>157</v>
      </c>
      <c r="B158">
        <v>160</v>
      </c>
      <c r="C158">
        <v>3129</v>
      </c>
      <c r="D158" t="s">
        <v>298</v>
      </c>
      <c r="E158" t="s">
        <v>272</v>
      </c>
      <c r="F158" t="s">
        <v>1160</v>
      </c>
      <c r="G158" t="s">
        <v>1285</v>
      </c>
      <c r="M158">
        <v>0</v>
      </c>
      <c r="N158">
        <v>2023</v>
      </c>
      <c r="O158" t="s">
        <v>1277</v>
      </c>
      <c r="S158">
        <v>0</v>
      </c>
      <c r="T158">
        <v>0</v>
      </c>
      <c r="V158">
        <v>0</v>
      </c>
      <c r="W158" s="21">
        <v>0</v>
      </c>
      <c r="X158">
        <v>0</v>
      </c>
      <c r="Y158" s="21">
        <v>0</v>
      </c>
      <c r="AK158" t="s">
        <v>1274</v>
      </c>
    </row>
    <row r="159" spans="1:37" x14ac:dyDescent="0.25">
      <c r="A159">
        <f t="shared" si="2"/>
        <v>158</v>
      </c>
      <c r="B159">
        <v>161</v>
      </c>
      <c r="C159">
        <v>3130</v>
      </c>
      <c r="D159" t="s">
        <v>830</v>
      </c>
      <c r="E159" t="s">
        <v>831</v>
      </c>
      <c r="F159" t="s">
        <v>1085</v>
      </c>
      <c r="G159" t="s">
        <v>1285</v>
      </c>
      <c r="M159">
        <v>0</v>
      </c>
      <c r="N159">
        <v>2023</v>
      </c>
      <c r="O159" t="s">
        <v>1277</v>
      </c>
      <c r="S159">
        <v>0</v>
      </c>
      <c r="T159">
        <v>0</v>
      </c>
      <c r="V159">
        <v>0</v>
      </c>
      <c r="W159" s="21">
        <v>0</v>
      </c>
      <c r="X159">
        <v>0</v>
      </c>
      <c r="Y159" s="21">
        <v>0</v>
      </c>
    </row>
    <row r="160" spans="1:37" x14ac:dyDescent="0.25">
      <c r="A160">
        <f t="shared" si="2"/>
        <v>159</v>
      </c>
      <c r="B160">
        <v>162</v>
      </c>
      <c r="C160">
        <v>3132</v>
      </c>
      <c r="D160" t="s">
        <v>298</v>
      </c>
      <c r="E160" t="s">
        <v>833</v>
      </c>
      <c r="F160" t="s">
        <v>1161</v>
      </c>
      <c r="G160" t="s">
        <v>1285</v>
      </c>
      <c r="M160">
        <v>0</v>
      </c>
      <c r="N160">
        <v>2023</v>
      </c>
      <c r="O160" t="s">
        <v>1118</v>
      </c>
      <c r="S160">
        <v>0</v>
      </c>
      <c r="T160">
        <v>0</v>
      </c>
      <c r="V160">
        <v>0</v>
      </c>
      <c r="W160" s="21">
        <v>0</v>
      </c>
      <c r="X160">
        <v>0</v>
      </c>
      <c r="Y160" s="21">
        <v>0</v>
      </c>
      <c r="AK160" t="s">
        <v>1275</v>
      </c>
    </row>
    <row r="161" spans="1:37" x14ac:dyDescent="0.25">
      <c r="A161">
        <f t="shared" si="2"/>
        <v>160</v>
      </c>
      <c r="B161">
        <v>163</v>
      </c>
      <c r="C161">
        <v>3133</v>
      </c>
      <c r="D161" t="s">
        <v>835</v>
      </c>
      <c r="E161" t="s">
        <v>836</v>
      </c>
      <c r="F161" t="s">
        <v>1162</v>
      </c>
      <c r="G161" t="s">
        <v>1285</v>
      </c>
      <c r="M161">
        <v>0</v>
      </c>
      <c r="N161">
        <v>2023</v>
      </c>
      <c r="O161" t="s">
        <v>1118</v>
      </c>
      <c r="S161">
        <v>143</v>
      </c>
      <c r="T161">
        <v>0</v>
      </c>
      <c r="V161">
        <v>0</v>
      </c>
      <c r="W161" s="21">
        <v>0</v>
      </c>
      <c r="X161">
        <v>8566</v>
      </c>
      <c r="Y161" s="21">
        <v>2057.86</v>
      </c>
      <c r="AK161" t="s">
        <v>1276</v>
      </c>
    </row>
    <row r="162" spans="1:37" x14ac:dyDescent="0.25">
      <c r="A162">
        <f t="shared" si="2"/>
        <v>161</v>
      </c>
      <c r="B162">
        <v>164</v>
      </c>
      <c r="C162">
        <v>3135</v>
      </c>
      <c r="D162" t="s">
        <v>839</v>
      </c>
      <c r="E162" t="s">
        <v>840</v>
      </c>
      <c r="F162" t="s">
        <v>1085</v>
      </c>
      <c r="G162" t="s">
        <v>1285</v>
      </c>
      <c r="M162">
        <v>0</v>
      </c>
      <c r="N162">
        <v>2023</v>
      </c>
      <c r="O162" t="s">
        <v>1277</v>
      </c>
      <c r="S162">
        <v>3170</v>
      </c>
      <c r="T162">
        <v>0</v>
      </c>
      <c r="V162">
        <v>0</v>
      </c>
      <c r="W162" s="21">
        <v>0</v>
      </c>
      <c r="X162">
        <v>331636</v>
      </c>
      <c r="Y162" s="21">
        <v>0</v>
      </c>
    </row>
    <row r="163" spans="1:37" x14ac:dyDescent="0.25">
      <c r="A163">
        <f t="shared" si="2"/>
        <v>162</v>
      </c>
      <c r="B163">
        <v>165</v>
      </c>
      <c r="C163">
        <v>3137</v>
      </c>
      <c r="D163" t="s">
        <v>298</v>
      </c>
      <c r="E163" t="s">
        <v>843</v>
      </c>
      <c r="F163" t="s">
        <v>1163</v>
      </c>
      <c r="G163" t="s">
        <v>1285</v>
      </c>
      <c r="M163">
        <v>0</v>
      </c>
      <c r="N163">
        <v>2023</v>
      </c>
      <c r="O163" t="s">
        <v>1277</v>
      </c>
      <c r="S163">
        <v>0</v>
      </c>
      <c r="T163">
        <v>0</v>
      </c>
      <c r="V163">
        <v>0</v>
      </c>
      <c r="W163" s="21">
        <v>0</v>
      </c>
      <c r="X163">
        <v>0</v>
      </c>
      <c r="Y163" s="21">
        <v>0</v>
      </c>
    </row>
    <row r="164" spans="1:37" x14ac:dyDescent="0.25">
      <c r="A164">
        <f t="shared" si="2"/>
        <v>163</v>
      </c>
      <c r="B164">
        <v>166</v>
      </c>
      <c r="C164">
        <v>3139</v>
      </c>
      <c r="D164" t="s">
        <v>847</v>
      </c>
      <c r="E164" t="s">
        <v>848</v>
      </c>
      <c r="F164" t="s">
        <v>1085</v>
      </c>
      <c r="G164" t="s">
        <v>1285</v>
      </c>
      <c r="M164">
        <v>0</v>
      </c>
      <c r="N164">
        <v>2023</v>
      </c>
      <c r="O164" t="s">
        <v>1277</v>
      </c>
      <c r="S164">
        <v>0</v>
      </c>
      <c r="T164">
        <v>0</v>
      </c>
      <c r="V164">
        <v>0</v>
      </c>
      <c r="W164" s="21">
        <v>0</v>
      </c>
      <c r="X164">
        <v>290000</v>
      </c>
      <c r="Y164" s="21">
        <v>0</v>
      </c>
    </row>
    <row r="165" spans="1:37" x14ac:dyDescent="0.25">
      <c r="A165">
        <f t="shared" si="2"/>
        <v>164</v>
      </c>
      <c r="B165">
        <v>167</v>
      </c>
      <c r="C165">
        <v>3142</v>
      </c>
      <c r="D165" t="s">
        <v>298</v>
      </c>
      <c r="E165" t="s">
        <v>851</v>
      </c>
      <c r="F165" t="s">
        <v>1085</v>
      </c>
      <c r="G165" t="s">
        <v>1285</v>
      </c>
      <c r="M165">
        <v>0</v>
      </c>
      <c r="N165">
        <v>2024</v>
      </c>
      <c r="O165" t="s">
        <v>1277</v>
      </c>
      <c r="S165">
        <v>0</v>
      </c>
      <c r="T165">
        <v>0</v>
      </c>
      <c r="V165">
        <v>0</v>
      </c>
      <c r="W165" s="21">
        <v>0</v>
      </c>
      <c r="X165">
        <v>8000</v>
      </c>
      <c r="Y165" s="21">
        <v>0</v>
      </c>
    </row>
    <row r="166" spans="1:37" x14ac:dyDescent="0.25">
      <c r="A166">
        <f t="shared" si="2"/>
        <v>165</v>
      </c>
      <c r="B166">
        <v>168</v>
      </c>
      <c r="C166">
        <v>3144</v>
      </c>
      <c r="D166" t="s">
        <v>854</v>
      </c>
      <c r="E166" t="s">
        <v>855</v>
      </c>
      <c r="F166" t="s">
        <v>1085</v>
      </c>
      <c r="G166" t="s">
        <v>1285</v>
      </c>
      <c r="M166">
        <v>0</v>
      </c>
      <c r="N166">
        <v>2024</v>
      </c>
      <c r="O166" t="s">
        <v>1277</v>
      </c>
      <c r="S166">
        <v>0</v>
      </c>
      <c r="T166">
        <v>0</v>
      </c>
      <c r="V166">
        <v>0</v>
      </c>
      <c r="W166" s="21">
        <v>0</v>
      </c>
      <c r="X166">
        <v>250000</v>
      </c>
      <c r="Y166" s="21">
        <v>0</v>
      </c>
    </row>
    <row r="167" spans="1:37" x14ac:dyDescent="0.25">
      <c r="A167">
        <f t="shared" si="2"/>
        <v>166</v>
      </c>
      <c r="B167">
        <v>169</v>
      </c>
      <c r="C167">
        <v>3146</v>
      </c>
      <c r="D167" t="s">
        <v>858</v>
      </c>
      <c r="E167" t="s">
        <v>859</v>
      </c>
      <c r="F167" t="s">
        <v>1085</v>
      </c>
      <c r="G167" t="s">
        <v>1285</v>
      </c>
      <c r="M167">
        <v>0</v>
      </c>
      <c r="N167">
        <v>2024</v>
      </c>
      <c r="O167" t="s">
        <v>1277</v>
      </c>
      <c r="S167">
        <v>0</v>
      </c>
      <c r="T167">
        <v>0</v>
      </c>
      <c r="V167">
        <v>0</v>
      </c>
      <c r="W167" s="21">
        <v>0</v>
      </c>
      <c r="X167">
        <v>0</v>
      </c>
      <c r="Y167" s="21">
        <v>0</v>
      </c>
    </row>
    <row r="168" spans="1:37" x14ac:dyDescent="0.25">
      <c r="A168">
        <f t="shared" si="2"/>
        <v>167</v>
      </c>
      <c r="B168">
        <v>170</v>
      </c>
      <c r="C168">
        <v>3147</v>
      </c>
      <c r="D168" t="s">
        <v>861</v>
      </c>
      <c r="E168" t="s">
        <v>862</v>
      </c>
      <c r="F168" t="s">
        <v>1164</v>
      </c>
      <c r="G168" t="s">
        <v>1285</v>
      </c>
      <c r="M168">
        <v>0</v>
      </c>
      <c r="N168">
        <v>2024</v>
      </c>
      <c r="O168" t="s">
        <v>1114</v>
      </c>
      <c r="S168">
        <v>0</v>
      </c>
      <c r="T168">
        <v>0</v>
      </c>
      <c r="V168">
        <v>0</v>
      </c>
      <c r="W168" s="21">
        <v>0</v>
      </c>
      <c r="X168">
        <v>40085</v>
      </c>
      <c r="Y168" s="21">
        <v>0</v>
      </c>
    </row>
    <row r="169" spans="1:37" x14ac:dyDescent="0.25">
      <c r="A169">
        <f t="shared" si="2"/>
        <v>168</v>
      </c>
      <c r="B169">
        <v>171</v>
      </c>
      <c r="C169">
        <v>3153</v>
      </c>
      <c r="D169" t="s">
        <v>867</v>
      </c>
      <c r="E169" t="s">
        <v>868</v>
      </c>
      <c r="F169" t="s">
        <v>1091</v>
      </c>
      <c r="G169" t="s">
        <v>1285</v>
      </c>
      <c r="M169">
        <v>0</v>
      </c>
      <c r="N169">
        <v>2024</v>
      </c>
      <c r="O169" t="s">
        <v>1114</v>
      </c>
      <c r="S169">
        <v>240</v>
      </c>
      <c r="T169">
        <v>0</v>
      </c>
      <c r="V169">
        <v>0</v>
      </c>
      <c r="W169" s="21">
        <v>0</v>
      </c>
      <c r="X169">
        <v>11362</v>
      </c>
      <c r="Y169" s="21">
        <v>0</v>
      </c>
    </row>
    <row r="170" spans="1:37" x14ac:dyDescent="0.25">
      <c r="A170">
        <f t="shared" si="2"/>
        <v>169</v>
      </c>
      <c r="B170">
        <v>172</v>
      </c>
      <c r="C170">
        <v>3154</v>
      </c>
      <c r="D170" t="s">
        <v>872</v>
      </c>
      <c r="E170" t="s">
        <v>873</v>
      </c>
      <c r="F170" t="s">
        <v>1085</v>
      </c>
      <c r="G170" t="s">
        <v>1285</v>
      </c>
      <c r="M170">
        <v>0</v>
      </c>
      <c r="N170">
        <v>2024</v>
      </c>
      <c r="S170">
        <v>1200</v>
      </c>
      <c r="T170">
        <v>0</v>
      </c>
      <c r="V170">
        <v>0</v>
      </c>
      <c r="W170" s="21">
        <v>0</v>
      </c>
      <c r="X170">
        <v>28000</v>
      </c>
      <c r="Y170" s="21">
        <v>0</v>
      </c>
    </row>
    <row r="171" spans="1:37" x14ac:dyDescent="0.25">
      <c r="A171">
        <f t="shared" si="2"/>
        <v>170</v>
      </c>
      <c r="B171">
        <v>173</v>
      </c>
      <c r="C171">
        <v>3155</v>
      </c>
      <c r="D171" t="s">
        <v>277</v>
      </c>
      <c r="E171" t="s">
        <v>874</v>
      </c>
      <c r="F171" t="s">
        <v>1085</v>
      </c>
      <c r="G171" t="s">
        <v>1285</v>
      </c>
      <c r="M171">
        <v>0</v>
      </c>
      <c r="N171">
        <v>2024</v>
      </c>
      <c r="O171" t="s">
        <v>1277</v>
      </c>
      <c r="S171">
        <v>180</v>
      </c>
      <c r="T171">
        <v>0</v>
      </c>
      <c r="V171">
        <v>0</v>
      </c>
      <c r="W171" s="21">
        <v>0</v>
      </c>
      <c r="X171">
        <v>1500</v>
      </c>
      <c r="Y171" s="21">
        <v>0</v>
      </c>
    </row>
    <row r="172" spans="1:37" x14ac:dyDescent="0.25">
      <c r="A172">
        <f t="shared" si="2"/>
        <v>171</v>
      </c>
      <c r="B172">
        <v>174</v>
      </c>
      <c r="C172">
        <v>3159</v>
      </c>
      <c r="D172" t="s">
        <v>181</v>
      </c>
      <c r="E172" t="s">
        <v>878</v>
      </c>
      <c r="F172" t="s">
        <v>1079</v>
      </c>
      <c r="G172" t="s">
        <v>1285</v>
      </c>
      <c r="M172">
        <v>0</v>
      </c>
      <c r="N172">
        <v>2025</v>
      </c>
      <c r="O172" t="s">
        <v>1277</v>
      </c>
      <c r="S172">
        <v>340</v>
      </c>
      <c r="T172">
        <v>0</v>
      </c>
      <c r="V172">
        <v>0</v>
      </c>
      <c r="W172" s="21">
        <v>0</v>
      </c>
      <c r="X172">
        <v>725000</v>
      </c>
      <c r="Y172" s="21">
        <v>0</v>
      </c>
    </row>
    <row r="173" spans="1:37" x14ac:dyDescent="0.25">
      <c r="A173">
        <f t="shared" si="2"/>
        <v>172</v>
      </c>
      <c r="B173">
        <v>175</v>
      </c>
      <c r="C173">
        <v>3160</v>
      </c>
      <c r="D173" t="s">
        <v>883</v>
      </c>
      <c r="E173" t="s">
        <v>884</v>
      </c>
      <c r="F173" t="s">
        <v>1085</v>
      </c>
      <c r="G173" t="s">
        <v>1285</v>
      </c>
      <c r="M173">
        <v>0</v>
      </c>
      <c r="N173">
        <v>2025</v>
      </c>
      <c r="O173" t="s">
        <v>1277</v>
      </c>
      <c r="S173">
        <v>180</v>
      </c>
      <c r="T173">
        <v>0</v>
      </c>
      <c r="V173">
        <v>0</v>
      </c>
      <c r="W173" s="21">
        <v>0</v>
      </c>
      <c r="X173">
        <v>25000</v>
      </c>
      <c r="Y173" s="21">
        <v>0</v>
      </c>
    </row>
    <row r="174" spans="1:37" x14ac:dyDescent="0.25">
      <c r="A174">
        <f t="shared" si="2"/>
        <v>173</v>
      </c>
      <c r="B174">
        <v>176</v>
      </c>
      <c r="C174">
        <v>3162</v>
      </c>
      <c r="D174" t="s">
        <v>887</v>
      </c>
      <c r="E174" t="s">
        <v>888</v>
      </c>
      <c r="F174" t="s">
        <v>1085</v>
      </c>
      <c r="G174" t="s">
        <v>1285</v>
      </c>
      <c r="M174">
        <v>0</v>
      </c>
      <c r="N174">
        <v>2025</v>
      </c>
      <c r="O174" t="s">
        <v>1277</v>
      </c>
      <c r="S174">
        <v>180</v>
      </c>
      <c r="T174">
        <v>0</v>
      </c>
      <c r="V174">
        <v>0</v>
      </c>
      <c r="W174" s="21">
        <v>0</v>
      </c>
      <c r="X174">
        <v>120000</v>
      </c>
      <c r="Y174" s="21">
        <v>0</v>
      </c>
    </row>
    <row r="175" spans="1:37" x14ac:dyDescent="0.25">
      <c r="A175">
        <f t="shared" si="2"/>
        <v>174</v>
      </c>
      <c r="B175">
        <v>177</v>
      </c>
      <c r="C175">
        <v>3164</v>
      </c>
      <c r="D175" t="s">
        <v>891</v>
      </c>
      <c r="E175" t="s">
        <v>892</v>
      </c>
      <c r="F175" t="s">
        <v>1137</v>
      </c>
      <c r="G175" t="s">
        <v>1285</v>
      </c>
      <c r="M175">
        <v>0</v>
      </c>
      <c r="N175">
        <v>2025</v>
      </c>
      <c r="O175" t="s">
        <v>1282</v>
      </c>
      <c r="S175">
        <v>7995</v>
      </c>
      <c r="T175">
        <v>0</v>
      </c>
      <c r="V175">
        <v>0</v>
      </c>
      <c r="W175" s="21">
        <v>0</v>
      </c>
      <c r="X175">
        <v>0</v>
      </c>
      <c r="Y175" s="21">
        <v>0</v>
      </c>
    </row>
    <row r="176" spans="1:37" x14ac:dyDescent="0.25">
      <c r="A176">
        <f t="shared" si="2"/>
        <v>175</v>
      </c>
      <c r="B176">
        <v>178</v>
      </c>
      <c r="C176">
        <v>854</v>
      </c>
      <c r="D176" t="s">
        <v>897</v>
      </c>
      <c r="E176" t="s">
        <v>898</v>
      </c>
      <c r="G176" t="s">
        <v>1285</v>
      </c>
      <c r="M176">
        <v>0</v>
      </c>
      <c r="N176">
        <v>2024</v>
      </c>
      <c r="S176">
        <v>7500</v>
      </c>
      <c r="T176">
        <v>0</v>
      </c>
      <c r="V176">
        <v>0</v>
      </c>
      <c r="W176" s="21">
        <v>0</v>
      </c>
      <c r="X176">
        <v>290000</v>
      </c>
      <c r="Y176" s="21">
        <v>0</v>
      </c>
    </row>
    <row r="177" spans="1:25" x14ac:dyDescent="0.25">
      <c r="A177">
        <f t="shared" si="2"/>
        <v>176</v>
      </c>
      <c r="B177">
        <v>179</v>
      </c>
      <c r="C177">
        <v>846</v>
      </c>
      <c r="D177" t="s">
        <v>899</v>
      </c>
      <c r="E177" t="s">
        <v>900</v>
      </c>
      <c r="F177" t="s">
        <v>1085</v>
      </c>
      <c r="G177" t="s">
        <v>1285</v>
      </c>
      <c r="M177">
        <v>0</v>
      </c>
      <c r="N177">
        <v>2023</v>
      </c>
      <c r="O177" t="s">
        <v>1277</v>
      </c>
      <c r="S177">
        <v>0</v>
      </c>
      <c r="T177">
        <v>0</v>
      </c>
      <c r="V177">
        <v>0</v>
      </c>
      <c r="W177" s="21">
        <v>0</v>
      </c>
      <c r="X177">
        <v>0</v>
      </c>
      <c r="Y177" s="21">
        <v>0</v>
      </c>
    </row>
    <row r="178" spans="1:25" x14ac:dyDescent="0.25">
      <c r="A178">
        <f t="shared" si="2"/>
        <v>177</v>
      </c>
      <c r="B178">
        <v>180</v>
      </c>
      <c r="C178">
        <v>840</v>
      </c>
      <c r="D178" t="s">
        <v>903</v>
      </c>
      <c r="E178" t="s">
        <v>904</v>
      </c>
      <c r="F178" t="s">
        <v>1085</v>
      </c>
      <c r="G178" t="s">
        <v>1285</v>
      </c>
      <c r="M178">
        <v>0</v>
      </c>
      <c r="N178">
        <v>2023</v>
      </c>
      <c r="S178">
        <v>770</v>
      </c>
      <c r="T178">
        <v>0</v>
      </c>
      <c r="V178">
        <v>0</v>
      </c>
      <c r="W178" s="21">
        <v>0</v>
      </c>
      <c r="X178">
        <v>37500</v>
      </c>
      <c r="Y178" s="21">
        <v>0</v>
      </c>
    </row>
    <row r="179" spans="1:25" x14ac:dyDescent="0.25">
      <c r="A179">
        <f t="shared" si="2"/>
        <v>178</v>
      </c>
      <c r="B179">
        <v>181</v>
      </c>
      <c r="C179">
        <v>839</v>
      </c>
      <c r="D179" t="s">
        <v>907</v>
      </c>
      <c r="E179" t="s">
        <v>908</v>
      </c>
      <c r="F179" t="s">
        <v>1085</v>
      </c>
      <c r="G179" t="s">
        <v>1285</v>
      </c>
      <c r="M179">
        <v>0</v>
      </c>
      <c r="N179">
        <v>2023</v>
      </c>
      <c r="O179" t="s">
        <v>1277</v>
      </c>
      <c r="S179">
        <v>0</v>
      </c>
      <c r="T179">
        <v>0</v>
      </c>
      <c r="V179">
        <v>0</v>
      </c>
      <c r="W179" s="21">
        <v>0</v>
      </c>
      <c r="X179">
        <v>8000</v>
      </c>
      <c r="Y179" s="21">
        <v>0</v>
      </c>
    </row>
    <row r="180" spans="1:25" x14ac:dyDescent="0.25">
      <c r="A180">
        <f t="shared" si="2"/>
        <v>179</v>
      </c>
      <c r="B180">
        <v>182</v>
      </c>
      <c r="C180">
        <v>838</v>
      </c>
      <c r="D180" t="s">
        <v>911</v>
      </c>
      <c r="E180" t="s">
        <v>912</v>
      </c>
      <c r="F180" t="s">
        <v>1085</v>
      </c>
      <c r="G180" t="s">
        <v>1285</v>
      </c>
      <c r="M180">
        <v>0</v>
      </c>
      <c r="N180">
        <v>2024</v>
      </c>
      <c r="O180" t="s">
        <v>1281</v>
      </c>
      <c r="S180">
        <v>450</v>
      </c>
      <c r="T180">
        <v>0</v>
      </c>
      <c r="V180">
        <v>0</v>
      </c>
      <c r="W180" s="21">
        <v>0</v>
      </c>
      <c r="X180">
        <v>11500</v>
      </c>
      <c r="Y180" s="21">
        <v>0</v>
      </c>
    </row>
    <row r="181" spans="1:25" x14ac:dyDescent="0.25">
      <c r="A181">
        <f t="shared" si="2"/>
        <v>180</v>
      </c>
      <c r="B181">
        <v>183</v>
      </c>
      <c r="D181" t="s">
        <v>915</v>
      </c>
      <c r="E181" t="s">
        <v>916</v>
      </c>
      <c r="F181" t="s">
        <v>1085</v>
      </c>
      <c r="G181" t="s">
        <v>1285</v>
      </c>
      <c r="M181">
        <v>0</v>
      </c>
      <c r="N181">
        <v>2023</v>
      </c>
      <c r="O181" t="s">
        <v>1277</v>
      </c>
      <c r="S181">
        <v>0</v>
      </c>
      <c r="T181">
        <v>0</v>
      </c>
      <c r="V181">
        <v>0</v>
      </c>
      <c r="W181" s="21">
        <v>0</v>
      </c>
      <c r="X181">
        <v>0</v>
      </c>
      <c r="Y181" s="21">
        <v>0</v>
      </c>
    </row>
    <row r="182" spans="1:25" x14ac:dyDescent="0.25">
      <c r="A182">
        <f t="shared" si="2"/>
        <v>181</v>
      </c>
      <c r="B182">
        <v>184</v>
      </c>
      <c r="C182">
        <v>828</v>
      </c>
      <c r="D182" t="s">
        <v>918</v>
      </c>
      <c r="E182" t="s">
        <v>919</v>
      </c>
      <c r="F182" t="s">
        <v>1085</v>
      </c>
      <c r="G182" t="s">
        <v>1285</v>
      </c>
      <c r="M182">
        <v>0</v>
      </c>
      <c r="N182">
        <v>2023</v>
      </c>
      <c r="O182" t="s">
        <v>1277</v>
      </c>
      <c r="S182">
        <v>0</v>
      </c>
      <c r="T182">
        <v>0</v>
      </c>
      <c r="V182">
        <v>0</v>
      </c>
      <c r="W182" s="21">
        <v>0</v>
      </c>
      <c r="X182">
        <v>0</v>
      </c>
      <c r="Y182" s="21">
        <v>0</v>
      </c>
    </row>
    <row r="183" spans="1:25" x14ac:dyDescent="0.25">
      <c r="A183">
        <f t="shared" si="2"/>
        <v>182</v>
      </c>
      <c r="B183">
        <v>185</v>
      </c>
      <c r="C183">
        <v>819</v>
      </c>
      <c r="E183" t="s">
        <v>922</v>
      </c>
      <c r="G183" t="s">
        <v>1285</v>
      </c>
      <c r="M183">
        <v>0</v>
      </c>
      <c r="N183">
        <v>2021</v>
      </c>
      <c r="S183">
        <v>0</v>
      </c>
      <c r="T183">
        <v>0</v>
      </c>
      <c r="V183">
        <v>0</v>
      </c>
      <c r="W183" s="21">
        <v>0</v>
      </c>
      <c r="X183">
        <v>0</v>
      </c>
      <c r="Y183" s="21">
        <v>0</v>
      </c>
    </row>
    <row r="184" spans="1:25" x14ac:dyDescent="0.25">
      <c r="A184">
        <f t="shared" si="2"/>
        <v>183</v>
      </c>
      <c r="B184">
        <v>186</v>
      </c>
      <c r="C184">
        <v>813</v>
      </c>
      <c r="D184" t="s">
        <v>926</v>
      </c>
      <c r="G184" t="s">
        <v>1285</v>
      </c>
      <c r="M184">
        <v>0</v>
      </c>
      <c r="N184">
        <v>2021</v>
      </c>
      <c r="S184">
        <v>0</v>
      </c>
      <c r="T184">
        <v>0</v>
      </c>
      <c r="V184">
        <v>0</v>
      </c>
      <c r="W184" s="21">
        <v>0</v>
      </c>
      <c r="X184">
        <v>0</v>
      </c>
      <c r="Y184" s="21">
        <v>0</v>
      </c>
    </row>
    <row r="185" spans="1:25" x14ac:dyDescent="0.25">
      <c r="A185">
        <f t="shared" si="2"/>
        <v>184</v>
      </c>
      <c r="B185">
        <v>187</v>
      </c>
      <c r="C185">
        <v>802</v>
      </c>
      <c r="D185" t="s">
        <v>929</v>
      </c>
      <c r="E185" t="s">
        <v>930</v>
      </c>
      <c r="G185" t="s">
        <v>1285</v>
      </c>
      <c r="M185">
        <v>0</v>
      </c>
      <c r="N185">
        <v>2019</v>
      </c>
      <c r="S185">
        <v>0</v>
      </c>
      <c r="T185">
        <v>0</v>
      </c>
      <c r="V185">
        <v>0</v>
      </c>
      <c r="W185" s="21">
        <v>0</v>
      </c>
      <c r="X185">
        <v>0</v>
      </c>
      <c r="Y185" s="21">
        <v>0</v>
      </c>
    </row>
    <row r="186" spans="1:25" x14ac:dyDescent="0.25">
      <c r="A186">
        <f t="shared" si="2"/>
        <v>185</v>
      </c>
      <c r="B186">
        <v>188</v>
      </c>
      <c r="E186" t="s">
        <v>933</v>
      </c>
      <c r="G186" t="s">
        <v>1285</v>
      </c>
      <c r="M186">
        <v>0</v>
      </c>
      <c r="N186">
        <v>2019</v>
      </c>
      <c r="S186">
        <v>0</v>
      </c>
      <c r="T186">
        <v>0</v>
      </c>
      <c r="V186">
        <v>0</v>
      </c>
      <c r="W186" s="21">
        <v>0</v>
      </c>
      <c r="X186">
        <v>0</v>
      </c>
      <c r="Y186" s="21">
        <v>0</v>
      </c>
    </row>
    <row r="187" spans="1:25" x14ac:dyDescent="0.25">
      <c r="A187">
        <f t="shared" si="2"/>
        <v>186</v>
      </c>
      <c r="B187">
        <v>189</v>
      </c>
      <c r="C187">
        <v>792</v>
      </c>
      <c r="D187" t="s">
        <v>937</v>
      </c>
      <c r="E187" t="s">
        <v>938</v>
      </c>
      <c r="F187" t="s">
        <v>1165</v>
      </c>
      <c r="G187" t="s">
        <v>1285</v>
      </c>
      <c r="M187">
        <v>0</v>
      </c>
      <c r="N187">
        <v>2017</v>
      </c>
      <c r="O187" t="s">
        <v>1277</v>
      </c>
      <c r="S187">
        <v>0</v>
      </c>
      <c r="T187">
        <v>0</v>
      </c>
      <c r="V187">
        <v>0</v>
      </c>
      <c r="W187" s="21">
        <v>0</v>
      </c>
      <c r="X187">
        <v>17150</v>
      </c>
      <c r="Y187" s="21">
        <v>0</v>
      </c>
    </row>
    <row r="188" spans="1:25" x14ac:dyDescent="0.25">
      <c r="A188">
        <f t="shared" si="2"/>
        <v>187</v>
      </c>
      <c r="B188">
        <v>190</v>
      </c>
      <c r="C188">
        <v>791</v>
      </c>
      <c r="D188" t="s">
        <v>941</v>
      </c>
      <c r="E188" t="s">
        <v>942</v>
      </c>
      <c r="F188" t="s">
        <v>1085</v>
      </c>
      <c r="G188" t="s">
        <v>1285</v>
      </c>
      <c r="M188">
        <v>0</v>
      </c>
      <c r="N188">
        <v>2019</v>
      </c>
      <c r="O188" t="s">
        <v>1277</v>
      </c>
      <c r="S188">
        <v>0</v>
      </c>
      <c r="T188">
        <v>0</v>
      </c>
      <c r="V188">
        <v>0</v>
      </c>
      <c r="W188" s="21">
        <v>0</v>
      </c>
      <c r="X188">
        <v>0</v>
      </c>
      <c r="Y188" s="21">
        <v>0</v>
      </c>
    </row>
    <row r="189" spans="1:25" x14ac:dyDescent="0.25">
      <c r="A189">
        <f t="shared" si="2"/>
        <v>188</v>
      </c>
      <c r="B189">
        <v>191</v>
      </c>
      <c r="C189">
        <v>789</v>
      </c>
      <c r="D189" t="s">
        <v>946</v>
      </c>
      <c r="E189" t="s">
        <v>404</v>
      </c>
      <c r="G189" t="s">
        <v>1285</v>
      </c>
      <c r="M189">
        <v>0</v>
      </c>
      <c r="N189">
        <v>2018</v>
      </c>
      <c r="S189">
        <v>0</v>
      </c>
      <c r="T189">
        <v>0</v>
      </c>
      <c r="V189">
        <v>0</v>
      </c>
      <c r="W189" s="21">
        <v>0</v>
      </c>
      <c r="X189">
        <v>0</v>
      </c>
      <c r="Y189" s="21">
        <v>0</v>
      </c>
    </row>
    <row r="190" spans="1:25" x14ac:dyDescent="0.25">
      <c r="A190">
        <f t="shared" si="2"/>
        <v>189</v>
      </c>
      <c r="B190">
        <v>192</v>
      </c>
      <c r="C190">
        <v>782</v>
      </c>
      <c r="D190" t="s">
        <v>948</v>
      </c>
      <c r="E190" t="s">
        <v>949</v>
      </c>
      <c r="F190" t="s">
        <v>1166</v>
      </c>
      <c r="G190" t="s">
        <v>1285</v>
      </c>
      <c r="M190">
        <v>0</v>
      </c>
      <c r="N190">
        <v>2018</v>
      </c>
      <c r="O190" t="s">
        <v>1277</v>
      </c>
      <c r="S190">
        <v>0</v>
      </c>
      <c r="T190">
        <v>0</v>
      </c>
      <c r="V190">
        <v>0</v>
      </c>
      <c r="W190" s="21">
        <v>0</v>
      </c>
      <c r="X190">
        <v>0</v>
      </c>
      <c r="Y190" s="21">
        <v>0</v>
      </c>
    </row>
    <row r="191" spans="1:25" x14ac:dyDescent="0.25">
      <c r="A191">
        <f t="shared" si="2"/>
        <v>190</v>
      </c>
      <c r="B191">
        <v>193</v>
      </c>
      <c r="C191">
        <v>779</v>
      </c>
      <c r="D191" t="s">
        <v>952</v>
      </c>
      <c r="E191" t="s">
        <v>953</v>
      </c>
      <c r="F191" t="s">
        <v>1167</v>
      </c>
      <c r="G191" t="s">
        <v>1285</v>
      </c>
      <c r="M191">
        <v>0</v>
      </c>
      <c r="N191">
        <v>2018</v>
      </c>
      <c r="O191" t="s">
        <v>1153</v>
      </c>
      <c r="S191">
        <v>0</v>
      </c>
      <c r="T191">
        <v>0</v>
      </c>
      <c r="V191">
        <v>0</v>
      </c>
      <c r="W191" s="21">
        <v>0</v>
      </c>
      <c r="X191">
        <v>0</v>
      </c>
      <c r="Y191" s="21">
        <v>0</v>
      </c>
    </row>
    <row r="192" spans="1:25" x14ac:dyDescent="0.25">
      <c r="A192">
        <f t="shared" si="2"/>
        <v>191</v>
      </c>
      <c r="B192">
        <v>194</v>
      </c>
      <c r="C192">
        <v>777</v>
      </c>
      <c r="D192" t="s">
        <v>955</v>
      </c>
      <c r="E192" t="s">
        <v>956</v>
      </c>
      <c r="F192" t="s">
        <v>1168</v>
      </c>
      <c r="G192" t="s">
        <v>1285</v>
      </c>
      <c r="M192">
        <v>0</v>
      </c>
      <c r="N192">
        <v>2019</v>
      </c>
      <c r="O192" t="s">
        <v>1277</v>
      </c>
      <c r="S192">
        <v>0</v>
      </c>
      <c r="T192">
        <v>0</v>
      </c>
      <c r="V192">
        <v>0</v>
      </c>
      <c r="W192" s="21">
        <v>0</v>
      </c>
      <c r="X192">
        <v>0</v>
      </c>
      <c r="Y192" s="21">
        <v>0</v>
      </c>
    </row>
    <row r="193" spans="1:37" x14ac:dyDescent="0.25">
      <c r="A193">
        <f t="shared" si="2"/>
        <v>192</v>
      </c>
      <c r="B193">
        <v>195</v>
      </c>
      <c r="C193">
        <v>776</v>
      </c>
      <c r="D193" t="s">
        <v>959</v>
      </c>
      <c r="E193" t="s">
        <v>960</v>
      </c>
      <c r="F193" t="s">
        <v>1169</v>
      </c>
      <c r="G193" t="s">
        <v>1285</v>
      </c>
      <c r="M193">
        <v>0</v>
      </c>
      <c r="N193">
        <v>2020</v>
      </c>
      <c r="O193" t="s">
        <v>1277</v>
      </c>
      <c r="S193">
        <v>0</v>
      </c>
      <c r="T193">
        <v>0</v>
      </c>
      <c r="V193">
        <v>0</v>
      </c>
      <c r="W193" s="21">
        <v>0</v>
      </c>
      <c r="X193">
        <v>0</v>
      </c>
      <c r="Y193" s="21">
        <v>0</v>
      </c>
    </row>
    <row r="194" spans="1:37" x14ac:dyDescent="0.25">
      <c r="A194">
        <f t="shared" ref="A194:A257" si="3">ROW(A194)-1</f>
        <v>193</v>
      </c>
      <c r="B194">
        <v>196</v>
      </c>
      <c r="C194">
        <v>774</v>
      </c>
      <c r="D194" t="s">
        <v>963</v>
      </c>
      <c r="E194" t="s">
        <v>964</v>
      </c>
      <c r="G194" t="s">
        <v>1285</v>
      </c>
      <c r="M194">
        <v>0</v>
      </c>
      <c r="N194">
        <v>2018</v>
      </c>
      <c r="S194">
        <v>0</v>
      </c>
      <c r="T194">
        <v>0</v>
      </c>
      <c r="V194">
        <v>0</v>
      </c>
      <c r="W194" s="21">
        <v>0</v>
      </c>
      <c r="X194">
        <v>0</v>
      </c>
      <c r="Y194" s="21">
        <v>0</v>
      </c>
    </row>
    <row r="195" spans="1:37" x14ac:dyDescent="0.25">
      <c r="A195">
        <f t="shared" si="3"/>
        <v>194</v>
      </c>
      <c r="B195">
        <v>197</v>
      </c>
      <c r="C195">
        <v>771</v>
      </c>
      <c r="D195" t="s">
        <v>966</v>
      </c>
      <c r="E195" t="s">
        <v>967</v>
      </c>
      <c r="F195" t="s">
        <v>1170</v>
      </c>
      <c r="G195" t="s">
        <v>1285</v>
      </c>
      <c r="M195">
        <v>0</v>
      </c>
      <c r="N195">
        <v>2021</v>
      </c>
      <c r="O195" t="s">
        <v>1277</v>
      </c>
      <c r="S195">
        <v>0</v>
      </c>
      <c r="T195">
        <v>0</v>
      </c>
      <c r="V195">
        <v>0</v>
      </c>
      <c r="W195" s="21">
        <v>0</v>
      </c>
      <c r="X195">
        <v>0</v>
      </c>
      <c r="Y195" s="21">
        <v>0</v>
      </c>
    </row>
    <row r="196" spans="1:37" x14ac:dyDescent="0.25">
      <c r="A196">
        <f t="shared" si="3"/>
        <v>195</v>
      </c>
      <c r="B196">
        <v>198</v>
      </c>
      <c r="C196">
        <v>770</v>
      </c>
      <c r="E196" t="s">
        <v>970</v>
      </c>
      <c r="F196" t="s">
        <v>1170</v>
      </c>
      <c r="G196" t="s">
        <v>1285</v>
      </c>
      <c r="M196">
        <v>0</v>
      </c>
      <c r="N196">
        <v>2015</v>
      </c>
      <c r="O196" t="s">
        <v>1277</v>
      </c>
      <c r="S196">
        <v>0</v>
      </c>
      <c r="T196">
        <v>0</v>
      </c>
      <c r="V196">
        <v>0</v>
      </c>
      <c r="W196" s="21">
        <v>0</v>
      </c>
      <c r="X196">
        <v>0</v>
      </c>
      <c r="Y196" s="21">
        <v>0</v>
      </c>
    </row>
    <row r="197" spans="1:37" x14ac:dyDescent="0.25">
      <c r="A197">
        <f t="shared" si="3"/>
        <v>196</v>
      </c>
      <c r="B197">
        <v>199</v>
      </c>
      <c r="C197">
        <v>721</v>
      </c>
      <c r="D197" t="s">
        <v>973</v>
      </c>
      <c r="E197" t="s">
        <v>974</v>
      </c>
      <c r="G197" t="s">
        <v>1285</v>
      </c>
      <c r="H197" t="s">
        <v>1171</v>
      </c>
      <c r="I197" t="s">
        <v>567</v>
      </c>
      <c r="J197" t="s">
        <v>1172</v>
      </c>
      <c r="K197" t="s">
        <v>1060</v>
      </c>
      <c r="M197">
        <v>0</v>
      </c>
      <c r="N197">
        <v>2020</v>
      </c>
      <c r="O197" t="s">
        <v>1277</v>
      </c>
      <c r="S197">
        <v>0</v>
      </c>
      <c r="T197">
        <v>0</v>
      </c>
      <c r="V197">
        <v>0</v>
      </c>
      <c r="W197" s="21">
        <v>0</v>
      </c>
      <c r="X197">
        <v>0</v>
      </c>
      <c r="Y197" s="21">
        <v>0</v>
      </c>
    </row>
    <row r="198" spans="1:37" x14ac:dyDescent="0.25">
      <c r="A198">
        <f t="shared" si="3"/>
        <v>197</v>
      </c>
      <c r="B198">
        <v>200</v>
      </c>
      <c r="C198">
        <v>719</v>
      </c>
      <c r="D198" t="s">
        <v>977</v>
      </c>
      <c r="E198" t="s">
        <v>314</v>
      </c>
      <c r="F198" t="s">
        <v>1173</v>
      </c>
      <c r="G198" t="s">
        <v>1285</v>
      </c>
      <c r="M198">
        <v>0</v>
      </c>
      <c r="N198">
        <v>2023</v>
      </c>
      <c r="O198" t="s">
        <v>1277</v>
      </c>
      <c r="S198">
        <v>0</v>
      </c>
      <c r="T198">
        <v>0</v>
      </c>
      <c r="V198">
        <v>0</v>
      </c>
      <c r="W198" s="21">
        <v>0</v>
      </c>
      <c r="X198">
        <v>0</v>
      </c>
      <c r="Y198" s="21">
        <v>0</v>
      </c>
    </row>
    <row r="199" spans="1:37" x14ac:dyDescent="0.25">
      <c r="A199">
        <f t="shared" si="3"/>
        <v>198</v>
      </c>
      <c r="B199">
        <v>201</v>
      </c>
      <c r="C199">
        <v>768</v>
      </c>
      <c r="D199" t="s">
        <v>189</v>
      </c>
      <c r="E199" t="s">
        <v>978</v>
      </c>
      <c r="F199" t="s">
        <v>1174</v>
      </c>
      <c r="G199" t="s">
        <v>1285</v>
      </c>
      <c r="M199">
        <v>0</v>
      </c>
      <c r="N199">
        <v>2014</v>
      </c>
      <c r="O199" t="s">
        <v>1277</v>
      </c>
      <c r="S199">
        <v>0</v>
      </c>
      <c r="T199">
        <v>0</v>
      </c>
      <c r="V199">
        <v>0</v>
      </c>
      <c r="W199" s="21">
        <v>0</v>
      </c>
      <c r="X199">
        <v>0</v>
      </c>
      <c r="Y199" s="21">
        <v>0</v>
      </c>
    </row>
    <row r="200" spans="1:37" x14ac:dyDescent="0.25">
      <c r="A200">
        <f t="shared" si="3"/>
        <v>199</v>
      </c>
      <c r="B200">
        <v>202</v>
      </c>
      <c r="C200">
        <v>767</v>
      </c>
      <c r="D200" t="s">
        <v>981</v>
      </c>
      <c r="E200" t="s">
        <v>982</v>
      </c>
      <c r="F200" t="s">
        <v>984</v>
      </c>
      <c r="G200" t="s">
        <v>1285</v>
      </c>
      <c r="M200">
        <v>0</v>
      </c>
      <c r="N200">
        <v>2015</v>
      </c>
      <c r="O200" t="s">
        <v>1277</v>
      </c>
      <c r="S200">
        <v>0</v>
      </c>
      <c r="T200">
        <v>0</v>
      </c>
      <c r="V200">
        <v>0</v>
      </c>
      <c r="W200" s="21">
        <v>0</v>
      </c>
      <c r="X200">
        <v>0</v>
      </c>
      <c r="Y200" s="21">
        <v>0</v>
      </c>
    </row>
    <row r="201" spans="1:37" x14ac:dyDescent="0.25">
      <c r="A201">
        <f t="shared" si="3"/>
        <v>200</v>
      </c>
      <c r="B201">
        <v>203</v>
      </c>
      <c r="C201">
        <v>764</v>
      </c>
      <c r="D201" t="s">
        <v>985</v>
      </c>
      <c r="E201" t="s">
        <v>986</v>
      </c>
      <c r="F201" t="s">
        <v>1085</v>
      </c>
      <c r="G201" t="s">
        <v>1285</v>
      </c>
      <c r="M201">
        <v>0</v>
      </c>
      <c r="N201">
        <v>2014</v>
      </c>
      <c r="O201" t="s">
        <v>1277</v>
      </c>
      <c r="S201">
        <v>0</v>
      </c>
      <c r="T201">
        <v>0</v>
      </c>
      <c r="V201">
        <v>0</v>
      </c>
      <c r="W201" s="21">
        <v>0</v>
      </c>
      <c r="X201">
        <v>0</v>
      </c>
      <c r="Y201" s="21">
        <v>0</v>
      </c>
    </row>
    <row r="202" spans="1:37" x14ac:dyDescent="0.25">
      <c r="A202">
        <f t="shared" si="3"/>
        <v>201</v>
      </c>
      <c r="B202">
        <v>204</v>
      </c>
      <c r="C202">
        <v>762</v>
      </c>
      <c r="E202" t="s">
        <v>988</v>
      </c>
      <c r="F202" t="s">
        <v>1175</v>
      </c>
      <c r="G202" t="s">
        <v>1285</v>
      </c>
      <c r="M202">
        <v>0</v>
      </c>
      <c r="N202">
        <v>2014</v>
      </c>
      <c r="O202" t="s">
        <v>1153</v>
      </c>
      <c r="S202">
        <v>0</v>
      </c>
      <c r="T202">
        <v>0</v>
      </c>
      <c r="V202">
        <v>0</v>
      </c>
      <c r="W202" s="21">
        <v>0</v>
      </c>
      <c r="X202">
        <v>0</v>
      </c>
      <c r="Y202" s="21">
        <v>0</v>
      </c>
    </row>
    <row r="203" spans="1:37" x14ac:dyDescent="0.25">
      <c r="A203">
        <f t="shared" si="3"/>
        <v>202</v>
      </c>
      <c r="B203">
        <v>205</v>
      </c>
      <c r="C203">
        <v>761</v>
      </c>
      <c r="D203" t="s">
        <v>992</v>
      </c>
      <c r="E203" t="s">
        <v>993</v>
      </c>
      <c r="F203" t="s">
        <v>1085</v>
      </c>
      <c r="G203" t="s">
        <v>1285</v>
      </c>
      <c r="M203">
        <v>0</v>
      </c>
      <c r="N203">
        <v>2013</v>
      </c>
      <c r="O203" t="s">
        <v>1277</v>
      </c>
      <c r="S203">
        <v>0</v>
      </c>
      <c r="T203">
        <v>0</v>
      </c>
      <c r="V203">
        <v>0</v>
      </c>
      <c r="W203" s="21">
        <v>0</v>
      </c>
      <c r="X203">
        <v>0</v>
      </c>
      <c r="Y203" s="21">
        <v>0</v>
      </c>
    </row>
    <row r="204" spans="1:37" x14ac:dyDescent="0.25">
      <c r="A204">
        <f t="shared" si="3"/>
        <v>203</v>
      </c>
      <c r="B204">
        <v>206</v>
      </c>
      <c r="C204">
        <v>759</v>
      </c>
      <c r="D204" t="s">
        <v>996</v>
      </c>
      <c r="E204" t="s">
        <v>997</v>
      </c>
      <c r="F204" t="s">
        <v>1085</v>
      </c>
      <c r="G204" t="s">
        <v>1285</v>
      </c>
      <c r="M204">
        <v>0</v>
      </c>
      <c r="N204">
        <v>2014</v>
      </c>
      <c r="O204" t="s">
        <v>1277</v>
      </c>
      <c r="S204">
        <v>0</v>
      </c>
      <c r="T204">
        <v>0</v>
      </c>
      <c r="V204">
        <v>0</v>
      </c>
      <c r="W204" s="21">
        <v>0</v>
      </c>
      <c r="X204">
        <v>0</v>
      </c>
      <c r="Y204" s="21">
        <v>0</v>
      </c>
    </row>
    <row r="205" spans="1:37" x14ac:dyDescent="0.25">
      <c r="A205">
        <f t="shared" si="3"/>
        <v>204</v>
      </c>
      <c r="B205">
        <v>207</v>
      </c>
      <c r="C205">
        <v>739</v>
      </c>
      <c r="D205" t="s">
        <v>977</v>
      </c>
      <c r="E205" t="s">
        <v>1000</v>
      </c>
      <c r="G205" t="s">
        <v>1285</v>
      </c>
      <c r="M205">
        <v>0</v>
      </c>
      <c r="N205">
        <v>2020</v>
      </c>
      <c r="S205">
        <v>0</v>
      </c>
      <c r="T205">
        <v>0</v>
      </c>
      <c r="V205">
        <v>0</v>
      </c>
      <c r="W205" s="21">
        <v>0</v>
      </c>
      <c r="X205">
        <v>0</v>
      </c>
      <c r="Y205" s="21">
        <v>0</v>
      </c>
    </row>
    <row r="206" spans="1:37" x14ac:dyDescent="0.25">
      <c r="A206">
        <f t="shared" si="3"/>
        <v>205</v>
      </c>
      <c r="B206">
        <v>208</v>
      </c>
      <c r="E206" t="s">
        <v>1002</v>
      </c>
      <c r="F206" t="s">
        <v>1118</v>
      </c>
      <c r="G206" t="s">
        <v>1285</v>
      </c>
      <c r="M206">
        <v>0</v>
      </c>
      <c r="N206">
        <v>0</v>
      </c>
      <c r="O206" t="s">
        <v>1118</v>
      </c>
      <c r="S206">
        <v>0</v>
      </c>
      <c r="T206">
        <v>0</v>
      </c>
      <c r="V206">
        <v>0</v>
      </c>
      <c r="W206" s="21">
        <v>0</v>
      </c>
      <c r="X206">
        <v>0</v>
      </c>
      <c r="Y206" s="21">
        <v>0</v>
      </c>
      <c r="AK206" t="s">
        <v>1278</v>
      </c>
    </row>
    <row r="207" spans="1:37" x14ac:dyDescent="0.25">
      <c r="A207">
        <f t="shared" si="3"/>
        <v>206</v>
      </c>
      <c r="B207">
        <v>209</v>
      </c>
      <c r="E207" t="s">
        <v>1003</v>
      </c>
      <c r="F207" t="s">
        <v>1091</v>
      </c>
      <c r="G207" t="s">
        <v>1285</v>
      </c>
      <c r="M207">
        <v>0</v>
      </c>
      <c r="N207">
        <v>0</v>
      </c>
      <c r="O207" t="s">
        <v>1114</v>
      </c>
      <c r="S207">
        <v>0</v>
      </c>
      <c r="T207">
        <v>0</v>
      </c>
      <c r="V207">
        <v>0</v>
      </c>
      <c r="W207" s="21">
        <v>0</v>
      </c>
      <c r="X207">
        <v>0</v>
      </c>
      <c r="Y207" s="21">
        <v>0</v>
      </c>
      <c r="AK207" t="s">
        <v>1278</v>
      </c>
    </row>
    <row r="208" spans="1:37" x14ac:dyDescent="0.25">
      <c r="A208">
        <f t="shared" si="3"/>
        <v>207</v>
      </c>
      <c r="B208">
        <v>210</v>
      </c>
      <c r="E208" t="s">
        <v>1004</v>
      </c>
      <c r="F208" t="s">
        <v>1176</v>
      </c>
      <c r="G208" t="s">
        <v>1285</v>
      </c>
      <c r="M208">
        <v>0</v>
      </c>
      <c r="N208">
        <v>0</v>
      </c>
      <c r="O208" t="s">
        <v>1153</v>
      </c>
      <c r="S208">
        <v>0</v>
      </c>
      <c r="T208">
        <v>0</v>
      </c>
      <c r="V208">
        <v>0</v>
      </c>
      <c r="W208" s="21">
        <v>0</v>
      </c>
      <c r="X208">
        <v>0</v>
      </c>
      <c r="Y208" s="21">
        <v>0</v>
      </c>
      <c r="AK208" t="s">
        <v>1278</v>
      </c>
    </row>
    <row r="209" spans="1:37" x14ac:dyDescent="0.25">
      <c r="A209">
        <f t="shared" si="3"/>
        <v>208</v>
      </c>
      <c r="B209">
        <v>211</v>
      </c>
      <c r="E209" t="s">
        <v>1005</v>
      </c>
      <c r="F209" t="s">
        <v>1177</v>
      </c>
      <c r="G209" t="s">
        <v>1285</v>
      </c>
      <c r="M209">
        <v>1961</v>
      </c>
      <c r="N209">
        <v>2002</v>
      </c>
      <c r="O209" t="s">
        <v>1104</v>
      </c>
      <c r="S209">
        <v>1300</v>
      </c>
      <c r="T209">
        <v>0</v>
      </c>
      <c r="V209">
        <v>267000</v>
      </c>
      <c r="W209" s="21">
        <v>0</v>
      </c>
      <c r="X209">
        <v>28000</v>
      </c>
      <c r="Y209" s="21">
        <v>0</v>
      </c>
      <c r="AK209" t="s">
        <v>1278</v>
      </c>
    </row>
    <row r="210" spans="1:37" x14ac:dyDescent="0.25">
      <c r="A210">
        <f t="shared" si="3"/>
        <v>209</v>
      </c>
      <c r="B210">
        <v>212</v>
      </c>
      <c r="E210" t="s">
        <v>1006</v>
      </c>
      <c r="F210" t="s">
        <v>1178</v>
      </c>
      <c r="G210" t="s">
        <v>1285</v>
      </c>
      <c r="M210">
        <v>2017</v>
      </c>
      <c r="N210">
        <v>2018</v>
      </c>
      <c r="O210" t="s">
        <v>1281</v>
      </c>
      <c r="S210">
        <v>970</v>
      </c>
      <c r="T210">
        <v>0</v>
      </c>
      <c r="W210" s="21">
        <v>0</v>
      </c>
      <c r="X210">
        <v>12900</v>
      </c>
      <c r="Y210" s="21">
        <v>0</v>
      </c>
      <c r="AK210" t="s">
        <v>1278</v>
      </c>
    </row>
    <row r="211" spans="1:37" x14ac:dyDescent="0.25">
      <c r="A211">
        <f t="shared" si="3"/>
        <v>210</v>
      </c>
      <c r="B211">
        <v>213</v>
      </c>
      <c r="E211" t="s">
        <v>1007</v>
      </c>
      <c r="G211" t="s">
        <v>1285</v>
      </c>
      <c r="M211">
        <v>2011</v>
      </c>
      <c r="N211">
        <v>0</v>
      </c>
      <c r="S211">
        <v>0</v>
      </c>
      <c r="T211">
        <v>0</v>
      </c>
      <c r="V211">
        <v>15210</v>
      </c>
      <c r="W211" s="21">
        <v>0</v>
      </c>
      <c r="X211">
        <v>14872</v>
      </c>
      <c r="Y211" s="21">
        <v>0</v>
      </c>
      <c r="AK211" t="s">
        <v>1278</v>
      </c>
    </row>
    <row r="212" spans="1:37" x14ac:dyDescent="0.25">
      <c r="A212">
        <f t="shared" si="3"/>
        <v>211</v>
      </c>
      <c r="B212">
        <v>214</v>
      </c>
      <c r="E212" t="s">
        <v>1008</v>
      </c>
      <c r="F212" t="s">
        <v>1179</v>
      </c>
      <c r="G212" t="s">
        <v>1285</v>
      </c>
      <c r="M212">
        <v>2012</v>
      </c>
      <c r="N212">
        <v>0</v>
      </c>
      <c r="S212">
        <v>0</v>
      </c>
      <c r="T212">
        <v>0</v>
      </c>
      <c r="V212">
        <v>0</v>
      </c>
      <c r="W212" s="21">
        <v>0</v>
      </c>
      <c r="X212">
        <v>74500</v>
      </c>
      <c r="Y212" s="21">
        <v>0</v>
      </c>
      <c r="AK212" t="s">
        <v>1278</v>
      </c>
    </row>
    <row r="213" spans="1:37" x14ac:dyDescent="0.25">
      <c r="A213">
        <f>ROW(A213)-1</f>
        <v>212</v>
      </c>
      <c r="B213">
        <v>215</v>
      </c>
      <c r="E213" t="s">
        <v>1009</v>
      </c>
      <c r="G213" t="s">
        <v>1285</v>
      </c>
      <c r="M213">
        <v>2014</v>
      </c>
      <c r="N213">
        <v>0</v>
      </c>
      <c r="S213">
        <v>0</v>
      </c>
      <c r="T213">
        <v>0</v>
      </c>
      <c r="V213">
        <v>0</v>
      </c>
      <c r="W213" s="21">
        <v>0</v>
      </c>
      <c r="X213">
        <v>4625</v>
      </c>
      <c r="Y213" s="21">
        <v>0</v>
      </c>
      <c r="AK213" t="s">
        <v>1278</v>
      </c>
    </row>
    <row r="214" spans="1:37" x14ac:dyDescent="0.25">
      <c r="A214">
        <f t="shared" si="3"/>
        <v>213</v>
      </c>
      <c r="B214">
        <v>216</v>
      </c>
      <c r="E214" t="s">
        <v>1010</v>
      </c>
      <c r="F214" t="s">
        <v>1180</v>
      </c>
      <c r="G214" t="s">
        <v>1285</v>
      </c>
      <c r="M214">
        <v>2015</v>
      </c>
      <c r="N214">
        <v>0</v>
      </c>
      <c r="O214" t="s">
        <v>1282</v>
      </c>
      <c r="S214">
        <v>0</v>
      </c>
      <c r="T214">
        <v>0</v>
      </c>
      <c r="V214">
        <v>0</v>
      </c>
      <c r="W214" s="21">
        <v>0</v>
      </c>
      <c r="X214">
        <v>11400</v>
      </c>
      <c r="Y214" s="21">
        <v>0</v>
      </c>
      <c r="AK214" t="s">
        <v>1278</v>
      </c>
    </row>
    <row r="215" spans="1:37" x14ac:dyDescent="0.25">
      <c r="A215">
        <f t="shared" si="3"/>
        <v>214</v>
      </c>
      <c r="B215">
        <v>217</v>
      </c>
      <c r="E215" t="s">
        <v>1011</v>
      </c>
      <c r="F215" t="s">
        <v>1181</v>
      </c>
      <c r="G215" t="s">
        <v>1285</v>
      </c>
      <c r="M215">
        <v>2015</v>
      </c>
      <c r="N215">
        <v>0</v>
      </c>
      <c r="O215" t="s">
        <v>1281</v>
      </c>
      <c r="S215">
        <v>0</v>
      </c>
      <c r="T215">
        <v>0</v>
      </c>
      <c r="V215">
        <v>0</v>
      </c>
      <c r="W215" s="21">
        <v>0</v>
      </c>
      <c r="X215">
        <v>253622</v>
      </c>
      <c r="Y215" s="21">
        <v>0</v>
      </c>
      <c r="AK215" t="s">
        <v>1278</v>
      </c>
    </row>
    <row r="216" spans="1:37" x14ac:dyDescent="0.25">
      <c r="A216">
        <f t="shared" si="3"/>
        <v>215</v>
      </c>
      <c r="B216">
        <v>218</v>
      </c>
      <c r="E216" t="s">
        <v>1012</v>
      </c>
      <c r="F216" t="s">
        <v>1182</v>
      </c>
      <c r="G216" t="s">
        <v>1285</v>
      </c>
      <c r="M216">
        <v>0</v>
      </c>
      <c r="N216">
        <v>0</v>
      </c>
      <c r="O216" t="s">
        <v>1281</v>
      </c>
      <c r="S216">
        <v>0</v>
      </c>
      <c r="T216">
        <v>0</v>
      </c>
      <c r="V216">
        <v>0</v>
      </c>
      <c r="W216" s="21">
        <v>0</v>
      </c>
      <c r="X216">
        <v>45000</v>
      </c>
      <c r="Y216" s="21">
        <v>0</v>
      </c>
      <c r="AK216" t="s">
        <v>1278</v>
      </c>
    </row>
    <row r="217" spans="1:37" x14ac:dyDescent="0.25">
      <c r="A217">
        <f t="shared" si="3"/>
        <v>216</v>
      </c>
      <c r="B217">
        <v>219</v>
      </c>
      <c r="G217" t="s">
        <v>1285</v>
      </c>
      <c r="M217">
        <v>0</v>
      </c>
      <c r="N217">
        <v>0</v>
      </c>
      <c r="S217">
        <v>0</v>
      </c>
      <c r="T217">
        <v>0</v>
      </c>
      <c r="V217">
        <v>0</v>
      </c>
      <c r="W217" s="21">
        <v>0</v>
      </c>
      <c r="X217">
        <v>0</v>
      </c>
      <c r="Y217" s="21">
        <v>0</v>
      </c>
      <c r="AK217" t="s">
        <v>1278</v>
      </c>
    </row>
    <row r="218" spans="1:37" x14ac:dyDescent="0.25">
      <c r="A218">
        <f t="shared" si="3"/>
        <v>217</v>
      </c>
      <c r="B218">
        <v>220</v>
      </c>
      <c r="G218" t="s">
        <v>1285</v>
      </c>
      <c r="M218">
        <v>2017</v>
      </c>
      <c r="N218">
        <v>0</v>
      </c>
      <c r="S218">
        <v>0</v>
      </c>
      <c r="T218">
        <v>0</v>
      </c>
      <c r="V218">
        <v>0</v>
      </c>
      <c r="W218" s="21">
        <v>0</v>
      </c>
      <c r="X218">
        <v>0</v>
      </c>
      <c r="Y218" s="21">
        <v>0</v>
      </c>
      <c r="AK218" t="s">
        <v>1278</v>
      </c>
    </row>
    <row r="219" spans="1:37" x14ac:dyDescent="0.25">
      <c r="A219">
        <f t="shared" si="3"/>
        <v>218</v>
      </c>
      <c r="B219">
        <v>221</v>
      </c>
      <c r="G219" t="s">
        <v>1285</v>
      </c>
      <c r="M219">
        <v>0</v>
      </c>
      <c r="N219">
        <v>0</v>
      </c>
      <c r="S219">
        <v>0</v>
      </c>
      <c r="T219">
        <v>0</v>
      </c>
      <c r="V219">
        <v>0</v>
      </c>
      <c r="W219" s="21">
        <v>0</v>
      </c>
      <c r="X219">
        <v>0</v>
      </c>
      <c r="Y219" s="21">
        <v>0</v>
      </c>
      <c r="AK219" t="s">
        <v>1278</v>
      </c>
    </row>
    <row r="220" spans="1:37" x14ac:dyDescent="0.25">
      <c r="A220">
        <f t="shared" si="3"/>
        <v>219</v>
      </c>
      <c r="B220">
        <v>222</v>
      </c>
      <c r="E220" t="s">
        <v>1014</v>
      </c>
      <c r="F220" t="s">
        <v>1085</v>
      </c>
      <c r="G220" t="s">
        <v>1285</v>
      </c>
      <c r="M220">
        <v>2022</v>
      </c>
      <c r="N220">
        <v>0</v>
      </c>
      <c r="O220" t="s">
        <v>1277</v>
      </c>
      <c r="S220">
        <v>0</v>
      </c>
      <c r="T220">
        <v>0</v>
      </c>
      <c r="V220">
        <v>0</v>
      </c>
      <c r="W220" s="21">
        <v>0</v>
      </c>
      <c r="X220">
        <v>0</v>
      </c>
      <c r="Y220" s="21">
        <v>0</v>
      </c>
      <c r="AK220" t="s">
        <v>1278</v>
      </c>
    </row>
    <row r="221" spans="1:37" x14ac:dyDescent="0.25">
      <c r="A221">
        <f t="shared" si="3"/>
        <v>220</v>
      </c>
      <c r="B221">
        <v>223</v>
      </c>
      <c r="E221" t="s">
        <v>1015</v>
      </c>
      <c r="F221" t="s">
        <v>1183</v>
      </c>
      <c r="G221" t="s">
        <v>1285</v>
      </c>
      <c r="M221">
        <v>0</v>
      </c>
      <c r="N221">
        <v>0</v>
      </c>
      <c r="O221" t="s">
        <v>1277</v>
      </c>
      <c r="S221">
        <v>1591</v>
      </c>
      <c r="T221">
        <v>0</v>
      </c>
      <c r="V221">
        <v>0</v>
      </c>
      <c r="W221" s="21">
        <v>0</v>
      </c>
      <c r="X221">
        <v>0</v>
      </c>
      <c r="Y221" s="21">
        <v>0</v>
      </c>
    </row>
    <row r="222" spans="1:37" x14ac:dyDescent="0.25">
      <c r="A222">
        <f t="shared" si="3"/>
        <v>221</v>
      </c>
      <c r="B222">
        <v>224</v>
      </c>
      <c r="E222" t="s">
        <v>1016</v>
      </c>
      <c r="F222" t="s">
        <v>1055</v>
      </c>
      <c r="G222" t="s">
        <v>1285</v>
      </c>
      <c r="H222" t="s">
        <v>1081</v>
      </c>
      <c r="I222" t="s">
        <v>1184</v>
      </c>
      <c r="J222" t="s">
        <v>486</v>
      </c>
      <c r="K222" t="s">
        <v>1088</v>
      </c>
      <c r="M222">
        <v>0</v>
      </c>
      <c r="N222">
        <v>0</v>
      </c>
      <c r="O222" t="s">
        <v>1153</v>
      </c>
      <c r="S222">
        <v>564</v>
      </c>
      <c r="T222">
        <v>0</v>
      </c>
      <c r="V222">
        <v>0</v>
      </c>
      <c r="W222" s="21">
        <v>0</v>
      </c>
      <c r="X222">
        <v>0</v>
      </c>
      <c r="Y222" s="21">
        <v>0</v>
      </c>
    </row>
    <row r="223" spans="1:37" x14ac:dyDescent="0.25">
      <c r="A223">
        <f t="shared" si="3"/>
        <v>222</v>
      </c>
      <c r="B223">
        <v>225</v>
      </c>
      <c r="E223" t="s">
        <v>1016</v>
      </c>
      <c r="F223" t="s">
        <v>1055</v>
      </c>
      <c r="G223" t="s">
        <v>1285</v>
      </c>
      <c r="H223" t="s">
        <v>1081</v>
      </c>
      <c r="I223" t="s">
        <v>275</v>
      </c>
      <c r="J223" t="s">
        <v>1185</v>
      </c>
      <c r="K223" t="s">
        <v>1154</v>
      </c>
      <c r="M223">
        <v>0</v>
      </c>
      <c r="N223">
        <v>0</v>
      </c>
      <c r="O223" t="s">
        <v>1153</v>
      </c>
      <c r="S223">
        <v>348</v>
      </c>
      <c r="T223">
        <v>0</v>
      </c>
      <c r="V223">
        <v>0</v>
      </c>
      <c r="W223" s="21">
        <v>0</v>
      </c>
      <c r="X223">
        <v>0</v>
      </c>
      <c r="Y223" s="21">
        <v>0</v>
      </c>
    </row>
    <row r="224" spans="1:37" x14ac:dyDescent="0.25">
      <c r="A224">
        <f t="shared" si="3"/>
        <v>223</v>
      </c>
      <c r="B224">
        <v>226</v>
      </c>
      <c r="E224" t="s">
        <v>1018</v>
      </c>
      <c r="F224" t="s">
        <v>1186</v>
      </c>
      <c r="G224" t="s">
        <v>1285</v>
      </c>
      <c r="H224" t="s">
        <v>1081</v>
      </c>
      <c r="I224" t="s">
        <v>572</v>
      </c>
      <c r="J224" t="s">
        <v>1187</v>
      </c>
      <c r="K224" t="s">
        <v>1046</v>
      </c>
      <c r="M224">
        <v>0</v>
      </c>
      <c r="N224">
        <v>0</v>
      </c>
      <c r="O224" t="s">
        <v>1277</v>
      </c>
      <c r="S224">
        <v>447</v>
      </c>
      <c r="T224">
        <v>0</v>
      </c>
      <c r="V224">
        <v>0</v>
      </c>
      <c r="W224" s="21">
        <v>0</v>
      </c>
      <c r="X224">
        <v>0</v>
      </c>
      <c r="Y224" s="21">
        <v>0</v>
      </c>
    </row>
    <row r="225" spans="1:25" x14ac:dyDescent="0.25">
      <c r="A225">
        <f t="shared" si="3"/>
        <v>224</v>
      </c>
      <c r="B225">
        <v>227</v>
      </c>
      <c r="E225" t="s">
        <v>1018</v>
      </c>
      <c r="F225" t="s">
        <v>1188</v>
      </c>
      <c r="G225" t="s">
        <v>1285</v>
      </c>
      <c r="H225" t="s">
        <v>1081</v>
      </c>
      <c r="I225" t="s">
        <v>572</v>
      </c>
      <c r="J225" t="s">
        <v>1189</v>
      </c>
      <c r="K225" t="s">
        <v>1155</v>
      </c>
      <c r="M225">
        <v>0</v>
      </c>
      <c r="N225">
        <v>0</v>
      </c>
      <c r="O225" t="s">
        <v>1153</v>
      </c>
      <c r="S225">
        <v>393</v>
      </c>
      <c r="T225">
        <v>0</v>
      </c>
      <c r="V225">
        <v>0</v>
      </c>
      <c r="W225" s="21">
        <v>0</v>
      </c>
      <c r="X225">
        <v>0</v>
      </c>
      <c r="Y225" s="21">
        <v>0</v>
      </c>
    </row>
    <row r="226" spans="1:25" x14ac:dyDescent="0.25">
      <c r="A226">
        <f t="shared" si="3"/>
        <v>225</v>
      </c>
      <c r="B226">
        <v>228</v>
      </c>
      <c r="E226" t="s">
        <v>1018</v>
      </c>
      <c r="F226" t="s">
        <v>1190</v>
      </c>
      <c r="G226" t="s">
        <v>1285</v>
      </c>
      <c r="H226" t="s">
        <v>1081</v>
      </c>
      <c r="I226" t="s">
        <v>572</v>
      </c>
      <c r="J226" t="s">
        <v>1191</v>
      </c>
      <c r="K226" t="s">
        <v>1192</v>
      </c>
      <c r="M226">
        <v>0</v>
      </c>
      <c r="N226">
        <v>0</v>
      </c>
      <c r="S226">
        <v>779</v>
      </c>
      <c r="T226">
        <v>0</v>
      </c>
      <c r="V226">
        <v>0</v>
      </c>
      <c r="W226" s="21">
        <v>0</v>
      </c>
      <c r="X226">
        <v>0</v>
      </c>
      <c r="Y226" s="21">
        <v>0</v>
      </c>
    </row>
    <row r="227" spans="1:25" x14ac:dyDescent="0.25">
      <c r="A227">
        <f t="shared" si="3"/>
        <v>226</v>
      </c>
      <c r="B227">
        <v>229</v>
      </c>
      <c r="E227" t="s">
        <v>1018</v>
      </c>
      <c r="F227" t="s">
        <v>1193</v>
      </c>
      <c r="G227" t="s">
        <v>1285</v>
      </c>
      <c r="H227" t="s">
        <v>1081</v>
      </c>
      <c r="I227" t="s">
        <v>572</v>
      </c>
      <c r="J227" t="s">
        <v>1187</v>
      </c>
      <c r="K227" t="s">
        <v>1060</v>
      </c>
      <c r="M227">
        <v>0</v>
      </c>
      <c r="N227">
        <v>0</v>
      </c>
      <c r="S227">
        <v>2019</v>
      </c>
      <c r="T227">
        <v>0</v>
      </c>
      <c r="V227">
        <v>0</v>
      </c>
      <c r="W227" s="21">
        <v>0</v>
      </c>
      <c r="X227">
        <v>0</v>
      </c>
      <c r="Y227" s="21">
        <v>0</v>
      </c>
    </row>
    <row r="228" spans="1:25" x14ac:dyDescent="0.25">
      <c r="A228">
        <f t="shared" si="3"/>
        <v>227</v>
      </c>
      <c r="B228">
        <v>230</v>
      </c>
      <c r="E228" t="s">
        <v>1018</v>
      </c>
      <c r="F228" t="s">
        <v>1194</v>
      </c>
      <c r="G228" t="s">
        <v>1285</v>
      </c>
      <c r="H228" t="s">
        <v>1081</v>
      </c>
      <c r="I228" t="s">
        <v>572</v>
      </c>
      <c r="J228" t="s">
        <v>1195</v>
      </c>
      <c r="K228" t="s">
        <v>1196</v>
      </c>
      <c r="M228">
        <v>0</v>
      </c>
      <c r="N228">
        <v>0</v>
      </c>
      <c r="O228" t="s">
        <v>1153</v>
      </c>
      <c r="S228">
        <v>1077</v>
      </c>
      <c r="T228">
        <v>0</v>
      </c>
      <c r="V228">
        <v>0</v>
      </c>
      <c r="W228" s="21">
        <v>0</v>
      </c>
      <c r="X228">
        <v>0</v>
      </c>
      <c r="Y228" s="21">
        <v>0</v>
      </c>
    </row>
    <row r="229" spans="1:25" x14ac:dyDescent="0.25">
      <c r="A229">
        <f t="shared" si="3"/>
        <v>228</v>
      </c>
      <c r="B229">
        <v>231</v>
      </c>
      <c r="E229" t="s">
        <v>1019</v>
      </c>
      <c r="F229" t="s">
        <v>1197</v>
      </c>
      <c r="G229" t="s">
        <v>1285</v>
      </c>
      <c r="H229" t="s">
        <v>1081</v>
      </c>
      <c r="I229" t="s">
        <v>572</v>
      </c>
      <c r="J229" t="s">
        <v>1195</v>
      </c>
      <c r="K229" t="s">
        <v>1198</v>
      </c>
      <c r="M229">
        <v>0</v>
      </c>
      <c r="N229">
        <v>0</v>
      </c>
      <c r="O229" t="s">
        <v>1277</v>
      </c>
      <c r="S229">
        <v>530</v>
      </c>
      <c r="T229">
        <v>0</v>
      </c>
      <c r="V229">
        <v>0</v>
      </c>
      <c r="W229" s="21">
        <v>0</v>
      </c>
      <c r="X229">
        <v>0</v>
      </c>
      <c r="Y229" s="21">
        <v>0</v>
      </c>
    </row>
    <row r="230" spans="1:25" x14ac:dyDescent="0.25">
      <c r="A230">
        <f t="shared" si="3"/>
        <v>229</v>
      </c>
      <c r="B230">
        <v>232</v>
      </c>
      <c r="E230" t="s">
        <v>1018</v>
      </c>
      <c r="F230" t="s">
        <v>1199</v>
      </c>
      <c r="G230" t="s">
        <v>1285</v>
      </c>
      <c r="H230" t="s">
        <v>1081</v>
      </c>
      <c r="I230" t="s">
        <v>572</v>
      </c>
      <c r="J230" t="s">
        <v>1200</v>
      </c>
      <c r="K230" t="s">
        <v>1046</v>
      </c>
      <c r="M230">
        <v>0</v>
      </c>
      <c r="N230">
        <v>0</v>
      </c>
      <c r="O230" t="s">
        <v>1153</v>
      </c>
      <c r="S230">
        <v>403</v>
      </c>
      <c r="T230">
        <v>0</v>
      </c>
      <c r="V230">
        <v>0</v>
      </c>
      <c r="W230" s="21">
        <v>0</v>
      </c>
      <c r="X230">
        <v>0</v>
      </c>
      <c r="Y230" s="21">
        <v>0</v>
      </c>
    </row>
    <row r="231" spans="1:25" x14ac:dyDescent="0.25">
      <c r="A231">
        <f t="shared" si="3"/>
        <v>230</v>
      </c>
      <c r="B231">
        <v>233</v>
      </c>
      <c r="E231" t="s">
        <v>1018</v>
      </c>
      <c r="F231" t="s">
        <v>1201</v>
      </c>
      <c r="G231" t="s">
        <v>1285</v>
      </c>
      <c r="H231" t="s">
        <v>1081</v>
      </c>
      <c r="I231" t="s">
        <v>572</v>
      </c>
      <c r="J231" t="s">
        <v>1202</v>
      </c>
      <c r="K231" t="s">
        <v>1203</v>
      </c>
      <c r="M231">
        <v>0</v>
      </c>
      <c r="N231">
        <v>0</v>
      </c>
      <c r="O231" t="s">
        <v>1153</v>
      </c>
      <c r="S231">
        <v>548</v>
      </c>
      <c r="T231">
        <v>0</v>
      </c>
      <c r="V231">
        <v>0</v>
      </c>
      <c r="W231" s="21">
        <v>0</v>
      </c>
      <c r="X231">
        <v>0</v>
      </c>
      <c r="Y231" s="21">
        <v>0</v>
      </c>
    </row>
    <row r="232" spans="1:25" x14ac:dyDescent="0.25">
      <c r="A232">
        <f t="shared" si="3"/>
        <v>231</v>
      </c>
      <c r="B232">
        <v>234</v>
      </c>
      <c r="E232" t="s">
        <v>1018</v>
      </c>
      <c r="F232" t="s">
        <v>1204</v>
      </c>
      <c r="G232" t="s">
        <v>1285</v>
      </c>
      <c r="H232" t="s">
        <v>1081</v>
      </c>
      <c r="I232" t="s">
        <v>572</v>
      </c>
      <c r="J232" t="s">
        <v>1205</v>
      </c>
      <c r="K232" t="s">
        <v>1154</v>
      </c>
      <c r="M232">
        <v>0</v>
      </c>
      <c r="N232">
        <v>0</v>
      </c>
      <c r="S232">
        <v>336</v>
      </c>
      <c r="T232">
        <v>0</v>
      </c>
      <c r="V232">
        <v>0</v>
      </c>
      <c r="W232" s="21">
        <v>0</v>
      </c>
      <c r="X232">
        <v>0</v>
      </c>
      <c r="Y232" s="21">
        <v>0</v>
      </c>
    </row>
    <row r="233" spans="1:25" x14ac:dyDescent="0.25">
      <c r="A233">
        <f t="shared" si="3"/>
        <v>232</v>
      </c>
      <c r="B233">
        <v>235</v>
      </c>
      <c r="E233" t="s">
        <v>1018</v>
      </c>
      <c r="F233" t="s">
        <v>1206</v>
      </c>
      <c r="G233" t="s">
        <v>1285</v>
      </c>
      <c r="H233" t="s">
        <v>1081</v>
      </c>
      <c r="I233" t="s">
        <v>572</v>
      </c>
      <c r="J233" t="s">
        <v>486</v>
      </c>
      <c r="K233" t="s">
        <v>1088</v>
      </c>
      <c r="M233">
        <v>0</v>
      </c>
      <c r="N233">
        <v>0</v>
      </c>
      <c r="S233">
        <v>420</v>
      </c>
      <c r="T233">
        <v>0</v>
      </c>
      <c r="V233">
        <v>0</v>
      </c>
      <c r="W233" s="21">
        <v>0</v>
      </c>
      <c r="X233">
        <v>0</v>
      </c>
      <c r="Y233" s="21">
        <v>0</v>
      </c>
    </row>
    <row r="234" spans="1:25" x14ac:dyDescent="0.25">
      <c r="A234">
        <f t="shared" si="3"/>
        <v>233</v>
      </c>
      <c r="B234">
        <v>236</v>
      </c>
      <c r="E234" t="s">
        <v>1020</v>
      </c>
      <c r="F234" t="s">
        <v>1207</v>
      </c>
      <c r="G234" t="s">
        <v>1285</v>
      </c>
      <c r="H234" t="s">
        <v>1081</v>
      </c>
      <c r="I234" t="s">
        <v>275</v>
      </c>
      <c r="J234" t="s">
        <v>1208</v>
      </c>
      <c r="K234" t="s">
        <v>1155</v>
      </c>
      <c r="M234">
        <v>0</v>
      </c>
      <c r="N234">
        <v>0</v>
      </c>
      <c r="O234" t="s">
        <v>1280</v>
      </c>
      <c r="S234">
        <v>2788</v>
      </c>
      <c r="T234">
        <v>0</v>
      </c>
      <c r="V234">
        <v>0</v>
      </c>
      <c r="W234" s="21">
        <v>0</v>
      </c>
      <c r="X234">
        <v>0</v>
      </c>
      <c r="Y234" s="21">
        <v>0</v>
      </c>
    </row>
    <row r="235" spans="1:25" x14ac:dyDescent="0.25">
      <c r="A235">
        <f t="shared" si="3"/>
        <v>234</v>
      </c>
      <c r="B235">
        <v>237</v>
      </c>
      <c r="E235" t="s">
        <v>1021</v>
      </c>
      <c r="F235" t="s">
        <v>1209</v>
      </c>
      <c r="G235" t="s">
        <v>1285</v>
      </c>
      <c r="H235" t="s">
        <v>1210</v>
      </c>
      <c r="I235" t="s">
        <v>1211</v>
      </c>
      <c r="J235" t="s">
        <v>1212</v>
      </c>
      <c r="K235" t="s">
        <v>1063</v>
      </c>
      <c r="M235">
        <v>0</v>
      </c>
      <c r="N235">
        <v>0</v>
      </c>
      <c r="O235" t="s">
        <v>1277</v>
      </c>
      <c r="S235">
        <v>202</v>
      </c>
      <c r="T235">
        <v>0</v>
      </c>
      <c r="V235">
        <v>0</v>
      </c>
      <c r="W235" s="21">
        <v>0</v>
      </c>
      <c r="X235">
        <v>0</v>
      </c>
      <c r="Y235" s="21">
        <v>0</v>
      </c>
    </row>
    <row r="236" spans="1:25" x14ac:dyDescent="0.25">
      <c r="A236">
        <f t="shared" si="3"/>
        <v>235</v>
      </c>
      <c r="B236">
        <v>238</v>
      </c>
      <c r="E236" t="s">
        <v>1022</v>
      </c>
      <c r="F236" t="s">
        <v>1209</v>
      </c>
      <c r="G236" t="s">
        <v>1285</v>
      </c>
      <c r="H236" t="s">
        <v>1081</v>
      </c>
      <c r="I236" t="s">
        <v>275</v>
      </c>
      <c r="J236" t="s">
        <v>1213</v>
      </c>
      <c r="K236" t="s">
        <v>1214</v>
      </c>
      <c r="M236">
        <v>0</v>
      </c>
      <c r="N236">
        <v>0</v>
      </c>
      <c r="S236">
        <v>255</v>
      </c>
      <c r="T236">
        <v>0</v>
      </c>
      <c r="V236">
        <v>0</v>
      </c>
      <c r="W236" s="21">
        <v>0</v>
      </c>
      <c r="X236">
        <v>0</v>
      </c>
      <c r="Y236" s="21">
        <v>0</v>
      </c>
    </row>
    <row r="237" spans="1:25" x14ac:dyDescent="0.25">
      <c r="A237">
        <f t="shared" si="3"/>
        <v>236</v>
      </c>
      <c r="B237">
        <v>239</v>
      </c>
      <c r="E237" t="s">
        <v>1022</v>
      </c>
      <c r="F237" t="s">
        <v>1209</v>
      </c>
      <c r="G237" t="s">
        <v>1285</v>
      </c>
      <c r="H237" t="s">
        <v>1081</v>
      </c>
      <c r="I237" t="s">
        <v>1215</v>
      </c>
      <c r="J237" t="s">
        <v>1216</v>
      </c>
      <c r="K237" t="s">
        <v>1154</v>
      </c>
      <c r="M237">
        <v>0</v>
      </c>
      <c r="N237">
        <v>0</v>
      </c>
      <c r="S237">
        <v>500</v>
      </c>
      <c r="T237">
        <v>0</v>
      </c>
      <c r="V237">
        <v>0</v>
      </c>
      <c r="W237" s="21">
        <v>0</v>
      </c>
      <c r="X237">
        <v>0</v>
      </c>
      <c r="Y237" s="21">
        <v>0</v>
      </c>
    </row>
    <row r="238" spans="1:25" x14ac:dyDescent="0.25">
      <c r="A238">
        <f t="shared" si="3"/>
        <v>237</v>
      </c>
      <c r="B238">
        <v>240</v>
      </c>
      <c r="E238" t="s">
        <v>1023</v>
      </c>
      <c r="F238" t="s">
        <v>1209</v>
      </c>
      <c r="G238" t="s">
        <v>1285</v>
      </c>
      <c r="H238" t="s">
        <v>1081</v>
      </c>
      <c r="I238" t="s">
        <v>275</v>
      </c>
      <c r="J238" t="s">
        <v>1217</v>
      </c>
      <c r="K238" t="s">
        <v>1140</v>
      </c>
      <c r="M238">
        <v>0</v>
      </c>
      <c r="N238">
        <v>0</v>
      </c>
      <c r="S238">
        <v>363</v>
      </c>
      <c r="T238">
        <v>0</v>
      </c>
      <c r="V238">
        <v>0</v>
      </c>
      <c r="W238" s="21">
        <v>0</v>
      </c>
      <c r="X238">
        <v>0</v>
      </c>
      <c r="Y238" s="21">
        <v>0</v>
      </c>
    </row>
    <row r="239" spans="1:25" x14ac:dyDescent="0.25">
      <c r="A239">
        <f t="shared" si="3"/>
        <v>238</v>
      </c>
      <c r="B239">
        <v>241</v>
      </c>
      <c r="E239" t="s">
        <v>1023</v>
      </c>
      <c r="F239" t="s">
        <v>1218</v>
      </c>
      <c r="G239" t="s">
        <v>1285</v>
      </c>
      <c r="H239" t="s">
        <v>1081</v>
      </c>
      <c r="I239" t="s">
        <v>1219</v>
      </c>
      <c r="J239" t="s">
        <v>290</v>
      </c>
      <c r="K239" t="s">
        <v>1082</v>
      </c>
      <c r="M239">
        <v>0</v>
      </c>
      <c r="N239">
        <v>0</v>
      </c>
      <c r="S239">
        <v>264</v>
      </c>
      <c r="T239">
        <v>0</v>
      </c>
      <c r="V239">
        <v>0</v>
      </c>
      <c r="W239" s="21">
        <v>0</v>
      </c>
      <c r="X239">
        <v>0</v>
      </c>
      <c r="Y239" s="21">
        <v>0</v>
      </c>
    </row>
    <row r="240" spans="1:25" x14ac:dyDescent="0.25">
      <c r="A240">
        <f t="shared" si="3"/>
        <v>239</v>
      </c>
      <c r="B240">
        <v>242</v>
      </c>
      <c r="E240" t="s">
        <v>1024</v>
      </c>
      <c r="F240" t="s">
        <v>1209</v>
      </c>
      <c r="G240" t="s">
        <v>1285</v>
      </c>
      <c r="H240" t="s">
        <v>1081</v>
      </c>
      <c r="I240" t="s">
        <v>275</v>
      </c>
      <c r="J240" t="s">
        <v>1220</v>
      </c>
      <c r="K240" t="s">
        <v>1088</v>
      </c>
      <c r="M240">
        <v>0</v>
      </c>
      <c r="N240">
        <v>0</v>
      </c>
      <c r="S240">
        <v>527</v>
      </c>
      <c r="T240">
        <v>0</v>
      </c>
      <c r="V240">
        <v>0</v>
      </c>
      <c r="W240" s="21">
        <v>0</v>
      </c>
      <c r="X240">
        <v>0</v>
      </c>
      <c r="Y240" s="21">
        <v>0</v>
      </c>
    </row>
    <row r="241" spans="1:37" x14ac:dyDescent="0.25">
      <c r="A241">
        <f t="shared" si="3"/>
        <v>240</v>
      </c>
      <c r="B241">
        <v>243</v>
      </c>
      <c r="E241" t="s">
        <v>1025</v>
      </c>
      <c r="F241" t="s">
        <v>680</v>
      </c>
      <c r="G241" t="s">
        <v>1285</v>
      </c>
      <c r="H241" t="s">
        <v>1221</v>
      </c>
      <c r="I241" t="s">
        <v>618</v>
      </c>
      <c r="J241" t="s">
        <v>618</v>
      </c>
      <c r="K241" t="s">
        <v>1222</v>
      </c>
      <c r="M241">
        <v>0</v>
      </c>
      <c r="N241">
        <v>0</v>
      </c>
      <c r="O241" t="s">
        <v>1118</v>
      </c>
      <c r="S241">
        <v>143</v>
      </c>
      <c r="T241">
        <v>0</v>
      </c>
      <c r="V241">
        <v>0</v>
      </c>
      <c r="W241" s="21">
        <v>0</v>
      </c>
      <c r="X241">
        <v>8371</v>
      </c>
      <c r="Y241" s="21">
        <v>1942.48</v>
      </c>
    </row>
    <row r="242" spans="1:37" x14ac:dyDescent="0.25">
      <c r="A242">
        <f t="shared" si="3"/>
        <v>241</v>
      </c>
      <c r="B242">
        <v>244</v>
      </c>
      <c r="F242" t="s">
        <v>1223</v>
      </c>
      <c r="G242" t="s">
        <v>1285</v>
      </c>
      <c r="H242" t="s">
        <v>1224</v>
      </c>
      <c r="I242" t="s">
        <v>979</v>
      </c>
      <c r="J242" t="s">
        <v>1225</v>
      </c>
      <c r="K242" t="s">
        <v>1226</v>
      </c>
      <c r="M242">
        <v>0</v>
      </c>
      <c r="N242">
        <v>0</v>
      </c>
      <c r="S242">
        <v>1132</v>
      </c>
      <c r="T242">
        <v>0</v>
      </c>
      <c r="V242">
        <v>0</v>
      </c>
      <c r="W242" s="21">
        <v>0</v>
      </c>
      <c r="X242">
        <v>34866</v>
      </c>
      <c r="Y242" s="21">
        <v>4000</v>
      </c>
    </row>
    <row r="243" spans="1:37" x14ac:dyDescent="0.25">
      <c r="A243">
        <f t="shared" si="3"/>
        <v>242</v>
      </c>
      <c r="B243" t="s">
        <v>1288</v>
      </c>
      <c r="C243">
        <v>1047</v>
      </c>
      <c r="D243" t="s">
        <v>1289</v>
      </c>
      <c r="E243" t="s">
        <v>1290</v>
      </c>
      <c r="F243" t="s">
        <v>1291</v>
      </c>
      <c r="G243" t="s">
        <v>1285</v>
      </c>
      <c r="M243">
        <v>1894</v>
      </c>
      <c r="N243">
        <v>2022</v>
      </c>
      <c r="S243">
        <v>545</v>
      </c>
      <c r="W243" s="21"/>
      <c r="Y243" s="21"/>
    </row>
    <row r="244" spans="1:37" x14ac:dyDescent="0.25">
      <c r="A244">
        <f t="shared" si="3"/>
        <v>243</v>
      </c>
      <c r="C244">
        <v>836</v>
      </c>
      <c r="D244" t="s">
        <v>119</v>
      </c>
      <c r="E244" t="s">
        <v>120</v>
      </c>
      <c r="F244" t="s">
        <v>1045</v>
      </c>
      <c r="G244" t="s">
        <v>1285</v>
      </c>
      <c r="M244">
        <v>2025</v>
      </c>
      <c r="N244">
        <v>2025</v>
      </c>
      <c r="O244" t="s">
        <v>1046</v>
      </c>
      <c r="S244">
        <v>787</v>
      </c>
      <c r="W244" s="21"/>
      <c r="X244">
        <v>16674</v>
      </c>
      <c r="Y244" s="21">
        <v>133340</v>
      </c>
    </row>
    <row r="245" spans="1:37" x14ac:dyDescent="0.25">
      <c r="A245">
        <f t="shared" si="3"/>
        <v>244</v>
      </c>
      <c r="C245">
        <v>609</v>
      </c>
      <c r="D245" t="s">
        <v>127</v>
      </c>
      <c r="E245" t="s">
        <v>128</v>
      </c>
      <c r="F245" t="s">
        <v>1047</v>
      </c>
      <c r="G245" t="s">
        <v>1285</v>
      </c>
      <c r="H245" t="s">
        <v>1048</v>
      </c>
      <c r="I245" t="s">
        <v>133</v>
      </c>
      <c r="J245" t="s">
        <v>1049</v>
      </c>
      <c r="K245" t="s">
        <v>1050</v>
      </c>
      <c r="M245">
        <v>2016</v>
      </c>
      <c r="N245">
        <v>2023</v>
      </c>
      <c r="O245" t="s">
        <v>1292</v>
      </c>
      <c r="S245">
        <v>5700</v>
      </c>
      <c r="W245" s="21"/>
      <c r="X245">
        <v>90000</v>
      </c>
      <c r="Y245" s="21"/>
      <c r="AK245" t="s">
        <v>1293</v>
      </c>
    </row>
    <row r="246" spans="1:37" x14ac:dyDescent="0.25">
      <c r="A246">
        <f t="shared" si="3"/>
        <v>245</v>
      </c>
      <c r="C246">
        <v>1106</v>
      </c>
      <c r="D246" t="s">
        <v>135</v>
      </c>
      <c r="E246" t="s">
        <v>136</v>
      </c>
      <c r="F246" t="s">
        <v>1051</v>
      </c>
      <c r="G246" t="s">
        <v>1285</v>
      </c>
      <c r="I246" t="s">
        <v>141</v>
      </c>
      <c r="N246">
        <v>2025</v>
      </c>
      <c r="O246" t="s">
        <v>1294</v>
      </c>
      <c r="S246">
        <v>530</v>
      </c>
      <c r="V246">
        <v>18907</v>
      </c>
      <c r="W246" s="21"/>
      <c r="X246">
        <v>12500</v>
      </c>
      <c r="Y246" s="21"/>
    </row>
    <row r="247" spans="1:37" x14ac:dyDescent="0.25">
      <c r="A247">
        <f t="shared" si="3"/>
        <v>246</v>
      </c>
      <c r="C247">
        <v>3148</v>
      </c>
      <c r="D247" t="s">
        <v>143</v>
      </c>
      <c r="E247" t="s">
        <v>144</v>
      </c>
      <c r="F247" t="s">
        <v>1052</v>
      </c>
      <c r="G247" t="s">
        <v>1285</v>
      </c>
      <c r="N247">
        <v>2024</v>
      </c>
      <c r="O247" t="s">
        <v>1295</v>
      </c>
      <c r="W247" s="21"/>
      <c r="Y247" s="21"/>
    </row>
    <row r="248" spans="1:37" x14ac:dyDescent="0.25">
      <c r="A248">
        <f t="shared" si="3"/>
        <v>247</v>
      </c>
      <c r="C248">
        <v>3151</v>
      </c>
      <c r="D248" t="s">
        <v>151</v>
      </c>
      <c r="E248" t="s">
        <v>152</v>
      </c>
      <c r="F248" t="s">
        <v>1053</v>
      </c>
      <c r="G248" t="s">
        <v>1285</v>
      </c>
      <c r="N248">
        <v>2025</v>
      </c>
      <c r="O248" t="s">
        <v>1046</v>
      </c>
      <c r="W248" s="21"/>
      <c r="X248">
        <v>232000</v>
      </c>
      <c r="Y248" s="21"/>
    </row>
    <row r="249" spans="1:37" x14ac:dyDescent="0.25">
      <c r="A249">
        <f t="shared" si="3"/>
        <v>248</v>
      </c>
      <c r="C249">
        <v>1115</v>
      </c>
      <c r="D249" t="s">
        <v>158</v>
      </c>
      <c r="E249" t="s">
        <v>159</v>
      </c>
      <c r="F249" t="s">
        <v>1054</v>
      </c>
      <c r="G249" t="s">
        <v>1285</v>
      </c>
      <c r="N249">
        <v>2024</v>
      </c>
      <c r="W249" s="21"/>
      <c r="Y249" s="21"/>
    </row>
    <row r="250" spans="1:37" x14ac:dyDescent="0.25">
      <c r="A250">
        <f t="shared" si="3"/>
        <v>249</v>
      </c>
      <c r="C250">
        <v>1118</v>
      </c>
      <c r="D250" t="s">
        <v>165</v>
      </c>
      <c r="E250" t="s">
        <v>166</v>
      </c>
      <c r="F250" t="s">
        <v>1055</v>
      </c>
      <c r="G250" t="s">
        <v>1285</v>
      </c>
      <c r="N250">
        <v>2024</v>
      </c>
      <c r="W250" s="21"/>
      <c r="Y250" s="21"/>
    </row>
    <row r="251" spans="1:37" x14ac:dyDescent="0.25">
      <c r="A251">
        <f t="shared" si="3"/>
        <v>250</v>
      </c>
      <c r="C251">
        <v>350</v>
      </c>
      <c r="D251" t="s">
        <v>173</v>
      </c>
      <c r="E251" t="s">
        <v>174</v>
      </c>
      <c r="F251" t="s">
        <v>1056</v>
      </c>
      <c r="G251" t="s">
        <v>1285</v>
      </c>
      <c r="I251" t="s">
        <v>179</v>
      </c>
      <c r="M251">
        <v>1957</v>
      </c>
      <c r="N251">
        <v>2014</v>
      </c>
      <c r="O251" t="s">
        <v>1046</v>
      </c>
      <c r="S251">
        <v>355</v>
      </c>
      <c r="V251">
        <v>48000</v>
      </c>
      <c r="W251" s="21"/>
      <c r="X251">
        <v>17800</v>
      </c>
      <c r="Y251" s="21"/>
    </row>
    <row r="252" spans="1:37" x14ac:dyDescent="0.25">
      <c r="A252">
        <f t="shared" si="3"/>
        <v>251</v>
      </c>
      <c r="C252">
        <v>3156</v>
      </c>
      <c r="D252" t="s">
        <v>181</v>
      </c>
      <c r="E252" t="s">
        <v>182</v>
      </c>
      <c r="F252" t="s">
        <v>1057</v>
      </c>
      <c r="G252" t="s">
        <v>1285</v>
      </c>
      <c r="N252">
        <v>2025</v>
      </c>
      <c r="S252">
        <v>9000</v>
      </c>
      <c r="W252" s="21"/>
      <c r="Y252" s="21"/>
    </row>
    <row r="253" spans="1:37" x14ac:dyDescent="0.25">
      <c r="A253">
        <f t="shared" si="3"/>
        <v>252</v>
      </c>
      <c r="C253">
        <v>1126</v>
      </c>
      <c r="D253" t="s">
        <v>189</v>
      </c>
      <c r="E253" t="s">
        <v>190</v>
      </c>
      <c r="F253" t="s">
        <v>1058</v>
      </c>
      <c r="G253" t="s">
        <v>1285</v>
      </c>
      <c r="N253">
        <v>2024</v>
      </c>
      <c r="W253" s="21"/>
      <c r="Y253" s="21"/>
    </row>
    <row r="254" spans="1:37" x14ac:dyDescent="0.25">
      <c r="A254">
        <f t="shared" si="3"/>
        <v>253</v>
      </c>
      <c r="C254">
        <v>630</v>
      </c>
      <c r="D254" t="s">
        <v>192</v>
      </c>
      <c r="E254" t="s">
        <v>193</v>
      </c>
      <c r="F254" t="s">
        <v>1056</v>
      </c>
      <c r="G254" t="s">
        <v>1285</v>
      </c>
      <c r="H254" t="s">
        <v>1059</v>
      </c>
      <c r="I254" t="s">
        <v>198</v>
      </c>
      <c r="J254" t="s">
        <v>199</v>
      </c>
      <c r="K254" t="s">
        <v>1060</v>
      </c>
      <c r="M254">
        <v>1900</v>
      </c>
      <c r="N254">
        <v>2025</v>
      </c>
      <c r="O254" t="s">
        <v>1046</v>
      </c>
      <c r="S254">
        <v>622</v>
      </c>
      <c r="W254" s="21"/>
      <c r="X254">
        <v>33200</v>
      </c>
      <c r="Y254" s="21"/>
    </row>
    <row r="255" spans="1:37" x14ac:dyDescent="0.25">
      <c r="A255">
        <f t="shared" si="3"/>
        <v>254</v>
      </c>
      <c r="C255">
        <v>1131</v>
      </c>
      <c r="D255" t="s">
        <v>189</v>
      </c>
      <c r="E255" t="s">
        <v>200</v>
      </c>
      <c r="F255" t="s">
        <v>1061</v>
      </c>
      <c r="G255" t="s">
        <v>1285</v>
      </c>
      <c r="N255">
        <v>2025</v>
      </c>
      <c r="W255" s="21"/>
      <c r="Y255" s="21"/>
    </row>
    <row r="256" spans="1:37" x14ac:dyDescent="0.25">
      <c r="A256">
        <f t="shared" si="3"/>
        <v>255</v>
      </c>
      <c r="C256">
        <v>3117</v>
      </c>
      <c r="D256" t="s">
        <v>207</v>
      </c>
      <c r="E256" t="s">
        <v>208</v>
      </c>
      <c r="F256" t="s">
        <v>1062</v>
      </c>
      <c r="G256" t="s">
        <v>1285</v>
      </c>
      <c r="I256" t="s">
        <v>211</v>
      </c>
      <c r="N256">
        <v>2022</v>
      </c>
      <c r="O256" t="s">
        <v>1063</v>
      </c>
      <c r="S256">
        <v>832</v>
      </c>
      <c r="W256" s="21"/>
      <c r="X256">
        <v>17645</v>
      </c>
      <c r="Y256" s="21"/>
    </row>
    <row r="257" spans="1:37" x14ac:dyDescent="0.25">
      <c r="A257">
        <f t="shared" si="3"/>
        <v>256</v>
      </c>
      <c r="C257">
        <v>3169</v>
      </c>
      <c r="D257" t="s">
        <v>213</v>
      </c>
      <c r="E257" t="s">
        <v>214</v>
      </c>
      <c r="F257" t="s">
        <v>1064</v>
      </c>
      <c r="G257" t="s">
        <v>1285</v>
      </c>
      <c r="H257" t="s">
        <v>1048</v>
      </c>
      <c r="I257" t="s">
        <v>218</v>
      </c>
      <c r="J257" t="s">
        <v>736</v>
      </c>
      <c r="K257" t="s">
        <v>1065</v>
      </c>
      <c r="M257">
        <v>1994</v>
      </c>
      <c r="N257">
        <v>2025</v>
      </c>
      <c r="O257" t="s">
        <v>1066</v>
      </c>
      <c r="W257" s="21"/>
      <c r="Y257" s="21"/>
    </row>
    <row r="258" spans="1:37" x14ac:dyDescent="0.25">
      <c r="A258">
        <f t="shared" ref="A258:A321" si="4">ROW(A258)-1</f>
        <v>257</v>
      </c>
      <c r="C258">
        <v>1128</v>
      </c>
      <c r="D258" t="s">
        <v>219</v>
      </c>
      <c r="E258" t="s">
        <v>220</v>
      </c>
      <c r="F258" t="s">
        <v>1067</v>
      </c>
      <c r="G258" t="s">
        <v>1285</v>
      </c>
      <c r="H258" t="s">
        <v>1068</v>
      </c>
      <c r="I258" t="s">
        <v>27</v>
      </c>
      <c r="J258" t="s">
        <v>1069</v>
      </c>
      <c r="K258" t="s">
        <v>1070</v>
      </c>
      <c r="M258">
        <v>1822</v>
      </c>
      <c r="N258">
        <v>2025</v>
      </c>
      <c r="W258" s="21"/>
      <c r="Y258" s="21"/>
    </row>
    <row r="259" spans="1:37" x14ac:dyDescent="0.25">
      <c r="A259">
        <f t="shared" si="4"/>
        <v>258</v>
      </c>
      <c r="D259" t="s">
        <v>1296</v>
      </c>
      <c r="E259" t="s">
        <v>1297</v>
      </c>
      <c r="G259" t="s">
        <v>1285</v>
      </c>
      <c r="I259" t="s">
        <v>275</v>
      </c>
      <c r="N259">
        <v>2025</v>
      </c>
      <c r="W259" s="21"/>
      <c r="Y259" s="21"/>
    </row>
    <row r="260" spans="1:37" x14ac:dyDescent="0.25">
      <c r="A260">
        <f t="shared" si="4"/>
        <v>259</v>
      </c>
      <c r="C260">
        <v>3069</v>
      </c>
      <c r="D260" t="s">
        <v>226</v>
      </c>
      <c r="E260" t="s">
        <v>227</v>
      </c>
      <c r="F260" t="s">
        <v>1071</v>
      </c>
      <c r="G260" t="s">
        <v>1285</v>
      </c>
      <c r="H260" t="s">
        <v>1048</v>
      </c>
      <c r="I260" t="s">
        <v>231</v>
      </c>
      <c r="N260">
        <v>2020</v>
      </c>
      <c r="O260" t="s">
        <v>1295</v>
      </c>
      <c r="S260">
        <v>11000</v>
      </c>
      <c r="V260">
        <v>445480</v>
      </c>
      <c r="W260" s="21"/>
      <c r="X260">
        <v>1077119</v>
      </c>
      <c r="Y260" s="21"/>
    </row>
    <row r="261" spans="1:37" x14ac:dyDescent="0.25">
      <c r="A261">
        <f t="shared" si="4"/>
        <v>260</v>
      </c>
      <c r="C261">
        <v>3016</v>
      </c>
      <c r="D261" t="s">
        <v>550</v>
      </c>
      <c r="E261" t="s">
        <v>1298</v>
      </c>
      <c r="F261" t="s">
        <v>1299</v>
      </c>
      <c r="G261" t="s">
        <v>1285</v>
      </c>
      <c r="H261" t="s">
        <v>1144</v>
      </c>
      <c r="I261" t="s">
        <v>103</v>
      </c>
      <c r="J261" t="s">
        <v>172</v>
      </c>
      <c r="N261">
        <v>2018</v>
      </c>
      <c r="O261" t="s">
        <v>1295</v>
      </c>
      <c r="S261">
        <v>120</v>
      </c>
      <c r="W261" s="21"/>
      <c r="X261">
        <v>373668</v>
      </c>
      <c r="Y261" s="21"/>
      <c r="AK261" t="s">
        <v>1293</v>
      </c>
    </row>
    <row r="262" spans="1:37" x14ac:dyDescent="0.25">
      <c r="A262">
        <f t="shared" si="4"/>
        <v>261</v>
      </c>
      <c r="C262">
        <v>855</v>
      </c>
      <c r="E262" t="s">
        <v>233</v>
      </c>
      <c r="F262" t="s">
        <v>1072</v>
      </c>
      <c r="G262" t="s">
        <v>1285</v>
      </c>
      <c r="H262" t="s">
        <v>1073</v>
      </c>
      <c r="I262" t="s">
        <v>1074</v>
      </c>
      <c r="J262" t="s">
        <v>1075</v>
      </c>
      <c r="K262" t="s">
        <v>1076</v>
      </c>
      <c r="N262">
        <v>2025</v>
      </c>
      <c r="W262" s="21"/>
      <c r="Y262" s="21"/>
    </row>
    <row r="263" spans="1:37" x14ac:dyDescent="0.25">
      <c r="A263">
        <f t="shared" si="4"/>
        <v>262</v>
      </c>
      <c r="C263">
        <v>304</v>
      </c>
      <c r="E263" t="s">
        <v>240</v>
      </c>
      <c r="G263" t="s">
        <v>1285</v>
      </c>
      <c r="I263" t="s">
        <v>125</v>
      </c>
      <c r="N263">
        <v>2011</v>
      </c>
      <c r="W263" s="21"/>
      <c r="Y263" s="21"/>
    </row>
    <row r="264" spans="1:37" x14ac:dyDescent="0.25">
      <c r="A264">
        <f t="shared" si="4"/>
        <v>263</v>
      </c>
      <c r="C264">
        <v>321</v>
      </c>
      <c r="E264" t="s">
        <v>245</v>
      </c>
      <c r="G264" t="s">
        <v>1285</v>
      </c>
      <c r="I264" t="s">
        <v>1077</v>
      </c>
      <c r="N264">
        <v>2008</v>
      </c>
      <c r="W264" s="21"/>
      <c r="Y264" s="21"/>
    </row>
    <row r="265" spans="1:37" x14ac:dyDescent="0.25">
      <c r="A265">
        <f t="shared" si="4"/>
        <v>264</v>
      </c>
      <c r="C265">
        <v>329</v>
      </c>
      <c r="E265" t="s">
        <v>252</v>
      </c>
      <c r="F265" t="s">
        <v>1078</v>
      </c>
      <c r="G265" t="s">
        <v>1285</v>
      </c>
      <c r="I265" t="s">
        <v>257</v>
      </c>
      <c r="N265">
        <v>2011</v>
      </c>
      <c r="W265" s="21"/>
      <c r="X265">
        <v>330500</v>
      </c>
      <c r="Y265" s="21"/>
    </row>
    <row r="266" spans="1:37" x14ac:dyDescent="0.25">
      <c r="A266">
        <f t="shared" si="4"/>
        <v>265</v>
      </c>
      <c r="C266">
        <v>370</v>
      </c>
      <c r="E266" t="s">
        <v>259</v>
      </c>
      <c r="F266" t="s">
        <v>1079</v>
      </c>
      <c r="G266" t="s">
        <v>1285</v>
      </c>
      <c r="I266" t="s">
        <v>264</v>
      </c>
      <c r="N266">
        <v>2009</v>
      </c>
      <c r="W266" s="21"/>
      <c r="Y266" s="21"/>
    </row>
    <row r="267" spans="1:37" x14ac:dyDescent="0.25">
      <c r="A267">
        <f t="shared" si="4"/>
        <v>266</v>
      </c>
      <c r="C267">
        <v>3033</v>
      </c>
      <c r="D267" t="s">
        <v>550</v>
      </c>
      <c r="E267" t="s">
        <v>1300</v>
      </c>
      <c r="F267" t="s">
        <v>1091</v>
      </c>
      <c r="G267" t="s">
        <v>1285</v>
      </c>
      <c r="I267" t="s">
        <v>437</v>
      </c>
      <c r="N267">
        <v>2019</v>
      </c>
      <c r="O267" t="s">
        <v>1301</v>
      </c>
      <c r="W267" s="21"/>
      <c r="Y267" s="21"/>
    </row>
    <row r="268" spans="1:37" x14ac:dyDescent="0.25">
      <c r="A268">
        <f t="shared" si="4"/>
        <v>267</v>
      </c>
      <c r="C268">
        <v>3051</v>
      </c>
      <c r="E268" t="s">
        <v>266</v>
      </c>
      <c r="F268" t="s">
        <v>1079</v>
      </c>
      <c r="G268" t="s">
        <v>1285</v>
      </c>
      <c r="I268" t="s">
        <v>271</v>
      </c>
      <c r="N268">
        <v>2020</v>
      </c>
      <c r="W268" s="21"/>
      <c r="Y268" s="21"/>
    </row>
    <row r="269" spans="1:37" x14ac:dyDescent="0.25">
      <c r="A269">
        <f t="shared" si="4"/>
        <v>268</v>
      </c>
      <c r="D269" t="s">
        <v>272</v>
      </c>
      <c r="F269" t="s">
        <v>1080</v>
      </c>
      <c r="G269" t="s">
        <v>1285</v>
      </c>
      <c r="H269" t="s">
        <v>1081</v>
      </c>
      <c r="I269" t="s">
        <v>275</v>
      </c>
      <c r="J269" t="s">
        <v>276</v>
      </c>
      <c r="K269" t="s">
        <v>1082</v>
      </c>
      <c r="O269" t="s">
        <v>1063</v>
      </c>
      <c r="S269">
        <v>1820</v>
      </c>
      <c r="W269" s="21"/>
      <c r="X269">
        <v>540000</v>
      </c>
      <c r="Y269" s="21"/>
    </row>
    <row r="270" spans="1:37" x14ac:dyDescent="0.25">
      <c r="A270">
        <f t="shared" si="4"/>
        <v>269</v>
      </c>
      <c r="C270">
        <v>837</v>
      </c>
      <c r="D270" t="s">
        <v>277</v>
      </c>
      <c r="E270" t="s">
        <v>278</v>
      </c>
      <c r="F270" t="s">
        <v>1079</v>
      </c>
      <c r="G270" t="s">
        <v>1285</v>
      </c>
      <c r="I270" t="s">
        <v>282</v>
      </c>
      <c r="J270" t="s">
        <v>283</v>
      </c>
      <c r="N270">
        <v>2022</v>
      </c>
      <c r="S270">
        <v>7000</v>
      </c>
      <c r="W270" s="21"/>
      <c r="X270">
        <v>4500000</v>
      </c>
      <c r="Y270" s="21"/>
    </row>
    <row r="271" spans="1:37" x14ac:dyDescent="0.25">
      <c r="A271">
        <f t="shared" si="4"/>
        <v>270</v>
      </c>
      <c r="C271">
        <v>3124</v>
      </c>
      <c r="D271" t="s">
        <v>284</v>
      </c>
      <c r="E271" t="s">
        <v>285</v>
      </c>
      <c r="F271" t="s">
        <v>1079</v>
      </c>
      <c r="G271" t="s">
        <v>1285</v>
      </c>
      <c r="I271" t="s">
        <v>275</v>
      </c>
      <c r="N271">
        <v>2023</v>
      </c>
      <c r="S271">
        <v>896</v>
      </c>
      <c r="W271" s="21"/>
      <c r="X271">
        <v>18944</v>
      </c>
      <c r="Y271" s="21"/>
    </row>
    <row r="272" spans="1:37" x14ac:dyDescent="0.25">
      <c r="A272">
        <f t="shared" si="4"/>
        <v>271</v>
      </c>
      <c r="C272">
        <v>3138</v>
      </c>
      <c r="D272" t="s">
        <v>291</v>
      </c>
      <c r="E272" t="s">
        <v>292</v>
      </c>
      <c r="F272" t="s">
        <v>1079</v>
      </c>
      <c r="G272" t="s">
        <v>1285</v>
      </c>
      <c r="I272" t="s">
        <v>275</v>
      </c>
      <c r="N272">
        <v>2024</v>
      </c>
      <c r="W272" s="21"/>
      <c r="Y272" s="21"/>
    </row>
    <row r="273" spans="1:37" x14ac:dyDescent="0.25">
      <c r="A273">
        <f t="shared" si="4"/>
        <v>272</v>
      </c>
      <c r="C273">
        <v>3145</v>
      </c>
      <c r="D273" t="s">
        <v>298</v>
      </c>
      <c r="E273" t="s">
        <v>299</v>
      </c>
      <c r="F273" t="s">
        <v>1083</v>
      </c>
      <c r="G273" t="s">
        <v>1285</v>
      </c>
      <c r="I273" t="s">
        <v>275</v>
      </c>
      <c r="N273">
        <v>2024</v>
      </c>
      <c r="O273" t="s">
        <v>1063</v>
      </c>
      <c r="W273" s="21"/>
      <c r="Y273" s="21"/>
    </row>
    <row r="274" spans="1:37" x14ac:dyDescent="0.25">
      <c r="A274">
        <f t="shared" si="4"/>
        <v>273</v>
      </c>
      <c r="C274">
        <v>1132</v>
      </c>
      <c r="E274" t="s">
        <v>305</v>
      </c>
      <c r="G274" t="s">
        <v>1285</v>
      </c>
      <c r="N274">
        <v>2025</v>
      </c>
      <c r="W274" s="21"/>
      <c r="Y274" s="21"/>
    </row>
    <row r="275" spans="1:37" x14ac:dyDescent="0.25">
      <c r="A275">
        <f t="shared" si="4"/>
        <v>274</v>
      </c>
      <c r="C275">
        <v>337</v>
      </c>
      <c r="D275" t="s">
        <v>192</v>
      </c>
      <c r="E275" t="s">
        <v>311</v>
      </c>
      <c r="F275" t="s">
        <v>1084</v>
      </c>
      <c r="G275" t="s">
        <v>1285</v>
      </c>
      <c r="I275" t="s">
        <v>275</v>
      </c>
      <c r="M275">
        <v>1960</v>
      </c>
      <c r="N275">
        <v>2012</v>
      </c>
      <c r="O275" t="s">
        <v>1063</v>
      </c>
      <c r="S275">
        <v>12000</v>
      </c>
      <c r="T275">
        <v>0</v>
      </c>
      <c r="V275">
        <v>16246770</v>
      </c>
      <c r="W275" s="21">
        <v>0</v>
      </c>
      <c r="X275">
        <v>2016000</v>
      </c>
      <c r="Y275" s="21">
        <v>0</v>
      </c>
    </row>
    <row r="276" spans="1:37" x14ac:dyDescent="0.25">
      <c r="A276">
        <f t="shared" si="4"/>
        <v>275</v>
      </c>
      <c r="C276">
        <v>386</v>
      </c>
      <c r="D276" t="s">
        <v>1302</v>
      </c>
      <c r="E276" t="s">
        <v>1303</v>
      </c>
      <c r="F276" t="s">
        <v>1085</v>
      </c>
      <c r="G276" t="s">
        <v>1285</v>
      </c>
      <c r="I276" t="s">
        <v>1304</v>
      </c>
      <c r="M276">
        <v>1983</v>
      </c>
      <c r="N276">
        <v>2025</v>
      </c>
      <c r="O276" t="s">
        <v>1295</v>
      </c>
      <c r="S276">
        <v>720</v>
      </c>
      <c r="T276">
        <v>0</v>
      </c>
      <c r="W276" s="21">
        <v>0</v>
      </c>
      <c r="X276">
        <v>107000</v>
      </c>
      <c r="Y276" s="21">
        <v>0</v>
      </c>
    </row>
    <row r="277" spans="1:37" x14ac:dyDescent="0.25">
      <c r="A277">
        <f t="shared" si="4"/>
        <v>276</v>
      </c>
      <c r="C277">
        <v>3021</v>
      </c>
      <c r="D277" t="s">
        <v>313</v>
      </c>
      <c r="E277" t="s">
        <v>314</v>
      </c>
      <c r="F277" t="s">
        <v>1085</v>
      </c>
      <c r="G277" t="s">
        <v>1285</v>
      </c>
      <c r="I277" t="s">
        <v>319</v>
      </c>
      <c r="M277">
        <v>1700</v>
      </c>
      <c r="N277">
        <v>2025</v>
      </c>
      <c r="O277" t="s">
        <v>1294</v>
      </c>
      <c r="S277">
        <v>600</v>
      </c>
      <c r="T277">
        <v>0</v>
      </c>
      <c r="V277">
        <v>50000</v>
      </c>
      <c r="W277" s="21">
        <v>0</v>
      </c>
      <c r="X277">
        <v>17000</v>
      </c>
      <c r="Y277" s="21">
        <v>0</v>
      </c>
      <c r="AK277" t="s">
        <v>1229</v>
      </c>
    </row>
    <row r="278" spans="1:37" x14ac:dyDescent="0.25">
      <c r="A278">
        <f t="shared" si="4"/>
        <v>277</v>
      </c>
      <c r="C278">
        <v>3143</v>
      </c>
      <c r="E278" t="s">
        <v>320</v>
      </c>
      <c r="G278" t="s">
        <v>1285</v>
      </c>
      <c r="M278">
        <v>0</v>
      </c>
      <c r="N278">
        <v>2025</v>
      </c>
      <c r="S278">
        <v>0</v>
      </c>
      <c r="T278">
        <v>0</v>
      </c>
      <c r="V278">
        <v>0</v>
      </c>
      <c r="W278" s="21">
        <v>0</v>
      </c>
      <c r="X278">
        <v>0</v>
      </c>
      <c r="Y278" s="21">
        <v>0</v>
      </c>
      <c r="AK278" t="s">
        <v>1230</v>
      </c>
    </row>
    <row r="279" spans="1:37" x14ac:dyDescent="0.25">
      <c r="A279">
        <f t="shared" si="4"/>
        <v>278</v>
      </c>
      <c r="C279">
        <v>3166</v>
      </c>
      <c r="D279" t="s">
        <v>277</v>
      </c>
      <c r="E279" t="s">
        <v>321</v>
      </c>
      <c r="F279" t="s">
        <v>1085</v>
      </c>
      <c r="G279" t="s">
        <v>1285</v>
      </c>
      <c r="I279" t="s">
        <v>133</v>
      </c>
      <c r="M279">
        <v>1910</v>
      </c>
      <c r="N279">
        <v>2025</v>
      </c>
      <c r="O279" t="s">
        <v>1301</v>
      </c>
      <c r="S279">
        <v>1200</v>
      </c>
      <c r="T279">
        <v>0</v>
      </c>
      <c r="V279">
        <v>0</v>
      </c>
      <c r="W279" s="21">
        <v>0</v>
      </c>
      <c r="X279">
        <v>0</v>
      </c>
      <c r="Y279" s="21">
        <v>0</v>
      </c>
    </row>
    <row r="280" spans="1:37" x14ac:dyDescent="0.25">
      <c r="A280">
        <f t="shared" si="4"/>
        <v>279</v>
      </c>
      <c r="C280">
        <v>3168</v>
      </c>
      <c r="E280" t="s">
        <v>1305</v>
      </c>
      <c r="G280" t="s">
        <v>1285</v>
      </c>
      <c r="M280">
        <v>0</v>
      </c>
      <c r="N280">
        <v>2024</v>
      </c>
      <c r="S280">
        <v>0</v>
      </c>
      <c r="T280">
        <v>0</v>
      </c>
      <c r="V280">
        <v>0</v>
      </c>
      <c r="W280" s="21">
        <v>0</v>
      </c>
      <c r="X280">
        <v>0</v>
      </c>
      <c r="Y280" s="21">
        <v>0</v>
      </c>
    </row>
    <row r="281" spans="1:37" x14ac:dyDescent="0.25">
      <c r="A281">
        <f t="shared" si="4"/>
        <v>280</v>
      </c>
      <c r="C281">
        <v>3152</v>
      </c>
      <c r="E281" t="s">
        <v>1306</v>
      </c>
      <c r="G281" t="s">
        <v>1285</v>
      </c>
      <c r="M281">
        <v>0</v>
      </c>
      <c r="N281">
        <v>2024</v>
      </c>
      <c r="S281">
        <v>0</v>
      </c>
      <c r="T281">
        <v>0</v>
      </c>
      <c r="V281">
        <v>0</v>
      </c>
      <c r="W281" s="21">
        <v>0</v>
      </c>
      <c r="X281">
        <v>0</v>
      </c>
      <c r="Y281" s="21">
        <v>0</v>
      </c>
    </row>
    <row r="282" spans="1:37" x14ac:dyDescent="0.25">
      <c r="A282">
        <f t="shared" si="4"/>
        <v>281</v>
      </c>
      <c r="C282">
        <v>3158</v>
      </c>
      <c r="E282" t="s">
        <v>1307</v>
      </c>
      <c r="G282" t="s">
        <v>1285</v>
      </c>
      <c r="M282">
        <v>0</v>
      </c>
      <c r="N282">
        <v>2024</v>
      </c>
      <c r="S282">
        <v>0</v>
      </c>
      <c r="T282">
        <v>0</v>
      </c>
      <c r="V282">
        <v>0</v>
      </c>
      <c r="W282" s="21">
        <v>0</v>
      </c>
      <c r="X282">
        <v>0</v>
      </c>
      <c r="Y282" s="21">
        <v>0</v>
      </c>
    </row>
    <row r="283" spans="1:37" x14ac:dyDescent="0.25">
      <c r="A283">
        <f t="shared" si="4"/>
        <v>282</v>
      </c>
      <c r="C283">
        <v>3163</v>
      </c>
      <c r="E283" t="s">
        <v>1308</v>
      </c>
      <c r="G283" t="s">
        <v>1285</v>
      </c>
      <c r="M283">
        <v>0</v>
      </c>
      <c r="N283">
        <v>2024</v>
      </c>
      <c r="S283">
        <v>0</v>
      </c>
      <c r="T283">
        <v>0</v>
      </c>
      <c r="V283">
        <v>0</v>
      </c>
      <c r="W283" s="21">
        <v>0</v>
      </c>
      <c r="X283">
        <v>0</v>
      </c>
      <c r="Y283" s="21">
        <v>0</v>
      </c>
    </row>
    <row r="284" spans="1:37" x14ac:dyDescent="0.25">
      <c r="A284">
        <f t="shared" si="4"/>
        <v>283</v>
      </c>
      <c r="C284">
        <v>3165</v>
      </c>
      <c r="E284" t="s">
        <v>1309</v>
      </c>
      <c r="G284" t="s">
        <v>1285</v>
      </c>
      <c r="M284">
        <v>0</v>
      </c>
      <c r="N284">
        <v>2024</v>
      </c>
      <c r="S284">
        <v>0</v>
      </c>
      <c r="T284">
        <v>0</v>
      </c>
      <c r="V284">
        <v>0</v>
      </c>
      <c r="W284" s="21">
        <v>0</v>
      </c>
      <c r="X284">
        <v>0</v>
      </c>
      <c r="Y284" s="21">
        <v>0</v>
      </c>
    </row>
    <row r="285" spans="1:37" x14ac:dyDescent="0.25">
      <c r="A285">
        <f t="shared" si="4"/>
        <v>284</v>
      </c>
      <c r="C285">
        <v>3167</v>
      </c>
      <c r="E285" t="s">
        <v>1310</v>
      </c>
      <c r="G285" t="s">
        <v>1285</v>
      </c>
      <c r="M285">
        <v>0</v>
      </c>
      <c r="N285">
        <v>2024</v>
      </c>
      <c r="S285">
        <v>0</v>
      </c>
      <c r="T285">
        <v>0</v>
      </c>
      <c r="V285">
        <v>0</v>
      </c>
      <c r="W285" s="21">
        <v>0</v>
      </c>
      <c r="X285">
        <v>0</v>
      </c>
      <c r="Y285" s="21">
        <v>0</v>
      </c>
    </row>
    <row r="286" spans="1:37" x14ac:dyDescent="0.25">
      <c r="A286">
        <f t="shared" si="4"/>
        <v>285</v>
      </c>
      <c r="C286">
        <v>737</v>
      </c>
      <c r="E286" t="s">
        <v>326</v>
      </c>
      <c r="G286" t="s">
        <v>1285</v>
      </c>
      <c r="M286">
        <v>0</v>
      </c>
      <c r="N286">
        <v>2021</v>
      </c>
      <c r="S286">
        <v>0</v>
      </c>
      <c r="T286">
        <v>0</v>
      </c>
      <c r="V286">
        <v>0</v>
      </c>
      <c r="W286" s="21">
        <v>0</v>
      </c>
      <c r="X286">
        <v>0</v>
      </c>
      <c r="Y286" s="21">
        <v>0</v>
      </c>
    </row>
    <row r="287" spans="1:37" x14ac:dyDescent="0.25">
      <c r="A287">
        <f t="shared" si="4"/>
        <v>286</v>
      </c>
      <c r="C287">
        <v>851</v>
      </c>
      <c r="E287" t="s">
        <v>327</v>
      </c>
      <c r="G287" t="s">
        <v>1285</v>
      </c>
      <c r="M287">
        <v>0</v>
      </c>
      <c r="N287">
        <v>2023</v>
      </c>
      <c r="S287">
        <v>0</v>
      </c>
      <c r="T287">
        <v>0</v>
      </c>
      <c r="V287">
        <v>0</v>
      </c>
      <c r="W287" s="21">
        <v>0</v>
      </c>
      <c r="X287">
        <v>0</v>
      </c>
      <c r="Y287" s="21">
        <v>0</v>
      </c>
    </row>
    <row r="288" spans="1:37" x14ac:dyDescent="0.25">
      <c r="A288">
        <f t="shared" si="4"/>
        <v>287</v>
      </c>
      <c r="C288">
        <v>856</v>
      </c>
      <c r="E288" t="s">
        <v>329</v>
      </c>
      <c r="G288" t="s">
        <v>1285</v>
      </c>
      <c r="M288">
        <v>0</v>
      </c>
      <c r="N288">
        <v>2025</v>
      </c>
      <c r="S288">
        <v>0</v>
      </c>
      <c r="T288">
        <v>0</v>
      </c>
      <c r="V288">
        <v>0</v>
      </c>
      <c r="W288" s="21">
        <v>0</v>
      </c>
      <c r="X288">
        <v>0</v>
      </c>
      <c r="Y288" s="21">
        <v>0</v>
      </c>
    </row>
    <row r="289" spans="1:37" x14ac:dyDescent="0.25">
      <c r="A289">
        <f t="shared" si="4"/>
        <v>288</v>
      </c>
      <c r="C289">
        <v>774</v>
      </c>
      <c r="D289" t="s">
        <v>330</v>
      </c>
      <c r="E289" t="s">
        <v>331</v>
      </c>
      <c r="G289" t="s">
        <v>1285</v>
      </c>
      <c r="M289">
        <v>0</v>
      </c>
      <c r="N289">
        <v>2025</v>
      </c>
      <c r="S289">
        <v>0</v>
      </c>
      <c r="T289">
        <v>0</v>
      </c>
      <c r="V289">
        <v>0</v>
      </c>
      <c r="W289" s="21">
        <v>0</v>
      </c>
      <c r="X289">
        <v>0</v>
      </c>
      <c r="Y289" s="21">
        <v>0</v>
      </c>
      <c r="AK289" t="s">
        <v>1231</v>
      </c>
    </row>
    <row r="290" spans="1:37" x14ac:dyDescent="0.25">
      <c r="A290">
        <f t="shared" si="4"/>
        <v>289</v>
      </c>
      <c r="C290">
        <v>814</v>
      </c>
      <c r="E290" t="s">
        <v>332</v>
      </c>
      <c r="G290" t="s">
        <v>1285</v>
      </c>
      <c r="M290">
        <v>0</v>
      </c>
      <c r="N290">
        <v>2021</v>
      </c>
      <c r="S290">
        <v>0</v>
      </c>
      <c r="T290">
        <v>0</v>
      </c>
      <c r="V290">
        <v>0</v>
      </c>
      <c r="W290" s="21">
        <v>0</v>
      </c>
      <c r="X290">
        <v>0</v>
      </c>
      <c r="Y290" s="21">
        <v>0</v>
      </c>
      <c r="AK290" t="s">
        <v>1232</v>
      </c>
    </row>
    <row r="291" spans="1:37" x14ac:dyDescent="0.25">
      <c r="A291">
        <f t="shared" si="4"/>
        <v>290</v>
      </c>
      <c r="C291">
        <v>594</v>
      </c>
      <c r="D291" t="s">
        <v>277</v>
      </c>
      <c r="E291" t="s">
        <v>1311</v>
      </c>
      <c r="F291" t="s">
        <v>1312</v>
      </c>
      <c r="G291" t="s">
        <v>1285</v>
      </c>
      <c r="H291" t="s">
        <v>1144</v>
      </c>
      <c r="I291" t="s">
        <v>103</v>
      </c>
      <c r="J291" t="s">
        <v>1313</v>
      </c>
      <c r="K291" t="s">
        <v>1063</v>
      </c>
      <c r="M291">
        <v>2015</v>
      </c>
      <c r="N291">
        <v>2016</v>
      </c>
      <c r="O291" t="s">
        <v>1088</v>
      </c>
      <c r="S291">
        <v>0</v>
      </c>
      <c r="T291">
        <v>0</v>
      </c>
      <c r="W291" s="21">
        <v>0</v>
      </c>
      <c r="X291">
        <v>28000</v>
      </c>
      <c r="Y291" s="21">
        <v>0</v>
      </c>
      <c r="AK291" t="s">
        <v>1293</v>
      </c>
    </row>
    <row r="292" spans="1:37" x14ac:dyDescent="0.25">
      <c r="A292">
        <f t="shared" si="4"/>
        <v>291</v>
      </c>
      <c r="C292">
        <v>837</v>
      </c>
      <c r="E292" t="s">
        <v>278</v>
      </c>
      <c r="G292" t="s">
        <v>1285</v>
      </c>
      <c r="M292">
        <v>0</v>
      </c>
      <c r="N292">
        <v>2023</v>
      </c>
      <c r="S292">
        <v>0</v>
      </c>
      <c r="T292">
        <v>0</v>
      </c>
      <c r="V292">
        <v>0</v>
      </c>
      <c r="W292" s="21">
        <v>0</v>
      </c>
      <c r="X292">
        <v>0</v>
      </c>
      <c r="Y292" s="21">
        <v>0</v>
      </c>
      <c r="AK292" t="s">
        <v>1232</v>
      </c>
    </row>
    <row r="293" spans="1:37" x14ac:dyDescent="0.25">
      <c r="A293">
        <f t="shared" si="4"/>
        <v>292</v>
      </c>
      <c r="C293">
        <v>3136</v>
      </c>
      <c r="D293" t="s">
        <v>854</v>
      </c>
      <c r="E293" t="s">
        <v>1314</v>
      </c>
      <c r="G293" t="s">
        <v>1285</v>
      </c>
      <c r="M293">
        <v>0</v>
      </c>
      <c r="N293">
        <v>2023</v>
      </c>
      <c r="S293">
        <v>0</v>
      </c>
      <c r="T293">
        <v>0</v>
      </c>
      <c r="V293">
        <v>0</v>
      </c>
      <c r="W293" s="21">
        <v>0</v>
      </c>
      <c r="X293">
        <v>135000</v>
      </c>
      <c r="Y293" s="21">
        <v>0</v>
      </c>
    </row>
    <row r="294" spans="1:37" x14ac:dyDescent="0.25">
      <c r="A294">
        <f t="shared" si="4"/>
        <v>293</v>
      </c>
      <c r="C294">
        <v>495</v>
      </c>
      <c r="D294" t="s">
        <v>1315</v>
      </c>
      <c r="E294" t="s">
        <v>1316</v>
      </c>
      <c r="F294" t="s">
        <v>1085</v>
      </c>
      <c r="G294" t="s">
        <v>1285</v>
      </c>
      <c r="I294" t="s">
        <v>344</v>
      </c>
      <c r="M294">
        <v>0</v>
      </c>
      <c r="N294">
        <v>2025</v>
      </c>
      <c r="S294">
        <v>0</v>
      </c>
      <c r="T294">
        <v>0</v>
      </c>
      <c r="V294">
        <v>0</v>
      </c>
      <c r="W294" s="21">
        <v>0</v>
      </c>
      <c r="X294">
        <v>45000</v>
      </c>
      <c r="Y294" s="21">
        <v>0</v>
      </c>
    </row>
    <row r="295" spans="1:37" x14ac:dyDescent="0.25">
      <c r="A295">
        <f t="shared" si="4"/>
        <v>294</v>
      </c>
      <c r="C295">
        <v>375</v>
      </c>
      <c r="D295" t="s">
        <v>1317</v>
      </c>
      <c r="E295" t="s">
        <v>1318</v>
      </c>
      <c r="F295" t="s">
        <v>1319</v>
      </c>
      <c r="G295" t="s">
        <v>1285</v>
      </c>
      <c r="I295" t="s">
        <v>554</v>
      </c>
      <c r="M295">
        <v>0</v>
      </c>
      <c r="N295">
        <v>2025</v>
      </c>
      <c r="O295" t="s">
        <v>1295</v>
      </c>
      <c r="S295">
        <v>100</v>
      </c>
      <c r="W295" s="21">
        <v>0</v>
      </c>
      <c r="X295">
        <v>11900</v>
      </c>
      <c r="Y295" s="21">
        <v>0</v>
      </c>
      <c r="AK295" t="s">
        <v>1320</v>
      </c>
    </row>
    <row r="296" spans="1:37" x14ac:dyDescent="0.25">
      <c r="A296">
        <f t="shared" si="4"/>
        <v>295</v>
      </c>
      <c r="C296">
        <v>563</v>
      </c>
      <c r="D296" t="s">
        <v>423</v>
      </c>
      <c r="E296" t="s">
        <v>1321</v>
      </c>
      <c r="F296" t="s">
        <v>1322</v>
      </c>
      <c r="G296" t="s">
        <v>1285</v>
      </c>
      <c r="H296" t="s">
        <v>1158</v>
      </c>
      <c r="I296" t="s">
        <v>1323</v>
      </c>
      <c r="J296" t="s">
        <v>1324</v>
      </c>
      <c r="K296" t="s">
        <v>1060</v>
      </c>
      <c r="M296">
        <v>2000</v>
      </c>
      <c r="N296">
        <v>2016</v>
      </c>
      <c r="O296" t="s">
        <v>1295</v>
      </c>
      <c r="S296">
        <v>500</v>
      </c>
      <c r="T296">
        <v>0</v>
      </c>
      <c r="V296">
        <v>10000</v>
      </c>
      <c r="W296" s="21">
        <v>0</v>
      </c>
      <c r="X296">
        <v>33000</v>
      </c>
      <c r="Y296" s="21">
        <v>0</v>
      </c>
      <c r="AK296" t="s">
        <v>1325</v>
      </c>
    </row>
    <row r="297" spans="1:37" x14ac:dyDescent="0.25">
      <c r="A297">
        <f t="shared" si="4"/>
        <v>296</v>
      </c>
      <c r="C297">
        <v>580</v>
      </c>
      <c r="D297" t="s">
        <v>423</v>
      </c>
      <c r="E297" t="s">
        <v>1326</v>
      </c>
      <c r="F297" t="s">
        <v>1327</v>
      </c>
      <c r="G297" t="s">
        <v>1285</v>
      </c>
      <c r="H297" t="s">
        <v>1144</v>
      </c>
      <c r="I297" t="s">
        <v>103</v>
      </c>
      <c r="J297" t="s">
        <v>372</v>
      </c>
      <c r="K297" t="s">
        <v>1328</v>
      </c>
      <c r="M297">
        <v>2016</v>
      </c>
      <c r="N297">
        <v>2016</v>
      </c>
      <c r="O297" t="s">
        <v>1046</v>
      </c>
      <c r="S297">
        <v>360</v>
      </c>
      <c r="T297">
        <v>0</v>
      </c>
      <c r="W297" s="21">
        <v>0</v>
      </c>
      <c r="X297">
        <v>10000</v>
      </c>
      <c r="Y297" s="21">
        <v>0</v>
      </c>
      <c r="AK297" t="s">
        <v>1293</v>
      </c>
    </row>
    <row r="298" spans="1:37" x14ac:dyDescent="0.25">
      <c r="A298">
        <f t="shared" si="4"/>
        <v>297</v>
      </c>
      <c r="C298">
        <v>444</v>
      </c>
      <c r="D298" t="s">
        <v>1329</v>
      </c>
      <c r="E298" t="s">
        <v>1330</v>
      </c>
      <c r="F298" t="s">
        <v>1331</v>
      </c>
      <c r="G298" t="s">
        <v>1285</v>
      </c>
      <c r="H298" t="s">
        <v>1332</v>
      </c>
      <c r="I298" t="s">
        <v>250</v>
      </c>
      <c r="J298" t="s">
        <v>1333</v>
      </c>
      <c r="K298" t="s">
        <v>1334</v>
      </c>
      <c r="M298">
        <v>0</v>
      </c>
      <c r="N298">
        <v>2014</v>
      </c>
      <c r="O298" t="s">
        <v>1301</v>
      </c>
      <c r="S298">
        <v>0</v>
      </c>
      <c r="T298">
        <v>0</v>
      </c>
      <c r="V298">
        <v>0</v>
      </c>
      <c r="W298" s="21">
        <v>0</v>
      </c>
      <c r="X298">
        <v>0</v>
      </c>
      <c r="Y298" s="21">
        <v>0</v>
      </c>
    </row>
    <row r="299" spans="1:37" x14ac:dyDescent="0.25">
      <c r="A299">
        <f t="shared" si="4"/>
        <v>298</v>
      </c>
      <c r="C299">
        <v>445</v>
      </c>
      <c r="D299" t="s">
        <v>333</v>
      </c>
      <c r="E299" t="s">
        <v>334</v>
      </c>
      <c r="F299" t="s">
        <v>1085</v>
      </c>
      <c r="G299" t="s">
        <v>1285</v>
      </c>
      <c r="M299">
        <v>0</v>
      </c>
      <c r="N299">
        <v>2014</v>
      </c>
      <c r="O299" t="s">
        <v>1063</v>
      </c>
      <c r="S299">
        <v>1180</v>
      </c>
      <c r="T299">
        <v>0</v>
      </c>
      <c r="V299">
        <v>0</v>
      </c>
      <c r="W299" s="21">
        <v>0</v>
      </c>
      <c r="X299">
        <v>0</v>
      </c>
      <c r="Y299" s="21">
        <v>0</v>
      </c>
    </row>
    <row r="300" spans="1:37" x14ac:dyDescent="0.25">
      <c r="A300">
        <f t="shared" si="4"/>
        <v>299</v>
      </c>
      <c r="C300">
        <v>586</v>
      </c>
      <c r="D300" t="s">
        <v>1335</v>
      </c>
      <c r="E300" t="s">
        <v>1336</v>
      </c>
      <c r="F300" t="s">
        <v>1085</v>
      </c>
      <c r="G300" t="s">
        <v>1285</v>
      </c>
      <c r="H300" t="s">
        <v>1144</v>
      </c>
      <c r="I300" t="s">
        <v>103</v>
      </c>
      <c r="J300" t="s">
        <v>805</v>
      </c>
      <c r="K300" t="s">
        <v>1337</v>
      </c>
      <c r="M300">
        <v>2009</v>
      </c>
      <c r="N300">
        <v>2016</v>
      </c>
      <c r="O300" t="s">
        <v>1295</v>
      </c>
      <c r="S300">
        <v>0</v>
      </c>
      <c r="T300">
        <v>0</v>
      </c>
      <c r="V300">
        <v>0</v>
      </c>
      <c r="W300" s="21">
        <v>0</v>
      </c>
      <c r="X300">
        <v>10534</v>
      </c>
      <c r="Y300" s="21">
        <v>0</v>
      </c>
      <c r="AK300" t="s">
        <v>1293</v>
      </c>
    </row>
    <row r="301" spans="1:37" x14ac:dyDescent="0.25">
      <c r="A301">
        <f t="shared" si="4"/>
        <v>300</v>
      </c>
      <c r="C301">
        <v>307</v>
      </c>
      <c r="D301" t="s">
        <v>338</v>
      </c>
      <c r="E301" t="s">
        <v>339</v>
      </c>
      <c r="G301" t="s">
        <v>1285</v>
      </c>
      <c r="M301">
        <v>0</v>
      </c>
      <c r="N301">
        <v>2006</v>
      </c>
      <c r="S301">
        <v>0</v>
      </c>
      <c r="T301">
        <v>0</v>
      </c>
      <c r="V301">
        <v>0</v>
      </c>
      <c r="W301" s="21">
        <v>0</v>
      </c>
      <c r="X301">
        <v>0</v>
      </c>
      <c r="Y301" s="21">
        <v>0</v>
      </c>
    </row>
    <row r="302" spans="1:37" x14ac:dyDescent="0.25">
      <c r="A302">
        <f t="shared" si="4"/>
        <v>301</v>
      </c>
      <c r="C302">
        <v>641</v>
      </c>
      <c r="D302" t="s">
        <v>423</v>
      </c>
      <c r="E302" t="s">
        <v>1338</v>
      </c>
      <c r="F302" t="s">
        <v>1085</v>
      </c>
      <c r="G302" t="s">
        <v>1285</v>
      </c>
      <c r="H302" t="s">
        <v>1158</v>
      </c>
      <c r="I302" t="s">
        <v>371</v>
      </c>
      <c r="J302" t="s">
        <v>1339</v>
      </c>
      <c r="K302" t="s">
        <v>1340</v>
      </c>
      <c r="M302">
        <v>0</v>
      </c>
      <c r="N302">
        <v>2017</v>
      </c>
      <c r="O302" t="s">
        <v>1301</v>
      </c>
      <c r="T302">
        <v>0</v>
      </c>
      <c r="V302">
        <v>0</v>
      </c>
      <c r="W302" s="21">
        <v>0</v>
      </c>
      <c r="X302">
        <v>0</v>
      </c>
      <c r="Y302" s="21">
        <v>0</v>
      </c>
      <c r="AK302" t="s">
        <v>1341</v>
      </c>
    </row>
    <row r="303" spans="1:37" x14ac:dyDescent="0.25">
      <c r="A303">
        <f t="shared" si="4"/>
        <v>302</v>
      </c>
      <c r="C303">
        <v>521</v>
      </c>
      <c r="D303" t="s">
        <v>277</v>
      </c>
      <c r="E303" t="s">
        <v>1342</v>
      </c>
      <c r="F303" t="s">
        <v>1085</v>
      </c>
      <c r="G303" t="s">
        <v>1285</v>
      </c>
      <c r="M303">
        <v>1982</v>
      </c>
      <c r="N303">
        <v>2016</v>
      </c>
      <c r="O303" t="s">
        <v>1301</v>
      </c>
      <c r="S303">
        <v>650</v>
      </c>
      <c r="T303">
        <v>0</v>
      </c>
      <c r="V303">
        <v>0</v>
      </c>
      <c r="W303" s="21">
        <v>0</v>
      </c>
      <c r="X303">
        <v>138155</v>
      </c>
      <c r="Y303" s="21">
        <v>0</v>
      </c>
    </row>
    <row r="304" spans="1:37" x14ac:dyDescent="0.25">
      <c r="A304">
        <f t="shared" si="4"/>
        <v>303</v>
      </c>
      <c r="C304">
        <v>497</v>
      </c>
      <c r="D304" t="s">
        <v>298</v>
      </c>
      <c r="E304" t="s">
        <v>342</v>
      </c>
      <c r="G304" t="s">
        <v>1285</v>
      </c>
      <c r="M304">
        <v>0</v>
      </c>
      <c r="N304">
        <v>2015</v>
      </c>
      <c r="S304">
        <v>0</v>
      </c>
      <c r="T304">
        <v>0</v>
      </c>
      <c r="V304">
        <v>0</v>
      </c>
      <c r="W304" s="21">
        <v>0</v>
      </c>
      <c r="X304">
        <v>1200000</v>
      </c>
      <c r="Y304" s="21">
        <v>0</v>
      </c>
    </row>
    <row r="305" spans="1:37" x14ac:dyDescent="0.25">
      <c r="A305">
        <f t="shared" si="4"/>
        <v>304</v>
      </c>
      <c r="C305">
        <v>479</v>
      </c>
      <c r="D305" t="s">
        <v>346</v>
      </c>
      <c r="E305" t="s">
        <v>347</v>
      </c>
      <c r="F305" t="s">
        <v>1086</v>
      </c>
      <c r="G305" t="s">
        <v>1285</v>
      </c>
      <c r="M305">
        <v>0</v>
      </c>
      <c r="N305">
        <v>2015</v>
      </c>
      <c r="O305" t="s">
        <v>1063</v>
      </c>
      <c r="S305">
        <v>0</v>
      </c>
      <c r="T305">
        <v>0</v>
      </c>
      <c r="V305">
        <v>0</v>
      </c>
      <c r="W305" s="21">
        <v>0</v>
      </c>
      <c r="Y305" s="21">
        <v>0</v>
      </c>
    </row>
    <row r="306" spans="1:37" x14ac:dyDescent="0.25">
      <c r="A306">
        <f t="shared" si="4"/>
        <v>305</v>
      </c>
      <c r="C306">
        <v>492</v>
      </c>
      <c r="D306" t="s">
        <v>1343</v>
      </c>
      <c r="E306" t="s">
        <v>1344</v>
      </c>
      <c r="F306" t="s">
        <v>1148</v>
      </c>
      <c r="G306" t="s">
        <v>1285</v>
      </c>
      <c r="I306" t="s">
        <v>371</v>
      </c>
      <c r="M306">
        <v>0</v>
      </c>
      <c r="N306">
        <v>2016</v>
      </c>
      <c r="O306" t="s">
        <v>1295</v>
      </c>
      <c r="S306">
        <v>500</v>
      </c>
      <c r="T306">
        <v>0</v>
      </c>
      <c r="V306">
        <v>80000</v>
      </c>
      <c r="W306" s="21">
        <v>0</v>
      </c>
      <c r="X306">
        <v>94000</v>
      </c>
      <c r="Y306" s="21">
        <v>0</v>
      </c>
    </row>
    <row r="307" spans="1:37" x14ac:dyDescent="0.25">
      <c r="A307">
        <f t="shared" si="4"/>
        <v>306</v>
      </c>
      <c r="C307">
        <v>460</v>
      </c>
      <c r="D307" t="s">
        <v>1345</v>
      </c>
      <c r="E307" t="s">
        <v>1346</v>
      </c>
      <c r="F307" t="s">
        <v>1125</v>
      </c>
      <c r="G307" t="s">
        <v>1285</v>
      </c>
      <c r="M307">
        <v>0</v>
      </c>
      <c r="N307">
        <v>2015</v>
      </c>
      <c r="O307" t="s">
        <v>1046</v>
      </c>
      <c r="S307">
        <v>0</v>
      </c>
      <c r="T307">
        <v>0</v>
      </c>
      <c r="V307">
        <v>0</v>
      </c>
      <c r="W307" s="21">
        <v>0</v>
      </c>
      <c r="X307">
        <v>0</v>
      </c>
      <c r="Y307" s="21">
        <v>0</v>
      </c>
    </row>
    <row r="308" spans="1:37" x14ac:dyDescent="0.25">
      <c r="A308">
        <f t="shared" si="4"/>
        <v>307</v>
      </c>
      <c r="C308">
        <v>338</v>
      </c>
      <c r="D308" t="s">
        <v>1347</v>
      </c>
      <c r="E308" t="s">
        <v>1348</v>
      </c>
      <c r="G308" t="s">
        <v>1285</v>
      </c>
      <c r="M308">
        <v>0</v>
      </c>
      <c r="N308">
        <v>2009</v>
      </c>
      <c r="S308">
        <v>254</v>
      </c>
      <c r="T308">
        <v>0</v>
      </c>
      <c r="V308">
        <v>0</v>
      </c>
      <c r="W308" s="21">
        <v>0</v>
      </c>
      <c r="X308">
        <v>0</v>
      </c>
      <c r="Y308" s="21">
        <v>0</v>
      </c>
    </row>
    <row r="309" spans="1:37" x14ac:dyDescent="0.25">
      <c r="A309">
        <f t="shared" si="4"/>
        <v>308</v>
      </c>
      <c r="C309">
        <v>458</v>
      </c>
      <c r="D309" t="s">
        <v>1349</v>
      </c>
      <c r="E309" t="s">
        <v>1350</v>
      </c>
      <c r="F309" t="s">
        <v>1085</v>
      </c>
      <c r="G309" t="s">
        <v>1285</v>
      </c>
      <c r="M309">
        <v>2015</v>
      </c>
      <c r="N309">
        <v>2015</v>
      </c>
      <c r="S309">
        <v>0</v>
      </c>
      <c r="T309">
        <v>0</v>
      </c>
      <c r="V309">
        <v>0</v>
      </c>
      <c r="W309" s="21">
        <v>0</v>
      </c>
      <c r="X309">
        <v>8000</v>
      </c>
      <c r="Y309" s="21">
        <v>0</v>
      </c>
      <c r="AK309" t="s">
        <v>1293</v>
      </c>
    </row>
    <row r="310" spans="1:37" x14ac:dyDescent="0.25">
      <c r="A310">
        <f t="shared" si="4"/>
        <v>309</v>
      </c>
      <c r="C310">
        <v>558</v>
      </c>
      <c r="D310" t="s">
        <v>277</v>
      </c>
      <c r="E310" t="s">
        <v>1351</v>
      </c>
      <c r="F310" t="s">
        <v>1352</v>
      </c>
      <c r="G310" t="s">
        <v>1285</v>
      </c>
      <c r="M310">
        <v>0</v>
      </c>
      <c r="N310">
        <v>2016</v>
      </c>
      <c r="O310" t="s">
        <v>1295</v>
      </c>
      <c r="S310">
        <v>70</v>
      </c>
      <c r="T310">
        <v>0</v>
      </c>
      <c r="W310" s="21">
        <v>0</v>
      </c>
      <c r="X310">
        <v>7300</v>
      </c>
      <c r="Y310" s="21">
        <v>0</v>
      </c>
    </row>
    <row r="311" spans="1:37" x14ac:dyDescent="0.25">
      <c r="A311">
        <f t="shared" si="4"/>
        <v>310</v>
      </c>
      <c r="C311">
        <v>301</v>
      </c>
      <c r="D311" t="s">
        <v>1353</v>
      </c>
      <c r="E311" t="s">
        <v>1354</v>
      </c>
      <c r="G311" t="s">
        <v>1285</v>
      </c>
      <c r="M311">
        <v>0</v>
      </c>
      <c r="N311">
        <v>2011</v>
      </c>
      <c r="O311" t="s">
        <v>1295</v>
      </c>
      <c r="S311">
        <v>0</v>
      </c>
      <c r="T311">
        <v>0</v>
      </c>
      <c r="V311">
        <v>0</v>
      </c>
      <c r="W311" s="21">
        <v>0</v>
      </c>
      <c r="X311">
        <v>0</v>
      </c>
      <c r="Y311" s="21">
        <v>0</v>
      </c>
    </row>
    <row r="312" spans="1:37" x14ac:dyDescent="0.25">
      <c r="A312">
        <f t="shared" si="4"/>
        <v>311</v>
      </c>
      <c r="C312">
        <v>324</v>
      </c>
      <c r="D312" t="s">
        <v>1355</v>
      </c>
      <c r="E312" t="s">
        <v>1356</v>
      </c>
      <c r="F312" t="s">
        <v>1357</v>
      </c>
      <c r="G312" t="s">
        <v>1285</v>
      </c>
      <c r="M312">
        <v>0</v>
      </c>
      <c r="N312">
        <v>2008</v>
      </c>
      <c r="O312" t="s">
        <v>1088</v>
      </c>
      <c r="S312">
        <v>0</v>
      </c>
      <c r="T312">
        <v>0</v>
      </c>
      <c r="V312">
        <v>244087</v>
      </c>
      <c r="W312" s="21">
        <v>0</v>
      </c>
      <c r="X312">
        <v>39337</v>
      </c>
      <c r="Y312" s="21">
        <v>0</v>
      </c>
    </row>
    <row r="313" spans="1:37" x14ac:dyDescent="0.25">
      <c r="A313">
        <f t="shared" si="4"/>
        <v>312</v>
      </c>
      <c r="C313">
        <v>385</v>
      </c>
      <c r="D313" t="s">
        <v>1358</v>
      </c>
      <c r="E313" t="s">
        <v>1359</v>
      </c>
      <c r="F313" t="s">
        <v>1121</v>
      </c>
      <c r="G313" t="s">
        <v>1285</v>
      </c>
      <c r="M313">
        <v>0</v>
      </c>
      <c r="N313">
        <v>2012</v>
      </c>
      <c r="O313" t="s">
        <v>1301</v>
      </c>
      <c r="T313">
        <v>0</v>
      </c>
      <c r="W313" s="21">
        <v>0</v>
      </c>
      <c r="Y313" s="21">
        <v>0</v>
      </c>
    </row>
    <row r="314" spans="1:37" x14ac:dyDescent="0.25">
      <c r="A314">
        <f t="shared" si="4"/>
        <v>313</v>
      </c>
      <c r="C314">
        <v>567</v>
      </c>
      <c r="D314" t="s">
        <v>351</v>
      </c>
      <c r="E314" t="s">
        <v>352</v>
      </c>
      <c r="F314" t="s">
        <v>1085</v>
      </c>
      <c r="G314" t="s">
        <v>1285</v>
      </c>
      <c r="M314">
        <v>0</v>
      </c>
      <c r="N314">
        <v>2016</v>
      </c>
      <c r="S314">
        <v>750</v>
      </c>
      <c r="T314">
        <v>0</v>
      </c>
      <c r="V314">
        <v>52500</v>
      </c>
      <c r="W314" s="21">
        <v>0</v>
      </c>
      <c r="X314">
        <v>40700</v>
      </c>
      <c r="Y314" s="21">
        <v>0</v>
      </c>
    </row>
    <row r="315" spans="1:37" x14ac:dyDescent="0.25">
      <c r="A315">
        <f t="shared" si="4"/>
        <v>314</v>
      </c>
      <c r="C315">
        <v>562</v>
      </c>
      <c r="D315" t="s">
        <v>359</v>
      </c>
      <c r="E315" t="s">
        <v>360</v>
      </c>
      <c r="F315" t="s">
        <v>1087</v>
      </c>
      <c r="G315" t="s">
        <v>1285</v>
      </c>
      <c r="M315">
        <v>0</v>
      </c>
      <c r="N315">
        <v>2009</v>
      </c>
      <c r="O315" t="s">
        <v>1088</v>
      </c>
      <c r="S315">
        <v>0</v>
      </c>
      <c r="T315">
        <v>0</v>
      </c>
      <c r="V315">
        <v>0</v>
      </c>
      <c r="W315" s="21">
        <v>0</v>
      </c>
      <c r="X315">
        <v>0</v>
      </c>
      <c r="Y315" s="21">
        <v>0</v>
      </c>
      <c r="AK315" t="s">
        <v>1233</v>
      </c>
    </row>
    <row r="316" spans="1:37" x14ac:dyDescent="0.25">
      <c r="A316">
        <f t="shared" si="4"/>
        <v>315</v>
      </c>
      <c r="C316">
        <v>609</v>
      </c>
      <c r="D316" t="s">
        <v>364</v>
      </c>
      <c r="E316" t="s">
        <v>365</v>
      </c>
      <c r="F316" t="s">
        <v>1089</v>
      </c>
      <c r="G316" t="s">
        <v>1285</v>
      </c>
      <c r="M316">
        <v>0</v>
      </c>
      <c r="N316">
        <v>2017</v>
      </c>
      <c r="O316" t="s">
        <v>1046</v>
      </c>
      <c r="Q316" t="s">
        <v>1090</v>
      </c>
      <c r="S316">
        <v>0</v>
      </c>
      <c r="T316">
        <v>0</v>
      </c>
      <c r="V316">
        <v>159000</v>
      </c>
      <c r="W316" s="21">
        <v>0</v>
      </c>
      <c r="X316">
        <v>8422</v>
      </c>
      <c r="Y316" s="21">
        <v>0</v>
      </c>
    </row>
    <row r="317" spans="1:37" x14ac:dyDescent="0.25">
      <c r="A317">
        <f t="shared" si="4"/>
        <v>316</v>
      </c>
      <c r="C317">
        <v>423</v>
      </c>
      <c r="D317" t="s">
        <v>1360</v>
      </c>
      <c r="E317" t="s">
        <v>1361</v>
      </c>
      <c r="F317" t="s">
        <v>1362</v>
      </c>
      <c r="G317" t="s">
        <v>1285</v>
      </c>
      <c r="M317">
        <v>0</v>
      </c>
      <c r="N317">
        <v>2014</v>
      </c>
      <c r="S317">
        <v>0</v>
      </c>
      <c r="T317">
        <v>0</v>
      </c>
      <c r="V317">
        <v>0</v>
      </c>
      <c r="W317" s="21">
        <v>0</v>
      </c>
      <c r="X317">
        <v>0</v>
      </c>
      <c r="Y317" s="21">
        <v>0</v>
      </c>
    </row>
    <row r="318" spans="1:37" x14ac:dyDescent="0.25">
      <c r="A318">
        <f t="shared" si="4"/>
        <v>317</v>
      </c>
      <c r="C318">
        <v>462</v>
      </c>
      <c r="D318" t="s">
        <v>1363</v>
      </c>
      <c r="E318" t="s">
        <v>1364</v>
      </c>
      <c r="F318" t="s">
        <v>1357</v>
      </c>
      <c r="G318" t="s">
        <v>1285</v>
      </c>
      <c r="I318" t="s">
        <v>979</v>
      </c>
      <c r="M318">
        <v>0</v>
      </c>
      <c r="N318">
        <v>2009</v>
      </c>
      <c r="O318" t="s">
        <v>1301</v>
      </c>
      <c r="Q318" t="s">
        <v>1365</v>
      </c>
      <c r="S318">
        <v>1400</v>
      </c>
      <c r="T318">
        <v>0</v>
      </c>
      <c r="V318">
        <v>0</v>
      </c>
      <c r="W318" s="21">
        <v>0</v>
      </c>
      <c r="X318">
        <v>0</v>
      </c>
      <c r="Y318" s="21">
        <v>0</v>
      </c>
      <c r="AK318" t="s">
        <v>1366</v>
      </c>
    </row>
    <row r="319" spans="1:37" x14ac:dyDescent="0.25">
      <c r="A319">
        <f t="shared" si="4"/>
        <v>318</v>
      </c>
      <c r="C319">
        <v>481</v>
      </c>
      <c r="D319" t="s">
        <v>366</v>
      </c>
      <c r="E319" t="s">
        <v>367</v>
      </c>
      <c r="F319" t="s">
        <v>1091</v>
      </c>
      <c r="G319" t="s">
        <v>1285</v>
      </c>
      <c r="M319">
        <v>0</v>
      </c>
      <c r="N319">
        <v>2009</v>
      </c>
      <c r="O319" t="s">
        <v>1292</v>
      </c>
      <c r="Q319" t="s">
        <v>1092</v>
      </c>
      <c r="T319">
        <v>0</v>
      </c>
      <c r="V319">
        <v>0</v>
      </c>
      <c r="W319" s="21">
        <v>0</v>
      </c>
      <c r="X319">
        <v>0</v>
      </c>
      <c r="Y319" s="21">
        <v>0</v>
      </c>
      <c r="AK319" t="s">
        <v>1234</v>
      </c>
    </row>
    <row r="320" spans="1:37" x14ac:dyDescent="0.25">
      <c r="A320">
        <f t="shared" si="4"/>
        <v>319</v>
      </c>
      <c r="C320">
        <v>468</v>
      </c>
      <c r="D320" t="s">
        <v>1367</v>
      </c>
      <c r="E320" t="s">
        <v>1368</v>
      </c>
      <c r="F320" t="s">
        <v>1369</v>
      </c>
      <c r="G320" t="s">
        <v>1285</v>
      </c>
      <c r="M320">
        <v>0</v>
      </c>
      <c r="N320">
        <v>2025</v>
      </c>
      <c r="O320" t="s">
        <v>1292</v>
      </c>
      <c r="Q320" t="s">
        <v>1370</v>
      </c>
      <c r="S320">
        <v>1100</v>
      </c>
      <c r="T320">
        <v>0</v>
      </c>
      <c r="V320">
        <v>300000</v>
      </c>
      <c r="W320" s="21">
        <v>0</v>
      </c>
      <c r="X320">
        <v>0</v>
      </c>
      <c r="Y320" s="21">
        <v>0</v>
      </c>
      <c r="AK320" t="s">
        <v>1371</v>
      </c>
    </row>
    <row r="321" spans="1:37" x14ac:dyDescent="0.25">
      <c r="A321">
        <f t="shared" si="4"/>
        <v>320</v>
      </c>
      <c r="C321">
        <v>363</v>
      </c>
      <c r="D321" t="s">
        <v>369</v>
      </c>
      <c r="E321" t="s">
        <v>370</v>
      </c>
      <c r="G321" t="s">
        <v>1285</v>
      </c>
      <c r="M321">
        <v>0</v>
      </c>
      <c r="N321">
        <v>2006</v>
      </c>
      <c r="S321">
        <v>0</v>
      </c>
      <c r="T321">
        <v>0</v>
      </c>
      <c r="V321">
        <v>0</v>
      </c>
      <c r="W321" s="21">
        <v>0</v>
      </c>
      <c r="X321">
        <v>0</v>
      </c>
      <c r="Y321" s="21">
        <v>0</v>
      </c>
    </row>
    <row r="322" spans="1:37" x14ac:dyDescent="0.25">
      <c r="A322">
        <f t="shared" ref="A322:A385" si="5">ROW(A322)-1</f>
        <v>321</v>
      </c>
      <c r="C322">
        <v>373</v>
      </c>
      <c r="D322" t="s">
        <v>1372</v>
      </c>
      <c r="E322" t="s">
        <v>1373</v>
      </c>
      <c r="F322" t="s">
        <v>1096</v>
      </c>
      <c r="G322" t="s">
        <v>1285</v>
      </c>
      <c r="M322">
        <v>0</v>
      </c>
      <c r="N322">
        <v>2009</v>
      </c>
      <c r="O322" t="s">
        <v>1063</v>
      </c>
      <c r="S322">
        <v>0</v>
      </c>
      <c r="T322">
        <v>0</v>
      </c>
      <c r="V322">
        <v>0</v>
      </c>
      <c r="W322" s="21">
        <v>0</v>
      </c>
      <c r="X322">
        <v>0</v>
      </c>
      <c r="Y322" s="21">
        <v>0</v>
      </c>
    </row>
    <row r="323" spans="1:37" x14ac:dyDescent="0.25">
      <c r="A323">
        <f t="shared" si="5"/>
        <v>322</v>
      </c>
      <c r="C323">
        <v>446</v>
      </c>
      <c r="D323" t="s">
        <v>1374</v>
      </c>
      <c r="E323" t="s">
        <v>1375</v>
      </c>
      <c r="F323" t="s">
        <v>1376</v>
      </c>
      <c r="G323" t="s">
        <v>1285</v>
      </c>
      <c r="M323">
        <v>2017</v>
      </c>
      <c r="S323">
        <v>0</v>
      </c>
      <c r="T323">
        <v>0</v>
      </c>
      <c r="V323">
        <v>0</v>
      </c>
      <c r="W323" s="21">
        <v>0</v>
      </c>
      <c r="X323">
        <v>3750</v>
      </c>
      <c r="Y323" s="21">
        <v>0</v>
      </c>
      <c r="AK323" t="s">
        <v>1293</v>
      </c>
    </row>
    <row r="324" spans="1:37" x14ac:dyDescent="0.25">
      <c r="A324">
        <f t="shared" si="5"/>
        <v>323</v>
      </c>
      <c r="C324">
        <v>551</v>
      </c>
      <c r="D324" t="s">
        <v>1377</v>
      </c>
      <c r="E324" t="s">
        <v>1378</v>
      </c>
      <c r="F324" t="s">
        <v>1379</v>
      </c>
      <c r="G324" t="s">
        <v>1285</v>
      </c>
      <c r="M324">
        <v>0</v>
      </c>
      <c r="N324">
        <v>2009</v>
      </c>
      <c r="O324" t="s">
        <v>1295</v>
      </c>
      <c r="S324">
        <v>0</v>
      </c>
      <c r="T324">
        <v>0</v>
      </c>
      <c r="V324">
        <v>0</v>
      </c>
      <c r="W324" s="21">
        <v>0</v>
      </c>
      <c r="X324">
        <v>0</v>
      </c>
      <c r="Y324" s="21">
        <v>0</v>
      </c>
    </row>
    <row r="325" spans="1:37" x14ac:dyDescent="0.25">
      <c r="A325">
        <f t="shared" si="5"/>
        <v>324</v>
      </c>
      <c r="C325">
        <v>556</v>
      </c>
      <c r="D325" t="s">
        <v>1380</v>
      </c>
      <c r="E325" t="s">
        <v>1381</v>
      </c>
      <c r="G325" t="s">
        <v>1285</v>
      </c>
      <c r="M325">
        <v>0</v>
      </c>
      <c r="N325">
        <v>2009</v>
      </c>
      <c r="O325" t="s">
        <v>1295</v>
      </c>
      <c r="S325">
        <v>0</v>
      </c>
      <c r="T325">
        <v>0</v>
      </c>
      <c r="V325">
        <v>0</v>
      </c>
      <c r="W325" s="21">
        <v>0</v>
      </c>
      <c r="X325">
        <v>0</v>
      </c>
      <c r="Y325" s="21">
        <v>0</v>
      </c>
      <c r="AK325" t="s">
        <v>1382</v>
      </c>
    </row>
    <row r="326" spans="1:37" x14ac:dyDescent="0.25">
      <c r="A326">
        <f t="shared" si="5"/>
        <v>325</v>
      </c>
      <c r="C326">
        <v>563</v>
      </c>
      <c r="D326" t="s">
        <v>1383</v>
      </c>
      <c r="E326" t="s">
        <v>1384</v>
      </c>
      <c r="F326" t="s">
        <v>1091</v>
      </c>
      <c r="G326" t="s">
        <v>1285</v>
      </c>
      <c r="M326">
        <v>0</v>
      </c>
      <c r="N326">
        <v>2009</v>
      </c>
      <c r="O326" t="s">
        <v>1301</v>
      </c>
      <c r="S326">
        <v>0</v>
      </c>
      <c r="T326">
        <v>0</v>
      </c>
      <c r="V326">
        <v>0</v>
      </c>
      <c r="W326" s="21">
        <v>0</v>
      </c>
      <c r="X326">
        <v>0</v>
      </c>
      <c r="Y326" s="21">
        <v>0</v>
      </c>
      <c r="AK326" t="s">
        <v>1385</v>
      </c>
    </row>
    <row r="327" spans="1:37" x14ac:dyDescent="0.25">
      <c r="A327">
        <f t="shared" si="5"/>
        <v>326</v>
      </c>
      <c r="C327">
        <v>569</v>
      </c>
      <c r="D327" t="s">
        <v>359</v>
      </c>
      <c r="E327" t="s">
        <v>1386</v>
      </c>
      <c r="F327" t="s">
        <v>1387</v>
      </c>
      <c r="G327" t="s">
        <v>1285</v>
      </c>
      <c r="M327">
        <v>2008</v>
      </c>
      <c r="N327">
        <v>2009</v>
      </c>
      <c r="O327" t="s">
        <v>1046</v>
      </c>
      <c r="S327">
        <v>0</v>
      </c>
      <c r="T327">
        <v>0</v>
      </c>
      <c r="V327">
        <v>15000</v>
      </c>
      <c r="W327" s="21">
        <v>0</v>
      </c>
      <c r="X327">
        <v>67000</v>
      </c>
      <c r="Y327" s="21">
        <v>0</v>
      </c>
    </row>
    <row r="328" spans="1:37" x14ac:dyDescent="0.25">
      <c r="A328">
        <f t="shared" si="5"/>
        <v>327</v>
      </c>
      <c r="C328">
        <v>303</v>
      </c>
      <c r="D328" t="s">
        <v>373</v>
      </c>
      <c r="E328" t="s">
        <v>374</v>
      </c>
      <c r="F328" t="s">
        <v>1093</v>
      </c>
      <c r="G328" t="s">
        <v>1285</v>
      </c>
      <c r="M328">
        <v>0</v>
      </c>
      <c r="N328">
        <v>2009</v>
      </c>
      <c r="O328" t="s">
        <v>1295</v>
      </c>
      <c r="S328">
        <v>0</v>
      </c>
      <c r="T328">
        <v>0</v>
      </c>
      <c r="V328">
        <v>0</v>
      </c>
      <c r="W328" s="21">
        <v>0</v>
      </c>
      <c r="X328">
        <v>0</v>
      </c>
      <c r="Y328" s="21">
        <v>0</v>
      </c>
    </row>
    <row r="329" spans="1:37" x14ac:dyDescent="0.25">
      <c r="A329">
        <f t="shared" si="5"/>
        <v>328</v>
      </c>
      <c r="C329">
        <v>366</v>
      </c>
      <c r="E329" t="s">
        <v>378</v>
      </c>
      <c r="F329" t="s">
        <v>1085</v>
      </c>
      <c r="G329" t="s">
        <v>1285</v>
      </c>
      <c r="M329">
        <v>0</v>
      </c>
      <c r="N329">
        <v>2009</v>
      </c>
      <c r="S329">
        <v>0</v>
      </c>
      <c r="T329">
        <v>0</v>
      </c>
      <c r="V329">
        <v>164090</v>
      </c>
      <c r="W329" s="21">
        <v>0</v>
      </c>
      <c r="X329">
        <v>0</v>
      </c>
      <c r="Y329" s="21">
        <v>0</v>
      </c>
    </row>
    <row r="330" spans="1:37" x14ac:dyDescent="0.25">
      <c r="A330">
        <f t="shared" si="5"/>
        <v>329</v>
      </c>
      <c r="C330">
        <v>322</v>
      </c>
      <c r="D330" t="s">
        <v>381</v>
      </c>
      <c r="E330" t="s">
        <v>382</v>
      </c>
      <c r="F330" t="s">
        <v>1085</v>
      </c>
      <c r="G330" t="s">
        <v>1285</v>
      </c>
      <c r="M330">
        <v>0</v>
      </c>
      <c r="N330">
        <v>2009</v>
      </c>
      <c r="S330">
        <v>0</v>
      </c>
      <c r="T330">
        <v>0</v>
      </c>
      <c r="V330">
        <v>0</v>
      </c>
      <c r="W330" s="21">
        <v>0</v>
      </c>
      <c r="X330">
        <v>0</v>
      </c>
      <c r="Y330" s="21">
        <v>0</v>
      </c>
    </row>
    <row r="331" spans="1:37" x14ac:dyDescent="0.25">
      <c r="A331">
        <f t="shared" si="5"/>
        <v>330</v>
      </c>
      <c r="C331">
        <v>405</v>
      </c>
      <c r="D331" t="s">
        <v>1388</v>
      </c>
      <c r="E331" t="s">
        <v>1389</v>
      </c>
      <c r="F331" t="s">
        <v>1390</v>
      </c>
      <c r="G331" t="s">
        <v>1285</v>
      </c>
      <c r="M331">
        <v>0</v>
      </c>
      <c r="N331">
        <v>2025</v>
      </c>
      <c r="O331" t="s">
        <v>1301</v>
      </c>
      <c r="S331">
        <v>508</v>
      </c>
      <c r="V331">
        <v>0</v>
      </c>
      <c r="W331" s="21">
        <v>0</v>
      </c>
      <c r="X331">
        <v>0</v>
      </c>
      <c r="Y331" s="21">
        <v>0</v>
      </c>
      <c r="AK331" t="s">
        <v>1391</v>
      </c>
    </row>
    <row r="332" spans="1:37" x14ac:dyDescent="0.25">
      <c r="A332">
        <f t="shared" si="5"/>
        <v>331</v>
      </c>
      <c r="C332">
        <v>396</v>
      </c>
      <c r="D332" t="s">
        <v>384</v>
      </c>
      <c r="E332" t="s">
        <v>385</v>
      </c>
      <c r="G332" t="s">
        <v>1285</v>
      </c>
      <c r="M332">
        <v>0</v>
      </c>
      <c r="N332">
        <v>2013</v>
      </c>
      <c r="S332">
        <v>0</v>
      </c>
      <c r="T332">
        <v>0</v>
      </c>
      <c r="V332">
        <v>0</v>
      </c>
      <c r="W332" s="21">
        <v>0</v>
      </c>
      <c r="X332">
        <v>0</v>
      </c>
      <c r="Y332" s="21">
        <v>0</v>
      </c>
    </row>
    <row r="333" spans="1:37" x14ac:dyDescent="0.25">
      <c r="A333">
        <f t="shared" si="5"/>
        <v>332</v>
      </c>
      <c r="C333">
        <v>476</v>
      </c>
      <c r="D333" t="s">
        <v>389</v>
      </c>
      <c r="E333" t="s">
        <v>390</v>
      </c>
      <c r="F333" t="s">
        <v>1045</v>
      </c>
      <c r="G333" t="s">
        <v>1285</v>
      </c>
      <c r="M333">
        <v>0</v>
      </c>
      <c r="N333">
        <v>2015</v>
      </c>
      <c r="O333" t="s">
        <v>1295</v>
      </c>
      <c r="S333">
        <v>0</v>
      </c>
      <c r="T333">
        <v>0</v>
      </c>
      <c r="V333">
        <v>0</v>
      </c>
      <c r="W333" s="21">
        <v>0</v>
      </c>
      <c r="X333">
        <v>0</v>
      </c>
      <c r="Y333" s="21">
        <v>0</v>
      </c>
    </row>
    <row r="334" spans="1:37" x14ac:dyDescent="0.25">
      <c r="A334">
        <f t="shared" si="5"/>
        <v>333</v>
      </c>
      <c r="C334">
        <v>442</v>
      </c>
      <c r="D334" t="s">
        <v>395</v>
      </c>
      <c r="E334" t="s">
        <v>396</v>
      </c>
      <c r="F334" t="s">
        <v>1085</v>
      </c>
      <c r="G334" t="s">
        <v>1285</v>
      </c>
      <c r="M334">
        <v>0</v>
      </c>
      <c r="N334">
        <v>2014</v>
      </c>
      <c r="O334" t="s">
        <v>1063</v>
      </c>
      <c r="S334">
        <v>0</v>
      </c>
      <c r="T334">
        <v>0</v>
      </c>
      <c r="V334">
        <v>0</v>
      </c>
      <c r="W334" s="21">
        <v>0</v>
      </c>
      <c r="X334">
        <v>0</v>
      </c>
      <c r="Y334" s="21">
        <v>0</v>
      </c>
    </row>
    <row r="335" spans="1:37" x14ac:dyDescent="0.25">
      <c r="A335">
        <f t="shared" si="5"/>
        <v>334</v>
      </c>
      <c r="C335">
        <v>493</v>
      </c>
      <c r="D335" t="s">
        <v>1392</v>
      </c>
      <c r="E335" t="s">
        <v>1393</v>
      </c>
      <c r="F335" t="s">
        <v>1091</v>
      </c>
      <c r="G335" t="s">
        <v>1285</v>
      </c>
      <c r="M335">
        <v>0</v>
      </c>
      <c r="N335">
        <v>2009</v>
      </c>
      <c r="O335" t="s">
        <v>1301</v>
      </c>
      <c r="S335">
        <v>0</v>
      </c>
      <c r="T335">
        <v>0</v>
      </c>
      <c r="V335">
        <v>0</v>
      </c>
      <c r="W335" s="21">
        <v>0</v>
      </c>
      <c r="X335">
        <v>42720</v>
      </c>
      <c r="Y335" s="21">
        <v>0</v>
      </c>
      <c r="AK335" t="s">
        <v>1394</v>
      </c>
    </row>
    <row r="336" spans="1:37" x14ac:dyDescent="0.25">
      <c r="A336">
        <f t="shared" si="5"/>
        <v>335</v>
      </c>
      <c r="C336">
        <v>487</v>
      </c>
      <c r="D336" t="s">
        <v>398</v>
      </c>
      <c r="E336" t="s">
        <v>399</v>
      </c>
      <c r="F336" t="s">
        <v>1094</v>
      </c>
      <c r="G336" t="s">
        <v>1285</v>
      </c>
      <c r="M336">
        <v>2008</v>
      </c>
      <c r="N336">
        <v>2009</v>
      </c>
      <c r="O336" t="s">
        <v>1063</v>
      </c>
      <c r="S336">
        <v>0</v>
      </c>
      <c r="T336">
        <v>0</v>
      </c>
      <c r="V336">
        <v>0</v>
      </c>
      <c r="W336" s="21">
        <v>0</v>
      </c>
      <c r="X336">
        <v>8465000</v>
      </c>
      <c r="Y336" s="21">
        <v>0</v>
      </c>
      <c r="AK336" t="s">
        <v>1293</v>
      </c>
    </row>
    <row r="337" spans="1:37" x14ac:dyDescent="0.25">
      <c r="A337">
        <f t="shared" si="5"/>
        <v>336</v>
      </c>
      <c r="C337">
        <v>465</v>
      </c>
      <c r="D337" t="s">
        <v>1395</v>
      </c>
      <c r="E337" t="s">
        <v>1396</v>
      </c>
      <c r="G337" t="s">
        <v>1285</v>
      </c>
      <c r="M337">
        <v>2015</v>
      </c>
      <c r="N337">
        <v>2015</v>
      </c>
      <c r="S337">
        <v>0</v>
      </c>
      <c r="T337">
        <v>0</v>
      </c>
      <c r="V337">
        <v>0</v>
      </c>
      <c r="W337" s="21">
        <v>0</v>
      </c>
      <c r="X337">
        <v>0</v>
      </c>
      <c r="Y337" s="21">
        <v>0</v>
      </c>
      <c r="AK337" t="s">
        <v>1293</v>
      </c>
    </row>
    <row r="338" spans="1:37" x14ac:dyDescent="0.25">
      <c r="A338">
        <f t="shared" si="5"/>
        <v>337</v>
      </c>
      <c r="C338">
        <v>483</v>
      </c>
      <c r="D338" t="s">
        <v>403</v>
      </c>
      <c r="E338" t="s">
        <v>404</v>
      </c>
      <c r="F338" t="s">
        <v>1095</v>
      </c>
      <c r="G338" t="s">
        <v>1285</v>
      </c>
      <c r="M338">
        <v>0</v>
      </c>
      <c r="N338">
        <v>2021</v>
      </c>
      <c r="O338" t="s">
        <v>1295</v>
      </c>
      <c r="S338">
        <v>2127</v>
      </c>
      <c r="T338">
        <v>0</v>
      </c>
      <c r="V338">
        <v>117759</v>
      </c>
      <c r="W338" s="21">
        <v>0</v>
      </c>
      <c r="X338">
        <v>20262</v>
      </c>
      <c r="Y338" s="21">
        <v>0</v>
      </c>
    </row>
    <row r="339" spans="1:37" x14ac:dyDescent="0.25">
      <c r="A339">
        <f t="shared" si="5"/>
        <v>338</v>
      </c>
      <c r="C339">
        <v>433</v>
      </c>
      <c r="D339" t="s">
        <v>409</v>
      </c>
      <c r="E339" t="s">
        <v>410</v>
      </c>
      <c r="F339" t="s">
        <v>1096</v>
      </c>
      <c r="G339" t="s">
        <v>1285</v>
      </c>
      <c r="M339">
        <v>0</v>
      </c>
      <c r="N339">
        <v>2021</v>
      </c>
      <c r="O339" t="s">
        <v>1063</v>
      </c>
      <c r="S339">
        <v>0</v>
      </c>
      <c r="T339">
        <v>0</v>
      </c>
      <c r="V339">
        <v>0</v>
      </c>
      <c r="W339" s="21">
        <v>0</v>
      </c>
      <c r="X339">
        <v>2100</v>
      </c>
      <c r="Y339" s="21">
        <v>0</v>
      </c>
    </row>
    <row r="340" spans="1:37" x14ac:dyDescent="0.25">
      <c r="A340">
        <f t="shared" si="5"/>
        <v>339</v>
      </c>
      <c r="C340">
        <v>489</v>
      </c>
      <c r="D340" t="s">
        <v>1397</v>
      </c>
      <c r="E340" t="s">
        <v>1398</v>
      </c>
      <c r="F340" t="s">
        <v>1085</v>
      </c>
      <c r="G340" t="s">
        <v>1285</v>
      </c>
      <c r="M340">
        <v>0</v>
      </c>
      <c r="N340">
        <v>2015</v>
      </c>
      <c r="O340" t="s">
        <v>1063</v>
      </c>
      <c r="S340">
        <v>0</v>
      </c>
      <c r="T340">
        <v>0</v>
      </c>
      <c r="V340">
        <v>0</v>
      </c>
      <c r="W340" s="21">
        <v>0</v>
      </c>
      <c r="X340">
        <v>19820</v>
      </c>
      <c r="Y340" s="21">
        <v>0</v>
      </c>
    </row>
    <row r="341" spans="1:37" x14ac:dyDescent="0.25">
      <c r="A341">
        <f t="shared" si="5"/>
        <v>340</v>
      </c>
      <c r="C341">
        <v>600</v>
      </c>
      <c r="D341" t="s">
        <v>192</v>
      </c>
      <c r="E341" t="s">
        <v>412</v>
      </c>
      <c r="F341" t="s">
        <v>1091</v>
      </c>
      <c r="G341" t="s">
        <v>1285</v>
      </c>
      <c r="M341">
        <v>0</v>
      </c>
      <c r="N341">
        <v>2022</v>
      </c>
      <c r="O341" t="s">
        <v>1301</v>
      </c>
      <c r="S341">
        <v>680</v>
      </c>
      <c r="T341">
        <v>0</v>
      </c>
      <c r="V341">
        <v>110230</v>
      </c>
      <c r="W341" s="21">
        <v>0</v>
      </c>
      <c r="X341">
        <v>150000</v>
      </c>
      <c r="Y341" s="21">
        <v>0</v>
      </c>
    </row>
    <row r="342" spans="1:37" x14ac:dyDescent="0.25">
      <c r="A342">
        <f t="shared" si="5"/>
        <v>341</v>
      </c>
      <c r="C342">
        <v>395</v>
      </c>
      <c r="D342" t="s">
        <v>416</v>
      </c>
      <c r="E342" t="s">
        <v>417</v>
      </c>
      <c r="F342" t="s">
        <v>1097</v>
      </c>
      <c r="G342" t="s">
        <v>1285</v>
      </c>
      <c r="M342">
        <v>0</v>
      </c>
      <c r="N342">
        <v>2022</v>
      </c>
      <c r="O342" t="s">
        <v>1295</v>
      </c>
      <c r="S342">
        <v>0</v>
      </c>
      <c r="T342">
        <v>0</v>
      </c>
      <c r="V342">
        <v>35000</v>
      </c>
      <c r="W342" s="21">
        <v>0</v>
      </c>
      <c r="X342">
        <v>62000</v>
      </c>
      <c r="Y342" s="21">
        <v>0</v>
      </c>
    </row>
    <row r="343" spans="1:37" x14ac:dyDescent="0.25">
      <c r="A343">
        <f t="shared" si="5"/>
        <v>342</v>
      </c>
      <c r="C343">
        <v>550</v>
      </c>
      <c r="D343" t="s">
        <v>423</v>
      </c>
      <c r="E343" t="s">
        <v>424</v>
      </c>
      <c r="F343" t="s">
        <v>1098</v>
      </c>
      <c r="G343" t="s">
        <v>1285</v>
      </c>
      <c r="M343">
        <v>0</v>
      </c>
      <c r="N343">
        <v>2022</v>
      </c>
      <c r="O343" t="s">
        <v>1301</v>
      </c>
      <c r="S343">
        <v>400</v>
      </c>
      <c r="T343">
        <v>0</v>
      </c>
      <c r="V343">
        <v>166800</v>
      </c>
      <c r="W343" s="21">
        <v>0</v>
      </c>
      <c r="X343">
        <v>66000</v>
      </c>
      <c r="Y343" s="21">
        <v>0</v>
      </c>
    </row>
    <row r="344" spans="1:37" x14ac:dyDescent="0.25">
      <c r="A344">
        <f t="shared" si="5"/>
        <v>343</v>
      </c>
      <c r="C344">
        <v>348</v>
      </c>
      <c r="D344" t="s">
        <v>192</v>
      </c>
      <c r="E344" t="s">
        <v>428</v>
      </c>
      <c r="F344" t="s">
        <v>1099</v>
      </c>
      <c r="G344" t="s">
        <v>1285</v>
      </c>
      <c r="M344">
        <v>0</v>
      </c>
      <c r="N344">
        <v>2022</v>
      </c>
      <c r="O344" t="s">
        <v>1063</v>
      </c>
      <c r="S344">
        <v>3550</v>
      </c>
      <c r="T344">
        <v>0</v>
      </c>
      <c r="V344">
        <v>82500</v>
      </c>
      <c r="W344" s="21">
        <v>0</v>
      </c>
      <c r="X344">
        <v>0</v>
      </c>
      <c r="Y344" s="21">
        <v>0</v>
      </c>
    </row>
    <row r="345" spans="1:37" x14ac:dyDescent="0.25">
      <c r="A345">
        <f t="shared" si="5"/>
        <v>344</v>
      </c>
      <c r="C345">
        <v>618</v>
      </c>
      <c r="D345" t="s">
        <v>435</v>
      </c>
      <c r="E345" t="s">
        <v>436</v>
      </c>
      <c r="F345" t="s">
        <v>1100</v>
      </c>
      <c r="G345" t="s">
        <v>1285</v>
      </c>
      <c r="M345">
        <v>0</v>
      </c>
      <c r="N345">
        <v>2010</v>
      </c>
      <c r="O345" t="s">
        <v>1063</v>
      </c>
      <c r="S345">
        <v>250</v>
      </c>
      <c r="T345">
        <v>0</v>
      </c>
      <c r="V345">
        <v>0</v>
      </c>
      <c r="W345" s="21">
        <v>0</v>
      </c>
      <c r="X345">
        <v>0</v>
      </c>
      <c r="Y345" s="21">
        <v>0</v>
      </c>
      <c r="AK345" t="s">
        <v>1235</v>
      </c>
    </row>
    <row r="346" spans="1:37" x14ac:dyDescent="0.25">
      <c r="A346">
        <f t="shared" si="5"/>
        <v>345</v>
      </c>
      <c r="C346">
        <v>561</v>
      </c>
      <c r="D346" t="s">
        <v>439</v>
      </c>
      <c r="E346" t="s">
        <v>440</v>
      </c>
      <c r="F346" t="s">
        <v>1101</v>
      </c>
      <c r="G346" t="s">
        <v>1285</v>
      </c>
      <c r="M346">
        <v>0</v>
      </c>
      <c r="N346">
        <v>2022</v>
      </c>
      <c r="O346" t="s">
        <v>1063</v>
      </c>
      <c r="S346">
        <v>900</v>
      </c>
      <c r="T346">
        <v>0</v>
      </c>
      <c r="V346">
        <v>0</v>
      </c>
      <c r="W346" s="21">
        <v>0</v>
      </c>
      <c r="X346">
        <v>15741</v>
      </c>
      <c r="Y346" s="21">
        <v>0</v>
      </c>
    </row>
    <row r="347" spans="1:37" x14ac:dyDescent="0.25">
      <c r="A347">
        <f t="shared" si="5"/>
        <v>346</v>
      </c>
      <c r="C347">
        <v>475</v>
      </c>
      <c r="D347" t="s">
        <v>409</v>
      </c>
      <c r="E347" t="s">
        <v>1399</v>
      </c>
      <c r="F347" t="s">
        <v>1400</v>
      </c>
      <c r="G347" t="s">
        <v>1285</v>
      </c>
      <c r="M347">
        <v>0</v>
      </c>
      <c r="N347">
        <v>2022</v>
      </c>
      <c r="O347" t="s">
        <v>1063</v>
      </c>
      <c r="S347">
        <v>0</v>
      </c>
      <c r="T347">
        <v>0</v>
      </c>
      <c r="V347">
        <v>0</v>
      </c>
      <c r="W347" s="21">
        <v>0</v>
      </c>
      <c r="X347">
        <v>10732</v>
      </c>
      <c r="Y347" s="21">
        <v>0</v>
      </c>
    </row>
    <row r="348" spans="1:37" x14ac:dyDescent="0.25">
      <c r="A348">
        <f t="shared" si="5"/>
        <v>347</v>
      </c>
      <c r="C348">
        <v>467</v>
      </c>
      <c r="D348" t="s">
        <v>1401</v>
      </c>
      <c r="E348" t="s">
        <v>1402</v>
      </c>
      <c r="F348" t="s">
        <v>1403</v>
      </c>
      <c r="G348" t="s">
        <v>1285</v>
      </c>
      <c r="M348">
        <v>0</v>
      </c>
      <c r="N348">
        <v>2015</v>
      </c>
      <c r="O348" t="s">
        <v>1066</v>
      </c>
      <c r="S348">
        <v>0</v>
      </c>
      <c r="T348">
        <v>0</v>
      </c>
      <c r="V348">
        <v>0</v>
      </c>
      <c r="W348" s="21">
        <v>0</v>
      </c>
      <c r="X348">
        <v>0</v>
      </c>
      <c r="Y348" s="21">
        <v>0</v>
      </c>
    </row>
    <row r="349" spans="1:37" x14ac:dyDescent="0.25">
      <c r="A349">
        <f t="shared" si="5"/>
        <v>348</v>
      </c>
      <c r="C349">
        <v>463</v>
      </c>
      <c r="D349" t="s">
        <v>1404</v>
      </c>
      <c r="E349" t="s">
        <v>1405</v>
      </c>
      <c r="F349" t="s">
        <v>1406</v>
      </c>
      <c r="G349" t="s">
        <v>1285</v>
      </c>
      <c r="M349">
        <v>0</v>
      </c>
      <c r="N349">
        <v>2016</v>
      </c>
      <c r="O349" t="s">
        <v>1295</v>
      </c>
      <c r="S349">
        <v>0</v>
      </c>
      <c r="T349">
        <v>0</v>
      </c>
      <c r="V349">
        <v>0</v>
      </c>
      <c r="W349" s="21">
        <v>0</v>
      </c>
      <c r="X349">
        <v>0</v>
      </c>
      <c r="Y349" s="21">
        <v>0</v>
      </c>
    </row>
    <row r="350" spans="1:37" x14ac:dyDescent="0.25">
      <c r="A350">
        <f t="shared" si="5"/>
        <v>349</v>
      </c>
      <c r="C350">
        <v>302</v>
      </c>
      <c r="D350" t="s">
        <v>445</v>
      </c>
      <c r="E350" t="s">
        <v>446</v>
      </c>
      <c r="F350" t="s">
        <v>1102</v>
      </c>
      <c r="G350" t="s">
        <v>1285</v>
      </c>
      <c r="M350">
        <v>0</v>
      </c>
      <c r="N350">
        <v>2010</v>
      </c>
      <c r="O350" t="s">
        <v>1046</v>
      </c>
      <c r="S350">
        <v>0</v>
      </c>
      <c r="T350">
        <v>0</v>
      </c>
      <c r="V350">
        <v>0</v>
      </c>
      <c r="W350" s="21">
        <v>0</v>
      </c>
      <c r="X350">
        <v>15000</v>
      </c>
      <c r="Y350" s="21">
        <v>0</v>
      </c>
      <c r="AK350" t="s">
        <v>1293</v>
      </c>
    </row>
    <row r="351" spans="1:37" x14ac:dyDescent="0.25">
      <c r="A351">
        <f t="shared" si="5"/>
        <v>350</v>
      </c>
      <c r="C351">
        <v>673</v>
      </c>
      <c r="D351" t="s">
        <v>449</v>
      </c>
      <c r="E351" t="s">
        <v>450</v>
      </c>
      <c r="F351" t="s">
        <v>1103</v>
      </c>
      <c r="G351" t="s">
        <v>1285</v>
      </c>
      <c r="M351">
        <v>0</v>
      </c>
      <c r="N351">
        <v>2010</v>
      </c>
      <c r="O351" t="s">
        <v>1046</v>
      </c>
      <c r="Q351" t="s">
        <v>1104</v>
      </c>
      <c r="S351">
        <v>0</v>
      </c>
      <c r="T351">
        <v>0</v>
      </c>
      <c r="V351">
        <v>0</v>
      </c>
      <c r="W351" s="21">
        <v>0</v>
      </c>
      <c r="X351">
        <v>200000</v>
      </c>
      <c r="Y351" s="21">
        <v>0</v>
      </c>
      <c r="AK351" t="s">
        <v>1236</v>
      </c>
    </row>
    <row r="352" spans="1:37" x14ac:dyDescent="0.25">
      <c r="A352">
        <f t="shared" si="5"/>
        <v>351</v>
      </c>
      <c r="C352">
        <v>672</v>
      </c>
      <c r="D352" t="s">
        <v>1407</v>
      </c>
      <c r="E352" t="s">
        <v>1408</v>
      </c>
      <c r="F352" t="s">
        <v>1085</v>
      </c>
      <c r="G352" t="s">
        <v>1285</v>
      </c>
      <c r="M352">
        <v>0</v>
      </c>
      <c r="N352">
        <v>2011</v>
      </c>
      <c r="O352" t="s">
        <v>1063</v>
      </c>
      <c r="S352">
        <v>0</v>
      </c>
      <c r="T352">
        <v>0</v>
      </c>
      <c r="V352">
        <v>0</v>
      </c>
      <c r="W352" s="21">
        <v>0</v>
      </c>
      <c r="X352">
        <v>7000</v>
      </c>
      <c r="Y352" s="21">
        <v>0</v>
      </c>
      <c r="AK352" t="s">
        <v>1409</v>
      </c>
    </row>
    <row r="353" spans="1:37" x14ac:dyDescent="0.25">
      <c r="A353">
        <f t="shared" si="5"/>
        <v>352</v>
      </c>
      <c r="C353">
        <v>671</v>
      </c>
      <c r="D353" t="s">
        <v>452</v>
      </c>
      <c r="E353" t="s">
        <v>453</v>
      </c>
      <c r="F353" t="s">
        <v>1105</v>
      </c>
      <c r="G353" t="s">
        <v>1285</v>
      </c>
      <c r="M353">
        <v>0</v>
      </c>
      <c r="N353">
        <v>2011</v>
      </c>
      <c r="O353" t="s">
        <v>1301</v>
      </c>
      <c r="S353">
        <v>400</v>
      </c>
      <c r="T353">
        <v>0</v>
      </c>
      <c r="V353">
        <v>65000</v>
      </c>
      <c r="W353" s="21">
        <v>0</v>
      </c>
      <c r="X353">
        <v>0</v>
      </c>
      <c r="Y353" s="21">
        <v>0</v>
      </c>
      <c r="AK353" t="s">
        <v>1237</v>
      </c>
    </row>
    <row r="354" spans="1:37" x14ac:dyDescent="0.25">
      <c r="A354">
        <f t="shared" si="5"/>
        <v>353</v>
      </c>
      <c r="C354">
        <v>666</v>
      </c>
      <c r="D354" t="s">
        <v>455</v>
      </c>
      <c r="E354" t="s">
        <v>456</v>
      </c>
      <c r="F354" t="s">
        <v>1106</v>
      </c>
      <c r="G354" t="s">
        <v>1285</v>
      </c>
      <c r="M354">
        <v>0</v>
      </c>
      <c r="N354">
        <v>2011</v>
      </c>
      <c r="O354" t="s">
        <v>1295</v>
      </c>
      <c r="S354">
        <v>70</v>
      </c>
      <c r="T354">
        <v>0</v>
      </c>
      <c r="V354">
        <v>0</v>
      </c>
      <c r="W354" s="21">
        <v>0</v>
      </c>
      <c r="X354">
        <v>0</v>
      </c>
      <c r="Y354" s="21">
        <v>0</v>
      </c>
      <c r="AK354" t="s">
        <v>1238</v>
      </c>
    </row>
    <row r="355" spans="1:37" x14ac:dyDescent="0.25">
      <c r="A355">
        <f t="shared" si="5"/>
        <v>354</v>
      </c>
      <c r="C355">
        <v>664</v>
      </c>
      <c r="D355" t="s">
        <v>459</v>
      </c>
      <c r="E355" t="s">
        <v>460</v>
      </c>
      <c r="F355" t="s">
        <v>1085</v>
      </c>
      <c r="G355" t="s">
        <v>1285</v>
      </c>
      <c r="M355">
        <v>0</v>
      </c>
      <c r="N355">
        <v>2011</v>
      </c>
      <c r="O355" t="s">
        <v>1046</v>
      </c>
      <c r="S355">
        <v>0</v>
      </c>
      <c r="T355">
        <v>0</v>
      </c>
      <c r="V355">
        <v>0</v>
      </c>
      <c r="W355" s="21">
        <v>0</v>
      </c>
      <c r="X355">
        <v>0</v>
      </c>
      <c r="Y355" s="21">
        <v>0</v>
      </c>
      <c r="AK355" t="s">
        <v>1239</v>
      </c>
    </row>
    <row r="356" spans="1:37" x14ac:dyDescent="0.25">
      <c r="A356">
        <f t="shared" si="5"/>
        <v>355</v>
      </c>
      <c r="C356">
        <v>688</v>
      </c>
      <c r="D356" t="s">
        <v>463</v>
      </c>
      <c r="E356" t="s">
        <v>464</v>
      </c>
      <c r="F356" t="s">
        <v>1100</v>
      </c>
      <c r="G356" t="s">
        <v>1285</v>
      </c>
      <c r="M356">
        <v>0</v>
      </c>
      <c r="N356">
        <v>2011</v>
      </c>
      <c r="O356" t="s">
        <v>1063</v>
      </c>
      <c r="S356">
        <v>0</v>
      </c>
      <c r="T356">
        <v>0</v>
      </c>
      <c r="V356">
        <v>0</v>
      </c>
      <c r="W356" s="21">
        <v>0</v>
      </c>
      <c r="X356">
        <v>0</v>
      </c>
      <c r="Y356" s="21">
        <v>0</v>
      </c>
      <c r="AK356" t="s">
        <v>1240</v>
      </c>
    </row>
    <row r="357" spans="1:37" x14ac:dyDescent="0.25">
      <c r="A357">
        <f t="shared" si="5"/>
        <v>356</v>
      </c>
      <c r="C357">
        <v>663</v>
      </c>
      <c r="D357" t="s">
        <v>1410</v>
      </c>
      <c r="E357" t="s">
        <v>1411</v>
      </c>
      <c r="F357" t="s">
        <v>1085</v>
      </c>
      <c r="G357" t="s">
        <v>1285</v>
      </c>
      <c r="M357">
        <v>0</v>
      </c>
      <c r="N357">
        <v>2011</v>
      </c>
      <c r="O357" t="s">
        <v>1292</v>
      </c>
      <c r="S357">
        <v>0</v>
      </c>
      <c r="T357">
        <v>0</v>
      </c>
      <c r="V357">
        <v>0</v>
      </c>
      <c r="W357" s="21">
        <v>0</v>
      </c>
      <c r="X357">
        <v>0</v>
      </c>
      <c r="Y357" s="21">
        <v>0</v>
      </c>
      <c r="AK357" t="s">
        <v>1412</v>
      </c>
    </row>
    <row r="358" spans="1:37" x14ac:dyDescent="0.25">
      <c r="A358">
        <f t="shared" si="5"/>
        <v>357</v>
      </c>
      <c r="C358">
        <v>624</v>
      </c>
      <c r="D358" t="s">
        <v>469</v>
      </c>
      <c r="E358" t="s">
        <v>470</v>
      </c>
      <c r="F358" t="s">
        <v>1107</v>
      </c>
      <c r="G358" t="s">
        <v>1285</v>
      </c>
      <c r="M358">
        <v>0</v>
      </c>
      <c r="N358">
        <v>2010</v>
      </c>
      <c r="O358" t="s">
        <v>1292</v>
      </c>
      <c r="S358">
        <v>0</v>
      </c>
      <c r="T358">
        <v>0</v>
      </c>
      <c r="V358">
        <v>0</v>
      </c>
      <c r="W358" s="21">
        <v>0</v>
      </c>
      <c r="X358">
        <v>0</v>
      </c>
      <c r="Y358" s="21">
        <v>0</v>
      </c>
      <c r="AK358" t="s">
        <v>1241</v>
      </c>
    </row>
    <row r="359" spans="1:37" x14ac:dyDescent="0.25">
      <c r="A359">
        <f t="shared" si="5"/>
        <v>358</v>
      </c>
      <c r="C359">
        <v>616</v>
      </c>
      <c r="D359" t="s">
        <v>473</v>
      </c>
      <c r="E359" t="s">
        <v>474</v>
      </c>
      <c r="F359" t="s">
        <v>1108</v>
      </c>
      <c r="G359" t="s">
        <v>1285</v>
      </c>
      <c r="M359">
        <v>0</v>
      </c>
      <c r="N359">
        <v>2010</v>
      </c>
      <c r="O359" t="s">
        <v>1046</v>
      </c>
      <c r="S359">
        <v>0</v>
      </c>
      <c r="T359">
        <v>0</v>
      </c>
      <c r="V359">
        <v>0</v>
      </c>
      <c r="W359" s="21">
        <v>0</v>
      </c>
      <c r="X359">
        <v>0</v>
      </c>
      <c r="Y359" s="21">
        <v>0</v>
      </c>
      <c r="AK359" t="s">
        <v>1242</v>
      </c>
    </row>
    <row r="360" spans="1:37" x14ac:dyDescent="0.25">
      <c r="A360">
        <f t="shared" si="5"/>
        <v>359</v>
      </c>
      <c r="C360">
        <v>614</v>
      </c>
      <c r="D360" t="s">
        <v>1413</v>
      </c>
      <c r="E360" t="s">
        <v>1414</v>
      </c>
      <c r="F360" t="s">
        <v>1085</v>
      </c>
      <c r="G360" t="s">
        <v>1285</v>
      </c>
      <c r="M360">
        <v>0</v>
      </c>
      <c r="N360">
        <v>2010</v>
      </c>
      <c r="O360" t="s">
        <v>1063</v>
      </c>
      <c r="S360">
        <v>10080</v>
      </c>
      <c r="T360">
        <v>0</v>
      </c>
      <c r="V360">
        <v>0</v>
      </c>
      <c r="W360" s="21">
        <v>0</v>
      </c>
      <c r="X360">
        <v>0</v>
      </c>
      <c r="Y360" s="21">
        <v>0</v>
      </c>
      <c r="AK360" t="s">
        <v>1415</v>
      </c>
    </row>
    <row r="361" spans="1:37" x14ac:dyDescent="0.25">
      <c r="A361">
        <f t="shared" si="5"/>
        <v>360</v>
      </c>
      <c r="C361">
        <v>613</v>
      </c>
      <c r="D361" t="s">
        <v>476</v>
      </c>
      <c r="E361" t="s">
        <v>477</v>
      </c>
      <c r="F361" t="s">
        <v>1085</v>
      </c>
      <c r="G361" t="s">
        <v>1285</v>
      </c>
      <c r="M361">
        <v>0</v>
      </c>
      <c r="N361">
        <v>2010</v>
      </c>
      <c r="O361" t="s">
        <v>1063</v>
      </c>
      <c r="Q361" t="s">
        <v>1416</v>
      </c>
      <c r="S361">
        <v>0</v>
      </c>
      <c r="T361">
        <v>0</v>
      </c>
      <c r="V361">
        <v>0</v>
      </c>
      <c r="W361" s="21">
        <v>0</v>
      </c>
      <c r="X361">
        <v>0</v>
      </c>
      <c r="Y361" s="21">
        <v>0</v>
      </c>
      <c r="AK361" t="s">
        <v>1417</v>
      </c>
    </row>
    <row r="362" spans="1:37" x14ac:dyDescent="0.25">
      <c r="A362">
        <f t="shared" si="5"/>
        <v>361</v>
      </c>
      <c r="C362">
        <v>612</v>
      </c>
      <c r="D362" t="s">
        <v>479</v>
      </c>
      <c r="E362" t="s">
        <v>480</v>
      </c>
      <c r="F362" t="s">
        <v>1109</v>
      </c>
      <c r="G362" t="s">
        <v>1285</v>
      </c>
      <c r="M362">
        <v>0</v>
      </c>
      <c r="N362">
        <v>2010</v>
      </c>
      <c r="O362" t="s">
        <v>1063</v>
      </c>
      <c r="S362">
        <v>0</v>
      </c>
      <c r="T362">
        <v>0</v>
      </c>
      <c r="V362">
        <v>0</v>
      </c>
      <c r="W362" s="21">
        <v>0</v>
      </c>
      <c r="X362">
        <v>0</v>
      </c>
      <c r="Y362" s="21">
        <v>0</v>
      </c>
      <c r="AK362" t="s">
        <v>1243</v>
      </c>
    </row>
    <row r="363" spans="1:37" x14ac:dyDescent="0.25">
      <c r="A363">
        <f t="shared" si="5"/>
        <v>362</v>
      </c>
      <c r="C363">
        <v>611</v>
      </c>
      <c r="D363" t="s">
        <v>481</v>
      </c>
      <c r="E363" t="s">
        <v>482</v>
      </c>
      <c r="F363" t="s">
        <v>1110</v>
      </c>
      <c r="G363" t="s">
        <v>1285</v>
      </c>
      <c r="M363">
        <v>0</v>
      </c>
      <c r="N363">
        <v>2010</v>
      </c>
      <c r="O363" t="s">
        <v>1063</v>
      </c>
      <c r="S363">
        <v>1500</v>
      </c>
      <c r="T363">
        <v>0</v>
      </c>
      <c r="V363">
        <v>0</v>
      </c>
      <c r="W363" s="21">
        <v>0</v>
      </c>
      <c r="X363">
        <v>0</v>
      </c>
      <c r="Y363" s="21">
        <v>0</v>
      </c>
      <c r="AK363" t="s">
        <v>1244</v>
      </c>
    </row>
    <row r="364" spans="1:37" x14ac:dyDescent="0.25">
      <c r="A364">
        <f t="shared" si="5"/>
        <v>363</v>
      </c>
      <c r="C364">
        <v>609</v>
      </c>
      <c r="D364" t="s">
        <v>487</v>
      </c>
      <c r="E364" t="s">
        <v>488</v>
      </c>
      <c r="F364" t="s">
        <v>1111</v>
      </c>
      <c r="G364" t="s">
        <v>1285</v>
      </c>
      <c r="M364">
        <v>0</v>
      </c>
      <c r="N364">
        <v>2010</v>
      </c>
      <c r="O364" t="s">
        <v>1292</v>
      </c>
      <c r="S364">
        <v>50</v>
      </c>
      <c r="T364">
        <v>0</v>
      </c>
      <c r="V364">
        <v>0</v>
      </c>
      <c r="W364" s="21">
        <v>0</v>
      </c>
      <c r="X364">
        <v>80000</v>
      </c>
      <c r="Y364" s="21">
        <v>0</v>
      </c>
      <c r="AK364" t="s">
        <v>1245</v>
      </c>
    </row>
    <row r="365" spans="1:37" x14ac:dyDescent="0.25">
      <c r="A365">
        <f t="shared" si="5"/>
        <v>364</v>
      </c>
      <c r="C365">
        <v>693</v>
      </c>
      <c r="D365" t="s">
        <v>489</v>
      </c>
      <c r="E365" t="s">
        <v>490</v>
      </c>
      <c r="F365" t="s">
        <v>1085</v>
      </c>
      <c r="G365" t="s">
        <v>1285</v>
      </c>
      <c r="M365">
        <v>0</v>
      </c>
      <c r="N365">
        <v>2011</v>
      </c>
      <c r="O365" t="s">
        <v>1301</v>
      </c>
      <c r="S365">
        <v>0</v>
      </c>
      <c r="T365">
        <v>525</v>
      </c>
      <c r="V365">
        <v>0</v>
      </c>
      <c r="W365" s="21">
        <v>0</v>
      </c>
      <c r="X365">
        <v>0</v>
      </c>
      <c r="Y365" s="21">
        <v>0</v>
      </c>
      <c r="AK365" t="s">
        <v>1246</v>
      </c>
    </row>
    <row r="366" spans="1:37" x14ac:dyDescent="0.25">
      <c r="A366">
        <f t="shared" si="5"/>
        <v>365</v>
      </c>
      <c r="C366">
        <v>568</v>
      </c>
      <c r="D366" t="s">
        <v>494</v>
      </c>
      <c r="E366" t="s">
        <v>495</v>
      </c>
      <c r="F366" t="s">
        <v>1112</v>
      </c>
      <c r="G366" t="s">
        <v>1285</v>
      </c>
      <c r="M366">
        <v>0</v>
      </c>
      <c r="N366">
        <v>2009</v>
      </c>
      <c r="O366" t="s">
        <v>1292</v>
      </c>
      <c r="S366">
        <v>0</v>
      </c>
      <c r="T366">
        <v>0</v>
      </c>
      <c r="V366">
        <v>0</v>
      </c>
      <c r="W366" s="21">
        <v>0</v>
      </c>
      <c r="X366">
        <v>0</v>
      </c>
      <c r="Y366" s="21">
        <v>0</v>
      </c>
      <c r="AK366" t="s">
        <v>1247</v>
      </c>
    </row>
    <row r="367" spans="1:37" x14ac:dyDescent="0.25">
      <c r="A367">
        <f t="shared" si="5"/>
        <v>366</v>
      </c>
      <c r="C367">
        <v>567</v>
      </c>
      <c r="D367" t="s">
        <v>1418</v>
      </c>
      <c r="E367" t="s">
        <v>1419</v>
      </c>
      <c r="F367" t="s">
        <v>1420</v>
      </c>
      <c r="G367" t="s">
        <v>1285</v>
      </c>
      <c r="M367">
        <v>0</v>
      </c>
      <c r="N367">
        <v>2009</v>
      </c>
      <c r="O367" t="s">
        <v>1295</v>
      </c>
      <c r="S367">
        <v>0</v>
      </c>
      <c r="T367">
        <v>0</v>
      </c>
      <c r="V367">
        <v>0</v>
      </c>
      <c r="W367" s="21">
        <v>0</v>
      </c>
      <c r="X367">
        <v>0</v>
      </c>
      <c r="Y367" s="21">
        <v>0</v>
      </c>
      <c r="AK367" t="s">
        <v>1421</v>
      </c>
    </row>
    <row r="368" spans="1:37" x14ac:dyDescent="0.25">
      <c r="A368">
        <f t="shared" si="5"/>
        <v>367</v>
      </c>
      <c r="C368">
        <v>594</v>
      </c>
      <c r="D368" t="s">
        <v>496</v>
      </c>
      <c r="E368" t="s">
        <v>497</v>
      </c>
      <c r="F368" t="s">
        <v>1113</v>
      </c>
      <c r="G368" t="s">
        <v>1285</v>
      </c>
      <c r="M368">
        <v>0</v>
      </c>
      <c r="N368">
        <v>2010</v>
      </c>
      <c r="O368" t="s">
        <v>1088</v>
      </c>
      <c r="Q368" t="s">
        <v>1114</v>
      </c>
      <c r="S368">
        <v>2340</v>
      </c>
      <c r="T368">
        <v>0</v>
      </c>
      <c r="V368">
        <v>0</v>
      </c>
      <c r="W368" s="21">
        <v>0</v>
      </c>
      <c r="X368">
        <v>0</v>
      </c>
      <c r="Y368" s="21">
        <v>0</v>
      </c>
      <c r="AK368" t="s">
        <v>1248</v>
      </c>
    </row>
    <row r="369" spans="1:37" x14ac:dyDescent="0.25">
      <c r="A369">
        <f t="shared" si="5"/>
        <v>368</v>
      </c>
      <c r="C369">
        <v>593</v>
      </c>
      <c r="D369" t="s">
        <v>501</v>
      </c>
      <c r="E369" t="s">
        <v>502</v>
      </c>
      <c r="F369" t="s">
        <v>1091</v>
      </c>
      <c r="G369" t="s">
        <v>1285</v>
      </c>
      <c r="M369">
        <v>0</v>
      </c>
      <c r="N369">
        <v>2010</v>
      </c>
      <c r="O369" t="s">
        <v>1301</v>
      </c>
      <c r="S369">
        <v>662</v>
      </c>
      <c r="T369">
        <v>0</v>
      </c>
      <c r="V369">
        <v>0</v>
      </c>
      <c r="W369" s="21">
        <v>0</v>
      </c>
      <c r="X369">
        <v>0</v>
      </c>
      <c r="Y369" s="21">
        <v>0</v>
      </c>
      <c r="AK369" t="s">
        <v>1249</v>
      </c>
    </row>
    <row r="370" spans="1:37" x14ac:dyDescent="0.25">
      <c r="A370">
        <f t="shared" si="5"/>
        <v>369</v>
      </c>
      <c r="C370">
        <v>592</v>
      </c>
      <c r="D370" t="s">
        <v>1422</v>
      </c>
      <c r="E370" t="s">
        <v>1423</v>
      </c>
      <c r="F370" t="s">
        <v>1424</v>
      </c>
      <c r="G370" t="s">
        <v>1285</v>
      </c>
      <c r="M370">
        <v>0</v>
      </c>
      <c r="N370">
        <v>2010</v>
      </c>
      <c r="O370" t="s">
        <v>1046</v>
      </c>
      <c r="S370">
        <v>0</v>
      </c>
      <c r="T370">
        <v>0</v>
      </c>
      <c r="W370" s="21">
        <v>0</v>
      </c>
      <c r="X370">
        <v>5414</v>
      </c>
      <c r="Y370" s="21">
        <v>0</v>
      </c>
      <c r="AK370" t="s">
        <v>1425</v>
      </c>
    </row>
    <row r="371" spans="1:37" x14ac:dyDescent="0.25">
      <c r="A371">
        <f t="shared" si="5"/>
        <v>370</v>
      </c>
      <c r="C371">
        <v>590</v>
      </c>
      <c r="D371" t="s">
        <v>504</v>
      </c>
      <c r="E371" t="s">
        <v>505</v>
      </c>
      <c r="F371" t="s">
        <v>1085</v>
      </c>
      <c r="G371" t="s">
        <v>1285</v>
      </c>
      <c r="M371">
        <v>0</v>
      </c>
      <c r="N371">
        <v>2010</v>
      </c>
      <c r="O371" t="s">
        <v>1295</v>
      </c>
      <c r="Q371" t="s">
        <v>1115</v>
      </c>
      <c r="S371">
        <v>1500</v>
      </c>
      <c r="T371">
        <v>0</v>
      </c>
      <c r="V371">
        <v>350000</v>
      </c>
      <c r="W371" s="21">
        <v>0</v>
      </c>
      <c r="X371">
        <v>60000</v>
      </c>
      <c r="Y371" s="21">
        <v>8100</v>
      </c>
      <c r="AK371" t="s">
        <v>1250</v>
      </c>
    </row>
    <row r="372" spans="1:37" x14ac:dyDescent="0.25">
      <c r="A372">
        <f t="shared" si="5"/>
        <v>371</v>
      </c>
      <c r="C372">
        <v>587</v>
      </c>
      <c r="D372" t="s">
        <v>506</v>
      </c>
      <c r="E372" t="s">
        <v>507</v>
      </c>
      <c r="F372" t="s">
        <v>1085</v>
      </c>
      <c r="G372" t="s">
        <v>1285</v>
      </c>
      <c r="M372">
        <v>0</v>
      </c>
      <c r="N372">
        <v>2010</v>
      </c>
      <c r="O372" t="s">
        <v>1292</v>
      </c>
      <c r="S372">
        <v>0</v>
      </c>
      <c r="T372">
        <v>0</v>
      </c>
      <c r="V372">
        <v>0</v>
      </c>
      <c r="W372" s="21">
        <v>0</v>
      </c>
      <c r="X372">
        <v>0</v>
      </c>
      <c r="Y372" s="21">
        <v>0</v>
      </c>
      <c r="AK372" t="s">
        <v>1251</v>
      </c>
    </row>
    <row r="373" spans="1:37" x14ac:dyDescent="0.25">
      <c r="A373">
        <f t="shared" si="5"/>
        <v>372</v>
      </c>
      <c r="C373">
        <v>579</v>
      </c>
      <c r="D373" t="s">
        <v>508</v>
      </c>
      <c r="E373" t="s">
        <v>509</v>
      </c>
      <c r="F373" t="s">
        <v>1085</v>
      </c>
      <c r="G373" t="s">
        <v>1285</v>
      </c>
      <c r="M373">
        <v>0</v>
      </c>
      <c r="N373">
        <v>2009</v>
      </c>
      <c r="O373" t="s">
        <v>1292</v>
      </c>
      <c r="S373">
        <v>300</v>
      </c>
      <c r="T373">
        <v>0</v>
      </c>
      <c r="V373">
        <v>0</v>
      </c>
      <c r="W373" s="21">
        <v>0</v>
      </c>
      <c r="X373">
        <v>0</v>
      </c>
      <c r="Y373" s="21">
        <v>0</v>
      </c>
      <c r="AK373" t="s">
        <v>1252</v>
      </c>
    </row>
    <row r="374" spans="1:37" x14ac:dyDescent="0.25">
      <c r="A374">
        <f t="shared" si="5"/>
        <v>373</v>
      </c>
      <c r="C374">
        <v>576</v>
      </c>
      <c r="D374" t="s">
        <v>512</v>
      </c>
      <c r="E374" t="s">
        <v>513</v>
      </c>
      <c r="F374" t="s">
        <v>1085</v>
      </c>
      <c r="G374" t="s">
        <v>1285</v>
      </c>
      <c r="M374">
        <v>0</v>
      </c>
      <c r="N374">
        <v>2010</v>
      </c>
      <c r="O374" t="s">
        <v>1295</v>
      </c>
      <c r="Q374" t="s">
        <v>1114</v>
      </c>
      <c r="S374">
        <v>0</v>
      </c>
      <c r="T374">
        <v>0</v>
      </c>
      <c r="V374">
        <v>18000</v>
      </c>
      <c r="W374" s="21">
        <v>0</v>
      </c>
      <c r="X374">
        <v>20000</v>
      </c>
      <c r="Y374" s="21">
        <v>0</v>
      </c>
      <c r="AK374" t="s">
        <v>1253</v>
      </c>
    </row>
    <row r="375" spans="1:37" x14ac:dyDescent="0.25">
      <c r="A375">
        <f t="shared" si="5"/>
        <v>374</v>
      </c>
      <c r="C375">
        <v>575</v>
      </c>
      <c r="D375" t="s">
        <v>515</v>
      </c>
      <c r="E375" t="s">
        <v>516</v>
      </c>
      <c r="F375" t="s">
        <v>1085</v>
      </c>
      <c r="G375" t="s">
        <v>1285</v>
      </c>
      <c r="M375">
        <v>0</v>
      </c>
      <c r="N375">
        <v>2009</v>
      </c>
      <c r="O375" t="s">
        <v>1046</v>
      </c>
      <c r="S375">
        <v>0</v>
      </c>
      <c r="T375">
        <v>0</v>
      </c>
      <c r="V375">
        <v>0</v>
      </c>
      <c r="W375" s="21">
        <v>0</v>
      </c>
      <c r="X375">
        <v>0</v>
      </c>
      <c r="Y375" s="21">
        <v>0</v>
      </c>
      <c r="AK375" t="s">
        <v>1254</v>
      </c>
    </row>
    <row r="376" spans="1:37" x14ac:dyDescent="0.25">
      <c r="A376">
        <f t="shared" si="5"/>
        <v>375</v>
      </c>
      <c r="C376">
        <v>565</v>
      </c>
      <c r="D376" t="s">
        <v>1426</v>
      </c>
      <c r="E376" t="s">
        <v>1427</v>
      </c>
      <c r="G376" t="s">
        <v>1285</v>
      </c>
      <c r="M376">
        <v>0</v>
      </c>
      <c r="N376">
        <v>2009</v>
      </c>
      <c r="S376">
        <v>0</v>
      </c>
      <c r="T376">
        <v>0</v>
      </c>
      <c r="V376">
        <v>0</v>
      </c>
      <c r="W376" s="21">
        <v>0</v>
      </c>
      <c r="X376">
        <v>0</v>
      </c>
      <c r="Y376" s="21">
        <v>0</v>
      </c>
      <c r="AK376" t="s">
        <v>1428</v>
      </c>
    </row>
    <row r="377" spans="1:37" x14ac:dyDescent="0.25">
      <c r="A377">
        <f t="shared" si="5"/>
        <v>376</v>
      </c>
      <c r="C377">
        <v>555</v>
      </c>
      <c r="D377" t="s">
        <v>518</v>
      </c>
      <c r="E377" t="s">
        <v>519</v>
      </c>
      <c r="F377" t="s">
        <v>1116</v>
      </c>
      <c r="G377" t="s">
        <v>1285</v>
      </c>
      <c r="M377">
        <v>0</v>
      </c>
      <c r="N377">
        <v>2009</v>
      </c>
      <c r="O377" t="s">
        <v>1088</v>
      </c>
      <c r="Q377" t="s">
        <v>1114</v>
      </c>
      <c r="S377">
        <v>0</v>
      </c>
      <c r="T377">
        <v>0</v>
      </c>
      <c r="V377">
        <v>0</v>
      </c>
      <c r="W377" s="21">
        <v>0</v>
      </c>
      <c r="X377">
        <v>122300</v>
      </c>
      <c r="Y377" s="21">
        <v>0</v>
      </c>
      <c r="AK377" t="s">
        <v>1255</v>
      </c>
    </row>
    <row r="378" spans="1:37" x14ac:dyDescent="0.25">
      <c r="A378">
        <f t="shared" si="5"/>
        <v>377</v>
      </c>
      <c r="C378">
        <v>552</v>
      </c>
      <c r="D378" t="s">
        <v>1429</v>
      </c>
      <c r="E378" t="s">
        <v>1430</v>
      </c>
      <c r="G378" t="s">
        <v>1285</v>
      </c>
      <c r="M378">
        <v>0</v>
      </c>
      <c r="N378">
        <v>2009</v>
      </c>
      <c r="S378">
        <v>0</v>
      </c>
      <c r="T378">
        <v>0</v>
      </c>
      <c r="V378">
        <v>0</v>
      </c>
      <c r="W378" s="21">
        <v>0</v>
      </c>
      <c r="X378">
        <v>0</v>
      </c>
      <c r="Y378" s="21">
        <v>0</v>
      </c>
      <c r="AK378" t="s">
        <v>1431</v>
      </c>
    </row>
    <row r="379" spans="1:37" x14ac:dyDescent="0.25">
      <c r="A379">
        <f t="shared" si="5"/>
        <v>378</v>
      </c>
      <c r="C379">
        <v>549</v>
      </c>
      <c r="D379" t="s">
        <v>522</v>
      </c>
      <c r="E379" t="s">
        <v>523</v>
      </c>
      <c r="F379" t="s">
        <v>1117</v>
      </c>
      <c r="G379" t="s">
        <v>1285</v>
      </c>
      <c r="M379">
        <v>0</v>
      </c>
      <c r="N379">
        <v>2009</v>
      </c>
      <c r="O379" t="s">
        <v>1066</v>
      </c>
      <c r="Q379" t="s">
        <v>1118</v>
      </c>
      <c r="S379">
        <v>1145</v>
      </c>
      <c r="T379">
        <v>0</v>
      </c>
      <c r="V379">
        <v>0</v>
      </c>
      <c r="W379" s="21">
        <v>0</v>
      </c>
      <c r="X379">
        <v>0</v>
      </c>
      <c r="Y379" s="21">
        <v>0</v>
      </c>
      <c r="AK379" t="s">
        <v>1256</v>
      </c>
    </row>
    <row r="380" spans="1:37" x14ac:dyDescent="0.25">
      <c r="A380">
        <f t="shared" si="5"/>
        <v>379</v>
      </c>
      <c r="C380">
        <v>547</v>
      </c>
      <c r="D380" t="s">
        <v>525</v>
      </c>
      <c r="E380" t="s">
        <v>526</v>
      </c>
      <c r="F380" t="s">
        <v>1119</v>
      </c>
      <c r="G380" t="s">
        <v>1285</v>
      </c>
      <c r="M380">
        <v>0</v>
      </c>
      <c r="N380">
        <v>2009</v>
      </c>
      <c r="O380" t="s">
        <v>1046</v>
      </c>
      <c r="S380">
        <v>5832</v>
      </c>
      <c r="T380">
        <v>0</v>
      </c>
      <c r="V380">
        <v>0</v>
      </c>
      <c r="W380" s="21">
        <v>0</v>
      </c>
      <c r="X380">
        <v>308600</v>
      </c>
      <c r="Y380" s="21">
        <v>0</v>
      </c>
      <c r="AK380" t="s">
        <v>1293</v>
      </c>
    </row>
    <row r="381" spans="1:37" x14ac:dyDescent="0.25">
      <c r="A381">
        <f t="shared" si="5"/>
        <v>380</v>
      </c>
      <c r="C381">
        <v>519</v>
      </c>
      <c r="D381" t="s">
        <v>1432</v>
      </c>
      <c r="E381" t="s">
        <v>1433</v>
      </c>
      <c r="F381" t="s">
        <v>1134</v>
      </c>
      <c r="G381" t="s">
        <v>1285</v>
      </c>
      <c r="M381">
        <v>0</v>
      </c>
      <c r="N381">
        <v>2009</v>
      </c>
      <c r="O381" t="s">
        <v>1088</v>
      </c>
      <c r="S381">
        <v>1700</v>
      </c>
      <c r="T381">
        <v>0</v>
      </c>
      <c r="V381">
        <v>0</v>
      </c>
      <c r="W381" s="21">
        <v>0</v>
      </c>
      <c r="X381">
        <v>120000</v>
      </c>
      <c r="Y381" s="21">
        <v>0</v>
      </c>
      <c r="AK381" t="s">
        <v>1434</v>
      </c>
    </row>
    <row r="382" spans="1:37" x14ac:dyDescent="0.25">
      <c r="A382">
        <f t="shared" si="5"/>
        <v>381</v>
      </c>
      <c r="C382">
        <v>517</v>
      </c>
      <c r="D382" t="s">
        <v>1435</v>
      </c>
      <c r="E382" t="s">
        <v>1436</v>
      </c>
      <c r="F382" t="s">
        <v>1085</v>
      </c>
      <c r="G382" t="s">
        <v>1285</v>
      </c>
      <c r="M382">
        <v>0</v>
      </c>
      <c r="N382">
        <v>2009</v>
      </c>
      <c r="O382" t="s">
        <v>1295</v>
      </c>
      <c r="S382">
        <v>0</v>
      </c>
      <c r="T382">
        <v>0</v>
      </c>
      <c r="V382">
        <v>0</v>
      </c>
      <c r="W382" s="21">
        <v>0</v>
      </c>
      <c r="X382">
        <v>0</v>
      </c>
      <c r="Y382" s="21">
        <v>0</v>
      </c>
      <c r="AK382" t="s">
        <v>1437</v>
      </c>
    </row>
    <row r="383" spans="1:37" x14ac:dyDescent="0.25">
      <c r="A383">
        <f t="shared" si="5"/>
        <v>382</v>
      </c>
      <c r="C383">
        <v>514</v>
      </c>
      <c r="D383" t="s">
        <v>1438</v>
      </c>
      <c r="E383" t="s">
        <v>1439</v>
      </c>
      <c r="F383" t="s">
        <v>1440</v>
      </c>
      <c r="G383" t="s">
        <v>1285</v>
      </c>
      <c r="M383">
        <v>0</v>
      </c>
      <c r="N383">
        <v>2009</v>
      </c>
      <c r="O383" t="s">
        <v>1292</v>
      </c>
      <c r="S383">
        <v>500</v>
      </c>
      <c r="T383">
        <v>0</v>
      </c>
      <c r="V383">
        <v>0</v>
      </c>
      <c r="W383" s="21">
        <v>0</v>
      </c>
      <c r="X383">
        <v>0</v>
      </c>
      <c r="Y383" s="21">
        <v>0</v>
      </c>
      <c r="AK383" t="s">
        <v>1441</v>
      </c>
    </row>
    <row r="384" spans="1:37" x14ac:dyDescent="0.25">
      <c r="A384">
        <f t="shared" si="5"/>
        <v>383</v>
      </c>
      <c r="C384">
        <v>511</v>
      </c>
      <c r="D384" t="s">
        <v>529</v>
      </c>
      <c r="E384" t="s">
        <v>530</v>
      </c>
      <c r="F384" t="s">
        <v>1091</v>
      </c>
      <c r="G384" t="s">
        <v>1285</v>
      </c>
      <c r="M384">
        <v>0</v>
      </c>
      <c r="N384">
        <v>2009</v>
      </c>
      <c r="O384" t="s">
        <v>1301</v>
      </c>
      <c r="S384">
        <v>0</v>
      </c>
      <c r="T384">
        <v>0</v>
      </c>
      <c r="V384">
        <v>0</v>
      </c>
      <c r="W384" s="21">
        <v>0</v>
      </c>
      <c r="X384">
        <v>0</v>
      </c>
      <c r="Y384" s="21">
        <v>0</v>
      </c>
      <c r="AK384" t="s">
        <v>1257</v>
      </c>
    </row>
    <row r="385" spans="1:37" x14ac:dyDescent="0.25">
      <c r="A385">
        <f t="shared" si="5"/>
        <v>384</v>
      </c>
      <c r="C385">
        <v>498</v>
      </c>
      <c r="D385" t="s">
        <v>1442</v>
      </c>
      <c r="E385" t="s">
        <v>1443</v>
      </c>
      <c r="G385" t="s">
        <v>1285</v>
      </c>
      <c r="M385">
        <v>0</v>
      </c>
      <c r="N385">
        <v>2009</v>
      </c>
      <c r="S385">
        <v>0</v>
      </c>
      <c r="T385">
        <v>0</v>
      </c>
      <c r="V385">
        <v>0</v>
      </c>
      <c r="W385" s="21">
        <v>0</v>
      </c>
      <c r="X385">
        <v>0</v>
      </c>
      <c r="Y385" s="21">
        <v>0</v>
      </c>
      <c r="AK385" t="s">
        <v>1444</v>
      </c>
    </row>
    <row r="386" spans="1:37" x14ac:dyDescent="0.25">
      <c r="A386">
        <f t="shared" ref="A386:A449" si="6">ROW(A386)-1</f>
        <v>385</v>
      </c>
      <c r="C386">
        <v>487</v>
      </c>
      <c r="D386" t="s">
        <v>534</v>
      </c>
      <c r="E386" t="s">
        <v>535</v>
      </c>
      <c r="F386" t="s">
        <v>1091</v>
      </c>
      <c r="G386" t="s">
        <v>1285</v>
      </c>
      <c r="M386">
        <v>0</v>
      </c>
      <c r="N386">
        <v>2009</v>
      </c>
      <c r="O386" t="s">
        <v>1301</v>
      </c>
      <c r="S386">
        <v>0</v>
      </c>
      <c r="T386">
        <v>0</v>
      </c>
      <c r="V386">
        <v>0</v>
      </c>
      <c r="W386" s="21">
        <v>0</v>
      </c>
      <c r="X386">
        <v>0</v>
      </c>
      <c r="Y386" s="21">
        <v>0</v>
      </c>
      <c r="AK386" t="s">
        <v>1258</v>
      </c>
    </row>
    <row r="387" spans="1:37" x14ac:dyDescent="0.25">
      <c r="A387">
        <f t="shared" si="6"/>
        <v>386</v>
      </c>
      <c r="C387">
        <v>473</v>
      </c>
      <c r="D387" t="s">
        <v>1445</v>
      </c>
      <c r="F387" t="s">
        <v>1148</v>
      </c>
      <c r="G387" t="s">
        <v>1285</v>
      </c>
      <c r="M387">
        <v>0</v>
      </c>
      <c r="N387">
        <v>2009</v>
      </c>
      <c r="O387" t="s">
        <v>1295</v>
      </c>
      <c r="S387">
        <v>415</v>
      </c>
      <c r="T387">
        <v>0</v>
      </c>
      <c r="V387">
        <v>0</v>
      </c>
      <c r="W387" s="21">
        <v>0</v>
      </c>
      <c r="X387">
        <v>33595</v>
      </c>
      <c r="Y387" s="21">
        <v>0</v>
      </c>
      <c r="AK387" t="s">
        <v>1446</v>
      </c>
    </row>
    <row r="388" spans="1:37" x14ac:dyDescent="0.25">
      <c r="A388">
        <f t="shared" si="6"/>
        <v>387</v>
      </c>
      <c r="C388">
        <v>486</v>
      </c>
      <c r="D388" t="s">
        <v>1447</v>
      </c>
      <c r="E388" t="s">
        <v>1448</v>
      </c>
      <c r="F388" t="s">
        <v>1449</v>
      </c>
      <c r="G388" t="s">
        <v>1285</v>
      </c>
      <c r="M388">
        <v>0</v>
      </c>
      <c r="N388">
        <v>2009</v>
      </c>
      <c r="O388" t="s">
        <v>1301</v>
      </c>
      <c r="S388">
        <v>0</v>
      </c>
      <c r="T388">
        <v>0</v>
      </c>
      <c r="V388">
        <v>0</v>
      </c>
      <c r="W388" s="21">
        <v>0</v>
      </c>
      <c r="X388">
        <v>0</v>
      </c>
      <c r="Y388" s="21">
        <v>0</v>
      </c>
      <c r="AK388" t="s">
        <v>1450</v>
      </c>
    </row>
    <row r="389" spans="1:37" x14ac:dyDescent="0.25">
      <c r="A389">
        <f t="shared" si="6"/>
        <v>388</v>
      </c>
      <c r="C389">
        <v>422</v>
      </c>
      <c r="D389" t="s">
        <v>1451</v>
      </c>
      <c r="E389" t="s">
        <v>1452</v>
      </c>
      <c r="F389" t="s">
        <v>1453</v>
      </c>
      <c r="G389" t="s">
        <v>1285</v>
      </c>
      <c r="M389">
        <v>0</v>
      </c>
      <c r="N389">
        <v>2008</v>
      </c>
      <c r="O389" t="s">
        <v>1063</v>
      </c>
      <c r="S389">
        <v>0</v>
      </c>
      <c r="T389">
        <v>0</v>
      </c>
      <c r="V389">
        <v>0</v>
      </c>
      <c r="W389" s="21">
        <v>0</v>
      </c>
      <c r="X389">
        <v>0</v>
      </c>
      <c r="Y389" s="21">
        <v>0</v>
      </c>
      <c r="AK389" t="s">
        <v>1454</v>
      </c>
    </row>
    <row r="390" spans="1:37" x14ac:dyDescent="0.25">
      <c r="A390">
        <f t="shared" si="6"/>
        <v>389</v>
      </c>
      <c r="C390">
        <v>397</v>
      </c>
      <c r="D390" t="s">
        <v>539</v>
      </c>
      <c r="E390" t="s">
        <v>540</v>
      </c>
      <c r="F390" t="s">
        <v>1096</v>
      </c>
      <c r="G390" t="s">
        <v>1285</v>
      </c>
      <c r="M390">
        <v>0</v>
      </c>
      <c r="N390">
        <v>2007</v>
      </c>
      <c r="O390" t="s">
        <v>1292</v>
      </c>
      <c r="S390">
        <v>320</v>
      </c>
      <c r="T390">
        <v>0</v>
      </c>
      <c r="V390">
        <v>0</v>
      </c>
      <c r="W390" s="21">
        <v>0</v>
      </c>
      <c r="X390">
        <v>0</v>
      </c>
      <c r="Y390" s="21">
        <v>0</v>
      </c>
      <c r="AK390" t="s">
        <v>1259</v>
      </c>
    </row>
    <row r="391" spans="1:37" x14ac:dyDescent="0.25">
      <c r="A391">
        <f t="shared" si="6"/>
        <v>390</v>
      </c>
      <c r="C391">
        <v>3003</v>
      </c>
      <c r="D391" t="s">
        <v>545</v>
      </c>
      <c r="E391" t="s">
        <v>546</v>
      </c>
      <c r="F391" t="s">
        <v>1085</v>
      </c>
      <c r="G391" t="s">
        <v>1285</v>
      </c>
      <c r="M391">
        <v>0</v>
      </c>
      <c r="N391">
        <v>2023</v>
      </c>
      <c r="O391" t="s">
        <v>1292</v>
      </c>
      <c r="Q391" t="s">
        <v>1120</v>
      </c>
      <c r="S391">
        <v>0</v>
      </c>
      <c r="T391">
        <v>0</v>
      </c>
      <c r="V391">
        <v>0</v>
      </c>
      <c r="W391" s="21">
        <v>0</v>
      </c>
      <c r="Y391" s="21">
        <v>0</v>
      </c>
    </row>
    <row r="392" spans="1:37" x14ac:dyDescent="0.25">
      <c r="A392">
        <f t="shared" si="6"/>
        <v>391</v>
      </c>
      <c r="C392">
        <v>3001</v>
      </c>
      <c r="D392" t="s">
        <v>550</v>
      </c>
      <c r="E392" t="s">
        <v>551</v>
      </c>
      <c r="F392" t="s">
        <v>1121</v>
      </c>
      <c r="G392" t="s">
        <v>1285</v>
      </c>
      <c r="M392">
        <v>0</v>
      </c>
      <c r="N392">
        <v>2018</v>
      </c>
      <c r="O392" t="s">
        <v>1301</v>
      </c>
      <c r="S392">
        <v>0</v>
      </c>
      <c r="T392">
        <v>0</v>
      </c>
      <c r="V392">
        <v>0</v>
      </c>
      <c r="W392" s="21">
        <v>0</v>
      </c>
      <c r="X392">
        <v>0</v>
      </c>
      <c r="Y392" s="21">
        <v>0</v>
      </c>
    </row>
    <row r="393" spans="1:37" x14ac:dyDescent="0.25">
      <c r="A393">
        <f t="shared" si="6"/>
        <v>392</v>
      </c>
      <c r="C393">
        <v>3002</v>
      </c>
      <c r="D393" t="s">
        <v>555</v>
      </c>
      <c r="E393" t="s">
        <v>556</v>
      </c>
      <c r="F393" t="s">
        <v>1122</v>
      </c>
      <c r="G393" t="s">
        <v>1285</v>
      </c>
      <c r="M393">
        <v>0</v>
      </c>
      <c r="N393">
        <v>2018</v>
      </c>
      <c r="O393" t="s">
        <v>1063</v>
      </c>
      <c r="S393">
        <v>0</v>
      </c>
      <c r="T393">
        <v>0</v>
      </c>
      <c r="V393">
        <v>123710</v>
      </c>
      <c r="W393" s="21">
        <v>0</v>
      </c>
      <c r="X393">
        <v>19040</v>
      </c>
      <c r="Y393" s="21">
        <v>0</v>
      </c>
      <c r="AK393" t="s">
        <v>1293</v>
      </c>
    </row>
    <row r="394" spans="1:37" x14ac:dyDescent="0.25">
      <c r="A394">
        <f t="shared" si="6"/>
        <v>393</v>
      </c>
      <c r="C394">
        <v>3002</v>
      </c>
      <c r="D394" t="s">
        <v>423</v>
      </c>
      <c r="E394" t="s">
        <v>556</v>
      </c>
      <c r="F394" t="s">
        <v>1455</v>
      </c>
      <c r="G394" t="s">
        <v>1285</v>
      </c>
      <c r="M394">
        <v>0</v>
      </c>
      <c r="N394">
        <v>2024</v>
      </c>
      <c r="O394" t="s">
        <v>1063</v>
      </c>
      <c r="S394">
        <v>660</v>
      </c>
      <c r="T394">
        <v>0</v>
      </c>
      <c r="V394">
        <v>0</v>
      </c>
      <c r="W394" s="21">
        <v>0</v>
      </c>
      <c r="X394">
        <v>19000</v>
      </c>
      <c r="Y394" s="21">
        <v>0</v>
      </c>
    </row>
    <row r="395" spans="1:37" x14ac:dyDescent="0.25">
      <c r="A395">
        <f t="shared" si="6"/>
        <v>394</v>
      </c>
      <c r="C395">
        <v>3003</v>
      </c>
      <c r="D395" t="s">
        <v>351</v>
      </c>
      <c r="E395" t="s">
        <v>1456</v>
      </c>
      <c r="F395" t="s">
        <v>1085</v>
      </c>
      <c r="G395" t="s">
        <v>1285</v>
      </c>
      <c r="M395">
        <v>0</v>
      </c>
      <c r="N395">
        <v>2018</v>
      </c>
      <c r="O395" t="s">
        <v>1292</v>
      </c>
      <c r="Q395" t="s">
        <v>1120</v>
      </c>
      <c r="S395">
        <v>0</v>
      </c>
      <c r="T395">
        <v>0</v>
      </c>
      <c r="W395" s="21">
        <v>0</v>
      </c>
      <c r="Y395" s="21">
        <v>0</v>
      </c>
    </row>
    <row r="396" spans="1:37" x14ac:dyDescent="0.25">
      <c r="A396">
        <f t="shared" si="6"/>
        <v>395</v>
      </c>
      <c r="C396">
        <v>3004</v>
      </c>
      <c r="D396" t="s">
        <v>574</v>
      </c>
      <c r="E396" t="s">
        <v>1457</v>
      </c>
      <c r="F396" t="s">
        <v>1085</v>
      </c>
      <c r="G396" t="s">
        <v>1285</v>
      </c>
      <c r="M396">
        <v>0</v>
      </c>
      <c r="N396">
        <v>2018</v>
      </c>
      <c r="S396">
        <v>7663</v>
      </c>
      <c r="T396">
        <v>0</v>
      </c>
      <c r="V396">
        <v>0</v>
      </c>
      <c r="W396" s="21">
        <v>0</v>
      </c>
      <c r="X396">
        <v>5000000</v>
      </c>
      <c r="Y396" s="21">
        <v>0</v>
      </c>
      <c r="AK396" t="s">
        <v>1458</v>
      </c>
    </row>
    <row r="397" spans="1:37" x14ac:dyDescent="0.25">
      <c r="A397">
        <f t="shared" si="6"/>
        <v>396</v>
      </c>
      <c r="C397">
        <v>3005</v>
      </c>
      <c r="D397" t="s">
        <v>550</v>
      </c>
      <c r="E397" t="s">
        <v>560</v>
      </c>
      <c r="F397" t="s">
        <v>1121</v>
      </c>
      <c r="G397" t="s">
        <v>1285</v>
      </c>
      <c r="M397">
        <v>0</v>
      </c>
      <c r="N397">
        <v>2018</v>
      </c>
      <c r="O397" t="s">
        <v>1301</v>
      </c>
      <c r="S397">
        <v>510</v>
      </c>
      <c r="T397">
        <v>0</v>
      </c>
      <c r="V397">
        <v>0</v>
      </c>
      <c r="W397" s="21">
        <v>0</v>
      </c>
      <c r="X397">
        <v>0</v>
      </c>
      <c r="Y397" s="21">
        <v>0</v>
      </c>
    </row>
    <row r="398" spans="1:37" x14ac:dyDescent="0.25">
      <c r="A398">
        <f t="shared" si="6"/>
        <v>397</v>
      </c>
      <c r="C398">
        <v>3006</v>
      </c>
      <c r="D398" t="s">
        <v>550</v>
      </c>
      <c r="E398" t="s">
        <v>565</v>
      </c>
      <c r="F398" t="s">
        <v>1123</v>
      </c>
      <c r="G398" t="s">
        <v>1285</v>
      </c>
      <c r="M398">
        <v>0</v>
      </c>
      <c r="N398">
        <v>2018</v>
      </c>
      <c r="O398" t="s">
        <v>1046</v>
      </c>
      <c r="S398">
        <v>0</v>
      </c>
      <c r="T398">
        <v>0</v>
      </c>
      <c r="V398">
        <v>0</v>
      </c>
      <c r="W398" s="21">
        <v>0</v>
      </c>
      <c r="X398">
        <v>0</v>
      </c>
      <c r="Y398" s="21">
        <v>0</v>
      </c>
    </row>
    <row r="399" spans="1:37" x14ac:dyDescent="0.25">
      <c r="A399">
        <f t="shared" si="6"/>
        <v>398</v>
      </c>
      <c r="C399">
        <v>3008</v>
      </c>
      <c r="D399" t="s">
        <v>550</v>
      </c>
      <c r="E399" t="s">
        <v>569</v>
      </c>
      <c r="F399" t="s">
        <v>1124</v>
      </c>
      <c r="G399" t="s">
        <v>1285</v>
      </c>
      <c r="M399">
        <v>0</v>
      </c>
      <c r="N399">
        <v>2018</v>
      </c>
      <c r="O399" t="s">
        <v>1046</v>
      </c>
      <c r="S399">
        <v>800</v>
      </c>
      <c r="T399">
        <v>0</v>
      </c>
      <c r="V399">
        <v>0</v>
      </c>
      <c r="W399" s="21">
        <v>0</v>
      </c>
      <c r="X399">
        <v>0</v>
      </c>
      <c r="Y399" s="21">
        <v>0</v>
      </c>
    </row>
    <row r="400" spans="1:37" x14ac:dyDescent="0.25">
      <c r="A400">
        <f t="shared" si="6"/>
        <v>399</v>
      </c>
      <c r="C400">
        <v>3009</v>
      </c>
      <c r="D400" t="s">
        <v>574</v>
      </c>
      <c r="E400" t="s">
        <v>575</v>
      </c>
      <c r="F400" t="s">
        <v>1125</v>
      </c>
      <c r="G400" t="s">
        <v>1285</v>
      </c>
      <c r="M400">
        <v>0</v>
      </c>
      <c r="N400">
        <v>2018</v>
      </c>
      <c r="O400" t="s">
        <v>1046</v>
      </c>
      <c r="S400">
        <v>12</v>
      </c>
      <c r="T400">
        <v>0</v>
      </c>
      <c r="V400">
        <v>0</v>
      </c>
      <c r="W400" s="21">
        <v>0</v>
      </c>
      <c r="X400">
        <v>1000</v>
      </c>
      <c r="Y400" s="21">
        <v>0</v>
      </c>
      <c r="AK400" t="s">
        <v>1260</v>
      </c>
    </row>
    <row r="401" spans="1:37" x14ac:dyDescent="0.25">
      <c r="A401">
        <f t="shared" si="6"/>
        <v>400</v>
      </c>
      <c r="C401">
        <v>3009</v>
      </c>
      <c r="D401" t="s">
        <v>1459</v>
      </c>
      <c r="E401" t="s">
        <v>575</v>
      </c>
      <c r="F401" t="s">
        <v>1099</v>
      </c>
      <c r="G401" t="s">
        <v>1285</v>
      </c>
      <c r="M401">
        <v>0</v>
      </c>
      <c r="N401">
        <v>2020</v>
      </c>
      <c r="S401">
        <v>392</v>
      </c>
      <c r="T401">
        <v>0</v>
      </c>
      <c r="V401">
        <v>0</v>
      </c>
      <c r="W401" s="21">
        <v>0</v>
      </c>
      <c r="X401">
        <v>37477</v>
      </c>
      <c r="Y401" s="21">
        <v>0</v>
      </c>
      <c r="AK401" t="s">
        <v>1460</v>
      </c>
    </row>
    <row r="402" spans="1:37" x14ac:dyDescent="0.25">
      <c r="A402">
        <f t="shared" si="6"/>
        <v>401</v>
      </c>
      <c r="C402">
        <v>3010</v>
      </c>
      <c r="D402" t="s">
        <v>578</v>
      </c>
      <c r="E402" t="s">
        <v>579</v>
      </c>
      <c r="F402" t="s">
        <v>1091</v>
      </c>
      <c r="G402" t="s">
        <v>1285</v>
      </c>
      <c r="M402">
        <v>0</v>
      </c>
      <c r="N402">
        <v>2018</v>
      </c>
      <c r="O402" t="s">
        <v>1301</v>
      </c>
      <c r="Q402" t="s">
        <v>1126</v>
      </c>
      <c r="S402">
        <v>960</v>
      </c>
      <c r="T402">
        <v>0</v>
      </c>
      <c r="V402">
        <v>0</v>
      </c>
      <c r="W402" s="21">
        <v>0</v>
      </c>
      <c r="X402">
        <v>53000</v>
      </c>
      <c r="Y402" s="21">
        <v>0</v>
      </c>
    </row>
    <row r="403" spans="1:37" x14ac:dyDescent="0.25">
      <c r="A403">
        <f t="shared" si="6"/>
        <v>402</v>
      </c>
      <c r="C403">
        <v>3011</v>
      </c>
      <c r="D403" t="s">
        <v>550</v>
      </c>
      <c r="E403" t="s">
        <v>582</v>
      </c>
      <c r="F403" t="s">
        <v>1085</v>
      </c>
      <c r="G403" t="s">
        <v>1285</v>
      </c>
      <c r="M403">
        <v>0</v>
      </c>
      <c r="N403">
        <v>2018</v>
      </c>
      <c r="O403" t="s">
        <v>1301</v>
      </c>
      <c r="S403">
        <v>0</v>
      </c>
      <c r="T403">
        <v>0</v>
      </c>
      <c r="V403">
        <v>0</v>
      </c>
      <c r="W403" s="21">
        <v>0</v>
      </c>
      <c r="X403">
        <v>12150</v>
      </c>
      <c r="Y403" s="21">
        <v>0</v>
      </c>
    </row>
    <row r="404" spans="1:37" x14ac:dyDescent="0.25">
      <c r="A404">
        <f t="shared" si="6"/>
        <v>403</v>
      </c>
      <c r="C404">
        <v>3012</v>
      </c>
      <c r="D404" t="s">
        <v>550</v>
      </c>
      <c r="E404" t="s">
        <v>587</v>
      </c>
      <c r="F404" t="s">
        <v>1085</v>
      </c>
      <c r="G404" t="s">
        <v>1285</v>
      </c>
      <c r="M404">
        <v>0</v>
      </c>
      <c r="N404">
        <v>2018</v>
      </c>
      <c r="O404" t="s">
        <v>1295</v>
      </c>
      <c r="S404">
        <v>0</v>
      </c>
      <c r="T404">
        <v>0</v>
      </c>
      <c r="V404">
        <v>0</v>
      </c>
      <c r="W404" s="21">
        <v>0</v>
      </c>
      <c r="X404">
        <v>0</v>
      </c>
      <c r="Y404" s="21">
        <v>0</v>
      </c>
    </row>
    <row r="405" spans="1:37" x14ac:dyDescent="0.25">
      <c r="A405">
        <f t="shared" si="6"/>
        <v>404</v>
      </c>
      <c r="C405">
        <v>3013</v>
      </c>
      <c r="D405" t="s">
        <v>550</v>
      </c>
      <c r="E405" t="s">
        <v>590</v>
      </c>
      <c r="F405" t="s">
        <v>1085</v>
      </c>
      <c r="G405" t="s">
        <v>1285</v>
      </c>
      <c r="M405">
        <v>0</v>
      </c>
      <c r="N405">
        <v>2018</v>
      </c>
      <c r="O405" t="s">
        <v>1063</v>
      </c>
      <c r="S405">
        <v>40</v>
      </c>
      <c r="T405">
        <v>0</v>
      </c>
      <c r="V405">
        <v>0</v>
      </c>
      <c r="W405" s="21">
        <v>0</v>
      </c>
      <c r="X405">
        <v>6000</v>
      </c>
      <c r="Y405" s="21">
        <v>0</v>
      </c>
    </row>
    <row r="406" spans="1:37" x14ac:dyDescent="0.25">
      <c r="A406">
        <f t="shared" si="6"/>
        <v>405</v>
      </c>
      <c r="C406">
        <v>3014</v>
      </c>
      <c r="D406" t="s">
        <v>595</v>
      </c>
      <c r="E406" t="s">
        <v>596</v>
      </c>
      <c r="F406" t="s">
        <v>1099</v>
      </c>
      <c r="G406" t="s">
        <v>1285</v>
      </c>
      <c r="M406">
        <v>0</v>
      </c>
      <c r="N406">
        <v>2018</v>
      </c>
      <c r="S406">
        <v>4850</v>
      </c>
      <c r="T406">
        <v>0</v>
      </c>
      <c r="V406">
        <v>0</v>
      </c>
      <c r="W406" s="21">
        <v>0</v>
      </c>
      <c r="X406">
        <v>980054</v>
      </c>
      <c r="Y406" s="21">
        <v>0</v>
      </c>
      <c r="AK406" t="s">
        <v>1261</v>
      </c>
    </row>
    <row r="407" spans="1:37" x14ac:dyDescent="0.25">
      <c r="A407">
        <f t="shared" si="6"/>
        <v>406</v>
      </c>
      <c r="C407">
        <v>3015</v>
      </c>
      <c r="D407" t="s">
        <v>550</v>
      </c>
      <c r="E407" t="s">
        <v>1461</v>
      </c>
      <c r="F407" t="s">
        <v>1462</v>
      </c>
      <c r="G407" t="s">
        <v>1285</v>
      </c>
      <c r="M407">
        <v>0</v>
      </c>
      <c r="N407">
        <v>2020</v>
      </c>
      <c r="O407" t="s">
        <v>1295</v>
      </c>
      <c r="S407">
        <v>384</v>
      </c>
      <c r="T407">
        <v>0</v>
      </c>
      <c r="V407">
        <v>0</v>
      </c>
      <c r="W407" s="21">
        <v>0</v>
      </c>
      <c r="X407">
        <v>280000</v>
      </c>
      <c r="Y407" s="21">
        <v>0</v>
      </c>
    </row>
    <row r="408" spans="1:37" x14ac:dyDescent="0.25">
      <c r="A408">
        <f t="shared" si="6"/>
        <v>407</v>
      </c>
      <c r="C408">
        <v>3016</v>
      </c>
      <c r="D408" t="s">
        <v>409</v>
      </c>
      <c r="E408" t="s">
        <v>1463</v>
      </c>
      <c r="F408" t="s">
        <v>1085</v>
      </c>
      <c r="G408" t="s">
        <v>1285</v>
      </c>
      <c r="M408">
        <v>0</v>
      </c>
      <c r="N408">
        <v>2022</v>
      </c>
      <c r="O408" t="s">
        <v>1295</v>
      </c>
      <c r="S408">
        <v>0</v>
      </c>
      <c r="T408">
        <v>0</v>
      </c>
      <c r="V408">
        <v>0</v>
      </c>
      <c r="W408" s="21">
        <v>0</v>
      </c>
      <c r="X408">
        <v>0</v>
      </c>
      <c r="Y408" s="21">
        <v>0</v>
      </c>
    </row>
    <row r="409" spans="1:37" x14ac:dyDescent="0.25">
      <c r="A409">
        <f t="shared" si="6"/>
        <v>408</v>
      </c>
      <c r="C409">
        <v>3017</v>
      </c>
      <c r="D409" t="s">
        <v>1464</v>
      </c>
      <c r="E409" t="s">
        <v>1465</v>
      </c>
      <c r="F409" t="s">
        <v>1085</v>
      </c>
      <c r="G409" t="s">
        <v>1285</v>
      </c>
      <c r="M409">
        <v>0</v>
      </c>
      <c r="N409">
        <v>2018</v>
      </c>
      <c r="O409" t="s">
        <v>1063</v>
      </c>
      <c r="S409">
        <v>480</v>
      </c>
      <c r="T409">
        <v>0</v>
      </c>
      <c r="V409">
        <v>0</v>
      </c>
      <c r="W409" s="21">
        <v>0</v>
      </c>
      <c r="X409">
        <v>0</v>
      </c>
      <c r="Y409" s="21">
        <v>0</v>
      </c>
    </row>
    <row r="410" spans="1:37" x14ac:dyDescent="0.25">
      <c r="A410">
        <f t="shared" si="6"/>
        <v>409</v>
      </c>
      <c r="C410">
        <v>3018</v>
      </c>
      <c r="D410" t="s">
        <v>550</v>
      </c>
      <c r="E410" t="s">
        <v>601</v>
      </c>
      <c r="F410" t="s">
        <v>1121</v>
      </c>
      <c r="G410" t="s">
        <v>1285</v>
      </c>
      <c r="M410">
        <v>0</v>
      </c>
      <c r="N410">
        <v>2019</v>
      </c>
      <c r="O410" t="s">
        <v>1301</v>
      </c>
      <c r="S410">
        <v>1000</v>
      </c>
      <c r="T410">
        <v>0</v>
      </c>
      <c r="V410">
        <v>81000</v>
      </c>
      <c r="W410" s="21">
        <v>0</v>
      </c>
      <c r="X410">
        <v>60000</v>
      </c>
      <c r="Y410" s="21">
        <v>0</v>
      </c>
    </row>
    <row r="411" spans="1:37" x14ac:dyDescent="0.25">
      <c r="A411">
        <f t="shared" si="6"/>
        <v>410</v>
      </c>
      <c r="C411">
        <v>3020</v>
      </c>
      <c r="D411" t="s">
        <v>604</v>
      </c>
      <c r="E411" t="s">
        <v>605</v>
      </c>
      <c r="F411" t="s">
        <v>1127</v>
      </c>
      <c r="G411" t="s">
        <v>1285</v>
      </c>
      <c r="H411" t="s">
        <v>1128</v>
      </c>
      <c r="I411" t="s">
        <v>608</v>
      </c>
      <c r="J411" t="s">
        <v>608</v>
      </c>
      <c r="K411" t="s">
        <v>1088</v>
      </c>
      <c r="M411">
        <v>0</v>
      </c>
      <c r="N411">
        <v>2018</v>
      </c>
      <c r="O411" t="s">
        <v>1063</v>
      </c>
      <c r="S411">
        <v>0</v>
      </c>
      <c r="T411">
        <v>0</v>
      </c>
      <c r="V411">
        <v>0</v>
      </c>
      <c r="W411" s="21">
        <v>0</v>
      </c>
      <c r="X411">
        <v>160000</v>
      </c>
      <c r="Y411" s="21">
        <v>0</v>
      </c>
    </row>
    <row r="412" spans="1:37" x14ac:dyDescent="0.25">
      <c r="A412">
        <f t="shared" si="6"/>
        <v>411</v>
      </c>
      <c r="C412">
        <v>3022</v>
      </c>
      <c r="D412" t="s">
        <v>550</v>
      </c>
      <c r="E412" t="s">
        <v>609</v>
      </c>
      <c r="F412" t="s">
        <v>1129</v>
      </c>
      <c r="G412" t="s">
        <v>1285</v>
      </c>
      <c r="M412">
        <v>0</v>
      </c>
      <c r="N412">
        <v>2018</v>
      </c>
      <c r="O412" t="s">
        <v>1046</v>
      </c>
      <c r="Q412" t="s">
        <v>1130</v>
      </c>
      <c r="S412">
        <v>0</v>
      </c>
      <c r="T412">
        <v>0</v>
      </c>
      <c r="V412">
        <v>0</v>
      </c>
      <c r="W412" s="21">
        <v>0</v>
      </c>
      <c r="X412">
        <v>6100</v>
      </c>
      <c r="Y412" s="21">
        <v>0</v>
      </c>
    </row>
    <row r="413" spans="1:37" x14ac:dyDescent="0.25">
      <c r="A413">
        <f t="shared" si="6"/>
        <v>412</v>
      </c>
      <c r="C413">
        <v>3023</v>
      </c>
      <c r="D413" t="s">
        <v>1466</v>
      </c>
      <c r="F413" t="s">
        <v>1085</v>
      </c>
      <c r="G413" t="s">
        <v>1285</v>
      </c>
      <c r="M413">
        <v>0</v>
      </c>
      <c r="N413">
        <v>2018</v>
      </c>
      <c r="O413" t="s">
        <v>1046</v>
      </c>
      <c r="S413">
        <v>52</v>
      </c>
      <c r="T413">
        <v>0</v>
      </c>
      <c r="V413">
        <v>0</v>
      </c>
      <c r="W413" s="21">
        <v>0</v>
      </c>
      <c r="X413">
        <v>1604</v>
      </c>
      <c r="Y413" s="21">
        <v>0</v>
      </c>
    </row>
    <row r="414" spans="1:37" x14ac:dyDescent="0.25">
      <c r="A414">
        <f t="shared" si="6"/>
        <v>413</v>
      </c>
      <c r="C414">
        <v>3024</v>
      </c>
      <c r="D414" t="s">
        <v>550</v>
      </c>
      <c r="F414" t="s">
        <v>1085</v>
      </c>
      <c r="G414" t="s">
        <v>1285</v>
      </c>
      <c r="M414">
        <v>0</v>
      </c>
      <c r="N414">
        <v>2018</v>
      </c>
      <c r="O414" t="s">
        <v>1063</v>
      </c>
      <c r="S414">
        <v>13</v>
      </c>
      <c r="T414">
        <v>0</v>
      </c>
      <c r="V414">
        <v>0</v>
      </c>
      <c r="W414" s="21">
        <v>0</v>
      </c>
      <c r="X414">
        <v>0</v>
      </c>
      <c r="Y414" s="21">
        <v>0</v>
      </c>
    </row>
    <row r="415" spans="1:37" x14ac:dyDescent="0.25">
      <c r="A415">
        <f t="shared" si="6"/>
        <v>414</v>
      </c>
      <c r="C415">
        <v>3025</v>
      </c>
      <c r="D415" t="s">
        <v>615</v>
      </c>
      <c r="E415" t="s">
        <v>616</v>
      </c>
      <c r="F415" t="s">
        <v>1131</v>
      </c>
      <c r="G415" t="s">
        <v>1285</v>
      </c>
      <c r="M415">
        <v>0</v>
      </c>
      <c r="N415">
        <v>2019</v>
      </c>
      <c r="O415" t="s">
        <v>1301</v>
      </c>
      <c r="Q415" t="s">
        <v>1104</v>
      </c>
      <c r="S415">
        <v>0</v>
      </c>
      <c r="T415">
        <v>0</v>
      </c>
      <c r="V415">
        <v>0</v>
      </c>
      <c r="W415" s="21">
        <v>0</v>
      </c>
      <c r="X415">
        <v>0</v>
      </c>
      <c r="Y415" s="21">
        <v>0</v>
      </c>
      <c r="AK415" t="s">
        <v>1262</v>
      </c>
    </row>
    <row r="416" spans="1:37" x14ac:dyDescent="0.25">
      <c r="A416">
        <f t="shared" si="6"/>
        <v>415</v>
      </c>
      <c r="C416">
        <v>3026</v>
      </c>
      <c r="D416" t="s">
        <v>550</v>
      </c>
      <c r="E416" t="s">
        <v>619</v>
      </c>
      <c r="F416" t="s">
        <v>1085</v>
      </c>
      <c r="G416" t="s">
        <v>1285</v>
      </c>
      <c r="M416">
        <v>0</v>
      </c>
      <c r="N416">
        <v>2018</v>
      </c>
      <c r="O416" t="s">
        <v>1046</v>
      </c>
      <c r="S416">
        <v>50</v>
      </c>
      <c r="T416">
        <v>0</v>
      </c>
      <c r="V416">
        <v>0</v>
      </c>
      <c r="W416" s="21">
        <v>0</v>
      </c>
      <c r="X416">
        <v>1600</v>
      </c>
      <c r="Y416" s="21">
        <v>0</v>
      </c>
    </row>
    <row r="417" spans="1:37" x14ac:dyDescent="0.25">
      <c r="A417">
        <f t="shared" si="6"/>
        <v>416</v>
      </c>
      <c r="C417">
        <v>3027</v>
      </c>
      <c r="D417" t="s">
        <v>550</v>
      </c>
      <c r="E417" t="s">
        <v>1467</v>
      </c>
      <c r="F417" t="s">
        <v>1468</v>
      </c>
      <c r="G417" t="s">
        <v>1285</v>
      </c>
      <c r="M417">
        <v>0</v>
      </c>
      <c r="N417">
        <v>2019</v>
      </c>
      <c r="O417" t="s">
        <v>1301</v>
      </c>
      <c r="S417">
        <v>100</v>
      </c>
      <c r="T417">
        <v>0</v>
      </c>
      <c r="V417">
        <v>0</v>
      </c>
      <c r="W417" s="21">
        <v>0</v>
      </c>
      <c r="X417">
        <v>14500</v>
      </c>
      <c r="Y417" s="21">
        <v>0</v>
      </c>
      <c r="AK417" t="s">
        <v>1293</v>
      </c>
    </row>
    <row r="418" spans="1:37" x14ac:dyDescent="0.25">
      <c r="A418">
        <f t="shared" si="6"/>
        <v>417</v>
      </c>
      <c r="C418">
        <v>3028</v>
      </c>
      <c r="D418" t="s">
        <v>550</v>
      </c>
      <c r="E418" t="s">
        <v>1469</v>
      </c>
      <c r="F418" t="s">
        <v>1470</v>
      </c>
      <c r="G418" t="s">
        <v>1285</v>
      </c>
      <c r="M418">
        <v>0</v>
      </c>
      <c r="N418">
        <v>2019</v>
      </c>
      <c r="O418" t="s">
        <v>1301</v>
      </c>
      <c r="S418">
        <v>96</v>
      </c>
      <c r="T418">
        <v>0</v>
      </c>
      <c r="V418">
        <v>0</v>
      </c>
      <c r="W418" s="21">
        <v>0</v>
      </c>
      <c r="X418">
        <v>0</v>
      </c>
      <c r="Y418" s="21">
        <v>0</v>
      </c>
    </row>
    <row r="419" spans="1:37" x14ac:dyDescent="0.25">
      <c r="A419">
        <f t="shared" si="6"/>
        <v>418</v>
      </c>
      <c r="C419">
        <v>3029</v>
      </c>
      <c r="D419" t="s">
        <v>574</v>
      </c>
      <c r="E419" t="s">
        <v>622</v>
      </c>
      <c r="F419" t="s">
        <v>1085</v>
      </c>
      <c r="G419" t="s">
        <v>1285</v>
      </c>
      <c r="M419">
        <v>0</v>
      </c>
      <c r="N419">
        <v>2023</v>
      </c>
      <c r="O419" t="s">
        <v>1295</v>
      </c>
      <c r="S419">
        <v>470</v>
      </c>
      <c r="T419">
        <v>0</v>
      </c>
      <c r="V419">
        <v>0</v>
      </c>
      <c r="W419" s="21">
        <v>0</v>
      </c>
      <c r="X419">
        <v>27000</v>
      </c>
      <c r="Y419" s="21">
        <v>0</v>
      </c>
      <c r="AK419" t="s">
        <v>1263</v>
      </c>
    </row>
    <row r="420" spans="1:37" x14ac:dyDescent="0.25">
      <c r="A420">
        <f t="shared" si="6"/>
        <v>419</v>
      </c>
      <c r="C420">
        <v>3030</v>
      </c>
      <c r="D420" t="s">
        <v>550</v>
      </c>
      <c r="E420" t="s">
        <v>627</v>
      </c>
      <c r="F420" t="s">
        <v>1132</v>
      </c>
      <c r="G420" t="s">
        <v>1285</v>
      </c>
      <c r="M420">
        <v>0</v>
      </c>
      <c r="N420">
        <v>2019</v>
      </c>
      <c r="O420" t="s">
        <v>1295</v>
      </c>
      <c r="S420">
        <v>3060</v>
      </c>
      <c r="T420">
        <v>0</v>
      </c>
      <c r="V420">
        <v>0</v>
      </c>
      <c r="W420" s="21">
        <v>0</v>
      </c>
      <c r="X420">
        <v>26530</v>
      </c>
      <c r="Y420" s="21">
        <v>0</v>
      </c>
    </row>
    <row r="421" spans="1:37" x14ac:dyDescent="0.25">
      <c r="A421">
        <f t="shared" si="6"/>
        <v>420</v>
      </c>
      <c r="C421">
        <v>3031</v>
      </c>
      <c r="D421" t="s">
        <v>550</v>
      </c>
      <c r="E421" t="s">
        <v>1471</v>
      </c>
      <c r="F421" t="s">
        <v>1148</v>
      </c>
      <c r="G421" t="s">
        <v>1285</v>
      </c>
      <c r="M421">
        <v>0</v>
      </c>
      <c r="N421">
        <v>2019</v>
      </c>
      <c r="O421" t="s">
        <v>1301</v>
      </c>
      <c r="Q421" t="s">
        <v>1104</v>
      </c>
      <c r="S421">
        <v>500</v>
      </c>
      <c r="T421">
        <v>0</v>
      </c>
      <c r="V421">
        <v>0</v>
      </c>
      <c r="W421" s="21">
        <v>0</v>
      </c>
      <c r="X421">
        <v>360400</v>
      </c>
      <c r="Y421" s="21">
        <v>0</v>
      </c>
    </row>
    <row r="422" spans="1:37" x14ac:dyDescent="0.25">
      <c r="A422">
        <f t="shared" si="6"/>
        <v>421</v>
      </c>
      <c r="C422">
        <v>3032</v>
      </c>
      <c r="D422" t="s">
        <v>631</v>
      </c>
      <c r="E422" t="s">
        <v>632</v>
      </c>
      <c r="F422" t="s">
        <v>1133</v>
      </c>
      <c r="G422" t="s">
        <v>1285</v>
      </c>
      <c r="M422">
        <v>0</v>
      </c>
      <c r="N422">
        <v>2021</v>
      </c>
      <c r="O422" t="s">
        <v>1063</v>
      </c>
      <c r="S422">
        <v>710</v>
      </c>
      <c r="T422">
        <v>0</v>
      </c>
      <c r="V422">
        <v>0</v>
      </c>
      <c r="W422" s="21">
        <v>0</v>
      </c>
      <c r="X422">
        <v>9140</v>
      </c>
      <c r="Y422" s="21">
        <v>0</v>
      </c>
      <c r="AK422" t="s">
        <v>1264</v>
      </c>
    </row>
    <row r="423" spans="1:37" x14ac:dyDescent="0.25">
      <c r="A423">
        <f t="shared" si="6"/>
        <v>422</v>
      </c>
      <c r="C423">
        <v>3034</v>
      </c>
      <c r="D423" t="s">
        <v>550</v>
      </c>
      <c r="E423" t="s">
        <v>1472</v>
      </c>
      <c r="F423" t="s">
        <v>1473</v>
      </c>
      <c r="G423" t="s">
        <v>1285</v>
      </c>
      <c r="M423">
        <v>0</v>
      </c>
      <c r="N423">
        <v>2019</v>
      </c>
      <c r="O423" t="s">
        <v>1295</v>
      </c>
      <c r="S423">
        <v>75</v>
      </c>
      <c r="T423">
        <v>0</v>
      </c>
      <c r="V423">
        <v>0</v>
      </c>
      <c r="W423" s="21">
        <v>0</v>
      </c>
      <c r="X423">
        <v>0</v>
      </c>
      <c r="Y423" s="21">
        <v>0</v>
      </c>
    </row>
    <row r="424" spans="1:37" x14ac:dyDescent="0.25">
      <c r="A424">
        <f t="shared" si="6"/>
        <v>423</v>
      </c>
      <c r="C424">
        <v>3035</v>
      </c>
      <c r="D424" t="s">
        <v>550</v>
      </c>
      <c r="E424" t="s">
        <v>1474</v>
      </c>
      <c r="F424" t="s">
        <v>1141</v>
      </c>
      <c r="G424" t="s">
        <v>1285</v>
      </c>
      <c r="M424">
        <v>0</v>
      </c>
      <c r="N424">
        <v>2019</v>
      </c>
      <c r="O424" t="s">
        <v>1063</v>
      </c>
      <c r="S424">
        <v>0</v>
      </c>
      <c r="T424">
        <v>0</v>
      </c>
      <c r="V424">
        <v>0</v>
      </c>
      <c r="W424" s="21">
        <v>0</v>
      </c>
      <c r="Y424" s="21">
        <v>0</v>
      </c>
      <c r="AK424" t="s">
        <v>1293</v>
      </c>
    </row>
    <row r="425" spans="1:37" x14ac:dyDescent="0.25">
      <c r="A425">
        <f t="shared" si="6"/>
        <v>424</v>
      </c>
      <c r="C425">
        <v>3036</v>
      </c>
      <c r="D425" t="s">
        <v>550</v>
      </c>
      <c r="E425" t="s">
        <v>1475</v>
      </c>
      <c r="F425" t="s">
        <v>1105</v>
      </c>
      <c r="G425" t="s">
        <v>1285</v>
      </c>
      <c r="M425">
        <v>0</v>
      </c>
      <c r="N425">
        <v>2019</v>
      </c>
      <c r="O425" t="s">
        <v>1301</v>
      </c>
      <c r="S425">
        <v>140</v>
      </c>
      <c r="T425">
        <v>0</v>
      </c>
      <c r="V425">
        <v>0</v>
      </c>
      <c r="W425" s="21">
        <v>0</v>
      </c>
      <c r="X425">
        <v>20750</v>
      </c>
      <c r="Y425" s="21">
        <v>0</v>
      </c>
    </row>
    <row r="426" spans="1:37" x14ac:dyDescent="0.25">
      <c r="A426">
        <f t="shared" si="6"/>
        <v>425</v>
      </c>
      <c r="C426">
        <v>3037</v>
      </c>
      <c r="D426" t="s">
        <v>550</v>
      </c>
      <c r="E426" t="s">
        <v>636</v>
      </c>
      <c r="F426" t="s">
        <v>1085</v>
      </c>
      <c r="G426" t="s">
        <v>1285</v>
      </c>
      <c r="M426">
        <v>0</v>
      </c>
      <c r="N426">
        <v>2019</v>
      </c>
      <c r="O426" t="s">
        <v>1046</v>
      </c>
      <c r="S426">
        <v>11812</v>
      </c>
      <c r="T426">
        <v>0</v>
      </c>
      <c r="V426">
        <v>0</v>
      </c>
      <c r="W426" s="21">
        <v>0</v>
      </c>
      <c r="X426">
        <v>1637473</v>
      </c>
      <c r="Y426" s="21">
        <v>0</v>
      </c>
    </row>
    <row r="427" spans="1:37" x14ac:dyDescent="0.25">
      <c r="A427">
        <f t="shared" si="6"/>
        <v>426</v>
      </c>
      <c r="C427">
        <v>3038</v>
      </c>
      <c r="D427" t="s">
        <v>550</v>
      </c>
      <c r="E427" t="s">
        <v>640</v>
      </c>
      <c r="F427" t="s">
        <v>1085</v>
      </c>
      <c r="G427" t="s">
        <v>1285</v>
      </c>
      <c r="M427">
        <v>0</v>
      </c>
      <c r="N427">
        <v>2019</v>
      </c>
      <c r="O427" t="s">
        <v>1063</v>
      </c>
      <c r="S427">
        <v>40</v>
      </c>
      <c r="T427">
        <v>0</v>
      </c>
      <c r="V427">
        <v>0</v>
      </c>
      <c r="W427" s="21">
        <v>0</v>
      </c>
      <c r="X427">
        <v>0</v>
      </c>
      <c r="Y427" s="21">
        <v>0</v>
      </c>
    </row>
    <row r="428" spans="1:37" x14ac:dyDescent="0.25">
      <c r="A428">
        <f t="shared" si="6"/>
        <v>427</v>
      </c>
      <c r="C428">
        <v>3040</v>
      </c>
      <c r="D428" t="s">
        <v>550</v>
      </c>
      <c r="F428" t="s">
        <v>1476</v>
      </c>
      <c r="G428" t="s">
        <v>1285</v>
      </c>
      <c r="M428">
        <v>0</v>
      </c>
      <c r="N428">
        <v>2019</v>
      </c>
      <c r="O428" t="s">
        <v>1295</v>
      </c>
      <c r="S428">
        <v>110</v>
      </c>
      <c r="T428">
        <v>0</v>
      </c>
      <c r="V428">
        <v>0</v>
      </c>
      <c r="W428" s="21">
        <v>0</v>
      </c>
      <c r="X428">
        <v>35700</v>
      </c>
      <c r="Y428" s="21">
        <v>0</v>
      </c>
    </row>
    <row r="429" spans="1:37" x14ac:dyDescent="0.25">
      <c r="A429">
        <f t="shared" si="6"/>
        <v>428</v>
      </c>
      <c r="C429">
        <v>3041</v>
      </c>
      <c r="D429" t="s">
        <v>643</v>
      </c>
      <c r="E429" t="s">
        <v>644</v>
      </c>
      <c r="F429" t="s">
        <v>1134</v>
      </c>
      <c r="G429" t="s">
        <v>1285</v>
      </c>
      <c r="M429">
        <v>0</v>
      </c>
      <c r="N429">
        <v>2019</v>
      </c>
      <c r="O429" t="s">
        <v>1088</v>
      </c>
      <c r="S429">
        <v>0</v>
      </c>
      <c r="T429">
        <v>0</v>
      </c>
      <c r="V429">
        <v>0</v>
      </c>
      <c r="W429" s="21">
        <v>0</v>
      </c>
      <c r="X429">
        <v>0</v>
      </c>
      <c r="Y429" s="21">
        <v>0</v>
      </c>
    </row>
    <row r="430" spans="1:37" x14ac:dyDescent="0.25">
      <c r="A430">
        <f t="shared" si="6"/>
        <v>429</v>
      </c>
      <c r="C430">
        <v>3042</v>
      </c>
      <c r="D430" t="s">
        <v>647</v>
      </c>
      <c r="E430" t="s">
        <v>648</v>
      </c>
      <c r="F430" t="s">
        <v>1100</v>
      </c>
      <c r="G430" t="s">
        <v>1285</v>
      </c>
      <c r="M430">
        <v>0</v>
      </c>
      <c r="N430">
        <v>2020</v>
      </c>
      <c r="O430" t="s">
        <v>1063</v>
      </c>
      <c r="S430">
        <v>0</v>
      </c>
      <c r="T430">
        <v>0</v>
      </c>
      <c r="V430">
        <v>0</v>
      </c>
      <c r="W430" s="21">
        <v>0</v>
      </c>
      <c r="X430">
        <v>0</v>
      </c>
      <c r="Y430" s="21">
        <v>0</v>
      </c>
      <c r="AK430" t="s">
        <v>1265</v>
      </c>
    </row>
    <row r="431" spans="1:37" x14ac:dyDescent="0.25">
      <c r="A431">
        <f t="shared" si="6"/>
        <v>430</v>
      </c>
      <c r="C431">
        <v>3043</v>
      </c>
      <c r="D431" t="s">
        <v>652</v>
      </c>
      <c r="E431" t="s">
        <v>653</v>
      </c>
      <c r="F431" t="s">
        <v>1135</v>
      </c>
      <c r="G431" t="s">
        <v>1285</v>
      </c>
      <c r="M431">
        <v>0</v>
      </c>
      <c r="N431">
        <v>2019</v>
      </c>
      <c r="O431" t="s">
        <v>1063</v>
      </c>
      <c r="S431">
        <v>0</v>
      </c>
      <c r="T431">
        <v>0</v>
      </c>
      <c r="V431">
        <v>0</v>
      </c>
      <c r="W431" s="21">
        <v>0</v>
      </c>
      <c r="X431">
        <v>11425</v>
      </c>
      <c r="Y431" s="21">
        <v>0</v>
      </c>
    </row>
    <row r="432" spans="1:37" x14ac:dyDescent="0.25">
      <c r="A432">
        <f t="shared" si="6"/>
        <v>431</v>
      </c>
      <c r="C432">
        <v>3045</v>
      </c>
      <c r="D432" t="s">
        <v>657</v>
      </c>
      <c r="E432" t="s">
        <v>658</v>
      </c>
      <c r="F432" t="s">
        <v>1136</v>
      </c>
      <c r="G432" t="s">
        <v>1285</v>
      </c>
      <c r="M432">
        <v>0</v>
      </c>
      <c r="N432">
        <v>2019</v>
      </c>
      <c r="S432">
        <v>0</v>
      </c>
      <c r="T432">
        <v>0</v>
      </c>
      <c r="V432">
        <v>0</v>
      </c>
      <c r="W432" s="21">
        <v>0</v>
      </c>
      <c r="X432">
        <v>0</v>
      </c>
      <c r="Y432" s="21">
        <v>0</v>
      </c>
    </row>
    <row r="433" spans="1:37" x14ac:dyDescent="0.25">
      <c r="A433">
        <f t="shared" si="6"/>
        <v>432</v>
      </c>
      <c r="C433">
        <v>3046</v>
      </c>
      <c r="D433" t="s">
        <v>298</v>
      </c>
      <c r="E433" t="s">
        <v>662</v>
      </c>
      <c r="F433" t="s">
        <v>1137</v>
      </c>
      <c r="G433" t="s">
        <v>1285</v>
      </c>
      <c r="M433">
        <v>0</v>
      </c>
      <c r="N433">
        <v>2019</v>
      </c>
      <c r="O433" t="s">
        <v>1088</v>
      </c>
      <c r="S433">
        <v>0</v>
      </c>
      <c r="T433">
        <v>0</v>
      </c>
      <c r="V433">
        <v>0</v>
      </c>
      <c r="W433" s="21">
        <v>0</v>
      </c>
      <c r="X433">
        <v>243600</v>
      </c>
      <c r="Y433" s="21">
        <v>0</v>
      </c>
    </row>
    <row r="434" spans="1:37" x14ac:dyDescent="0.25">
      <c r="A434">
        <f t="shared" si="6"/>
        <v>433</v>
      </c>
      <c r="C434">
        <v>3047</v>
      </c>
      <c r="D434" t="s">
        <v>665</v>
      </c>
      <c r="E434" t="s">
        <v>666</v>
      </c>
      <c r="F434" t="s">
        <v>1134</v>
      </c>
      <c r="G434" t="s">
        <v>1285</v>
      </c>
      <c r="M434">
        <v>0</v>
      </c>
      <c r="N434">
        <v>2020</v>
      </c>
      <c r="O434" t="s">
        <v>1088</v>
      </c>
      <c r="S434">
        <v>0</v>
      </c>
      <c r="T434">
        <v>0</v>
      </c>
      <c r="V434">
        <v>0</v>
      </c>
      <c r="W434" s="21">
        <v>0</v>
      </c>
      <c r="X434">
        <v>17000</v>
      </c>
      <c r="Y434" s="21">
        <v>0</v>
      </c>
      <c r="AK434" t="s">
        <v>1266</v>
      </c>
    </row>
    <row r="435" spans="1:37" x14ac:dyDescent="0.25">
      <c r="A435">
        <f t="shared" si="6"/>
        <v>434</v>
      </c>
      <c r="C435">
        <v>3048</v>
      </c>
      <c r="D435" t="s">
        <v>1477</v>
      </c>
      <c r="E435" t="s">
        <v>1478</v>
      </c>
      <c r="F435" t="s">
        <v>1085</v>
      </c>
      <c r="G435" t="s">
        <v>1285</v>
      </c>
      <c r="M435">
        <v>0</v>
      </c>
      <c r="N435">
        <v>2019</v>
      </c>
      <c r="O435" t="s">
        <v>1063</v>
      </c>
      <c r="S435">
        <v>0</v>
      </c>
      <c r="T435">
        <v>0</v>
      </c>
      <c r="V435">
        <v>170000</v>
      </c>
      <c r="W435" s="21">
        <v>0</v>
      </c>
      <c r="X435">
        <v>40000</v>
      </c>
      <c r="Y435" s="21">
        <v>0</v>
      </c>
    </row>
    <row r="436" spans="1:37" x14ac:dyDescent="0.25">
      <c r="A436">
        <f t="shared" si="6"/>
        <v>435</v>
      </c>
      <c r="C436">
        <v>3049</v>
      </c>
      <c r="D436" t="s">
        <v>1479</v>
      </c>
      <c r="E436" t="s">
        <v>1480</v>
      </c>
      <c r="F436" t="s">
        <v>1481</v>
      </c>
      <c r="G436" t="s">
        <v>1285</v>
      </c>
      <c r="M436">
        <v>0</v>
      </c>
      <c r="N436">
        <v>2019</v>
      </c>
      <c r="O436" t="s">
        <v>1301</v>
      </c>
      <c r="S436">
        <v>0</v>
      </c>
      <c r="T436">
        <v>0</v>
      </c>
      <c r="V436">
        <v>0</v>
      </c>
      <c r="W436" s="21">
        <v>0</v>
      </c>
      <c r="X436">
        <v>50000</v>
      </c>
      <c r="Y436" s="21">
        <v>0</v>
      </c>
    </row>
    <row r="437" spans="1:37" x14ac:dyDescent="0.25">
      <c r="A437">
        <f t="shared" si="6"/>
        <v>436</v>
      </c>
      <c r="C437">
        <v>3050</v>
      </c>
      <c r="D437" t="s">
        <v>669</v>
      </c>
      <c r="E437" t="s">
        <v>670</v>
      </c>
      <c r="F437" t="s">
        <v>1134</v>
      </c>
      <c r="G437" t="s">
        <v>1285</v>
      </c>
      <c r="H437" t="s">
        <v>1138</v>
      </c>
      <c r="I437" t="s">
        <v>350</v>
      </c>
      <c r="J437" t="s">
        <v>1139</v>
      </c>
      <c r="K437" t="s">
        <v>1140</v>
      </c>
      <c r="M437">
        <v>0</v>
      </c>
      <c r="N437">
        <v>2022</v>
      </c>
      <c r="O437" t="s">
        <v>1088</v>
      </c>
      <c r="S437">
        <v>625</v>
      </c>
      <c r="T437">
        <v>0</v>
      </c>
      <c r="V437">
        <v>0</v>
      </c>
      <c r="W437" s="21">
        <v>0</v>
      </c>
      <c r="X437">
        <v>1289235</v>
      </c>
      <c r="Y437" s="21">
        <v>0</v>
      </c>
      <c r="AK437" t="s">
        <v>1267</v>
      </c>
    </row>
    <row r="438" spans="1:37" x14ac:dyDescent="0.25">
      <c r="A438">
        <f t="shared" si="6"/>
        <v>437</v>
      </c>
      <c r="C438">
        <v>3050</v>
      </c>
      <c r="D438" t="s">
        <v>192</v>
      </c>
      <c r="E438" t="s">
        <v>670</v>
      </c>
      <c r="F438" t="s">
        <v>1085</v>
      </c>
      <c r="G438" t="s">
        <v>1285</v>
      </c>
      <c r="H438" t="s">
        <v>1482</v>
      </c>
      <c r="I438" t="s">
        <v>205</v>
      </c>
      <c r="J438" t="s">
        <v>1483</v>
      </c>
      <c r="K438" t="s">
        <v>1484</v>
      </c>
      <c r="M438">
        <v>0</v>
      </c>
      <c r="N438">
        <v>2021</v>
      </c>
      <c r="S438">
        <v>632</v>
      </c>
      <c r="T438">
        <v>0</v>
      </c>
      <c r="V438">
        <v>0</v>
      </c>
      <c r="W438" s="21">
        <v>0</v>
      </c>
      <c r="X438">
        <v>246721</v>
      </c>
      <c r="Y438" s="21">
        <v>0</v>
      </c>
    </row>
    <row r="439" spans="1:37" x14ac:dyDescent="0.25">
      <c r="A439">
        <f t="shared" si="6"/>
        <v>438</v>
      </c>
      <c r="C439">
        <v>3050</v>
      </c>
      <c r="D439" t="s">
        <v>1485</v>
      </c>
      <c r="E439" t="s">
        <v>670</v>
      </c>
      <c r="F439" t="s">
        <v>1486</v>
      </c>
      <c r="G439" t="s">
        <v>1285</v>
      </c>
      <c r="H439" t="s">
        <v>1487</v>
      </c>
      <c r="I439" t="s">
        <v>1488</v>
      </c>
      <c r="J439" t="s">
        <v>593</v>
      </c>
      <c r="K439" t="s">
        <v>1154</v>
      </c>
      <c r="M439">
        <v>0</v>
      </c>
      <c r="N439">
        <v>2021</v>
      </c>
      <c r="O439" t="s">
        <v>1088</v>
      </c>
      <c r="Q439" t="s">
        <v>1114</v>
      </c>
      <c r="S439">
        <v>0</v>
      </c>
      <c r="T439">
        <v>0</v>
      </c>
      <c r="V439">
        <v>0</v>
      </c>
      <c r="W439" s="21">
        <v>0</v>
      </c>
      <c r="X439">
        <v>0</v>
      </c>
      <c r="Y439" s="21">
        <v>0</v>
      </c>
      <c r="AK439" t="s">
        <v>1489</v>
      </c>
    </row>
    <row r="440" spans="1:37" x14ac:dyDescent="0.25">
      <c r="A440">
        <f t="shared" si="6"/>
        <v>439</v>
      </c>
      <c r="C440">
        <v>3050</v>
      </c>
      <c r="D440" t="s">
        <v>1490</v>
      </c>
      <c r="E440" t="s">
        <v>1491</v>
      </c>
      <c r="F440" t="s">
        <v>1492</v>
      </c>
      <c r="G440" t="s">
        <v>1285</v>
      </c>
      <c r="H440" t="s">
        <v>1138</v>
      </c>
      <c r="I440" t="s">
        <v>1493</v>
      </c>
      <c r="J440" t="s">
        <v>1494</v>
      </c>
      <c r="K440" t="s">
        <v>1082</v>
      </c>
      <c r="M440">
        <v>0</v>
      </c>
      <c r="N440">
        <v>2022</v>
      </c>
      <c r="O440" t="s">
        <v>1088</v>
      </c>
      <c r="S440">
        <v>0</v>
      </c>
      <c r="T440">
        <v>0</v>
      </c>
      <c r="V440">
        <v>0</v>
      </c>
      <c r="W440" s="21">
        <v>0</v>
      </c>
      <c r="X440">
        <v>0</v>
      </c>
      <c r="Y440" s="21">
        <v>0</v>
      </c>
    </row>
    <row r="441" spans="1:37" x14ac:dyDescent="0.25">
      <c r="A441">
        <f t="shared" si="6"/>
        <v>440</v>
      </c>
      <c r="C441">
        <v>3052</v>
      </c>
      <c r="D441" t="s">
        <v>298</v>
      </c>
      <c r="E441" t="s">
        <v>1495</v>
      </c>
      <c r="F441" t="s">
        <v>1078</v>
      </c>
      <c r="G441" t="s">
        <v>1285</v>
      </c>
      <c r="M441">
        <v>0</v>
      </c>
      <c r="N441">
        <v>2019</v>
      </c>
      <c r="O441" t="s">
        <v>1063</v>
      </c>
      <c r="S441">
        <v>0</v>
      </c>
      <c r="T441">
        <v>0</v>
      </c>
      <c r="V441">
        <v>0</v>
      </c>
      <c r="W441" s="21">
        <v>0</v>
      </c>
      <c r="X441">
        <v>28000</v>
      </c>
      <c r="Y441" s="21">
        <v>0</v>
      </c>
    </row>
    <row r="442" spans="1:37" x14ac:dyDescent="0.25">
      <c r="A442">
        <f t="shared" si="6"/>
        <v>441</v>
      </c>
      <c r="C442">
        <v>3053</v>
      </c>
      <c r="D442" t="s">
        <v>298</v>
      </c>
      <c r="E442" t="s">
        <v>1496</v>
      </c>
      <c r="F442" t="s">
        <v>1497</v>
      </c>
      <c r="G442" t="s">
        <v>1285</v>
      </c>
      <c r="M442">
        <v>0</v>
      </c>
      <c r="N442">
        <v>2020</v>
      </c>
      <c r="O442" t="s">
        <v>1295</v>
      </c>
      <c r="S442">
        <v>0</v>
      </c>
      <c r="T442">
        <v>0</v>
      </c>
      <c r="V442">
        <v>0</v>
      </c>
      <c r="W442" s="21">
        <v>0</v>
      </c>
      <c r="X442">
        <v>34000</v>
      </c>
      <c r="Y442" s="21">
        <v>0</v>
      </c>
    </row>
    <row r="443" spans="1:37" x14ac:dyDescent="0.25">
      <c r="A443">
        <f t="shared" si="6"/>
        <v>442</v>
      </c>
      <c r="C443">
        <v>3054</v>
      </c>
      <c r="D443" t="s">
        <v>1498</v>
      </c>
      <c r="E443" t="s">
        <v>1499</v>
      </c>
      <c r="F443" t="s">
        <v>1085</v>
      </c>
      <c r="G443" t="s">
        <v>1285</v>
      </c>
      <c r="M443">
        <v>0</v>
      </c>
      <c r="N443">
        <v>2019</v>
      </c>
      <c r="S443">
        <v>0</v>
      </c>
      <c r="T443">
        <v>0</v>
      </c>
      <c r="V443">
        <v>0</v>
      </c>
      <c r="W443" s="21">
        <v>0</v>
      </c>
      <c r="X443">
        <v>3000</v>
      </c>
      <c r="Y443" s="21">
        <v>0</v>
      </c>
    </row>
    <row r="444" spans="1:37" x14ac:dyDescent="0.25">
      <c r="A444">
        <f t="shared" si="6"/>
        <v>443</v>
      </c>
      <c r="C444">
        <v>3054</v>
      </c>
      <c r="D444" t="s">
        <v>674</v>
      </c>
      <c r="E444" t="s">
        <v>675</v>
      </c>
      <c r="F444" t="s">
        <v>1085</v>
      </c>
      <c r="G444" t="s">
        <v>1285</v>
      </c>
      <c r="M444">
        <v>0</v>
      </c>
      <c r="N444">
        <v>2022</v>
      </c>
      <c r="S444">
        <v>0</v>
      </c>
      <c r="T444">
        <v>0</v>
      </c>
      <c r="V444">
        <v>0</v>
      </c>
      <c r="W444" s="21">
        <v>0</v>
      </c>
      <c r="X444">
        <v>6000</v>
      </c>
      <c r="Y444" s="21">
        <v>0</v>
      </c>
    </row>
    <row r="445" spans="1:37" x14ac:dyDescent="0.25">
      <c r="A445">
        <f t="shared" si="6"/>
        <v>444</v>
      </c>
      <c r="C445">
        <v>3055</v>
      </c>
      <c r="D445" t="s">
        <v>679</v>
      </c>
      <c r="E445" t="s">
        <v>680</v>
      </c>
      <c r="F445" t="s">
        <v>1085</v>
      </c>
      <c r="G445" t="s">
        <v>1285</v>
      </c>
      <c r="M445">
        <v>0</v>
      </c>
      <c r="N445">
        <v>2020</v>
      </c>
      <c r="O445" t="s">
        <v>1046</v>
      </c>
      <c r="S445">
        <v>1193</v>
      </c>
      <c r="T445">
        <v>0</v>
      </c>
      <c r="V445">
        <v>0</v>
      </c>
      <c r="W445" s="21">
        <v>0</v>
      </c>
      <c r="X445">
        <v>0</v>
      </c>
      <c r="Y445" s="21">
        <v>0</v>
      </c>
    </row>
    <row r="446" spans="1:37" x14ac:dyDescent="0.25">
      <c r="A446">
        <f t="shared" si="6"/>
        <v>445</v>
      </c>
      <c r="C446">
        <v>3057</v>
      </c>
      <c r="D446" t="s">
        <v>682</v>
      </c>
      <c r="E446" t="s">
        <v>683</v>
      </c>
      <c r="F446" t="s">
        <v>1085</v>
      </c>
      <c r="G446" t="s">
        <v>1285</v>
      </c>
      <c r="M446">
        <v>0</v>
      </c>
      <c r="N446">
        <v>2020</v>
      </c>
      <c r="S446">
        <v>0</v>
      </c>
      <c r="T446">
        <v>0</v>
      </c>
      <c r="V446">
        <v>0</v>
      </c>
      <c r="W446" s="21">
        <v>0</v>
      </c>
      <c r="X446">
        <v>0</v>
      </c>
      <c r="Y446" s="21">
        <v>0</v>
      </c>
    </row>
    <row r="447" spans="1:37" x14ac:dyDescent="0.25">
      <c r="A447">
        <f t="shared" si="6"/>
        <v>446</v>
      </c>
      <c r="C447">
        <v>3058</v>
      </c>
      <c r="D447" t="s">
        <v>685</v>
      </c>
      <c r="E447" t="s">
        <v>686</v>
      </c>
      <c r="F447" t="s">
        <v>1085</v>
      </c>
      <c r="G447" t="s">
        <v>1285</v>
      </c>
      <c r="M447">
        <v>0</v>
      </c>
      <c r="N447">
        <v>2021</v>
      </c>
      <c r="S447">
        <v>4388</v>
      </c>
      <c r="T447">
        <v>0</v>
      </c>
      <c r="V447">
        <v>0</v>
      </c>
      <c r="W447" s="21">
        <v>0</v>
      </c>
      <c r="X447">
        <v>170000</v>
      </c>
      <c r="Y447" s="21">
        <v>0</v>
      </c>
      <c r="AK447" t="s">
        <v>1268</v>
      </c>
    </row>
    <row r="448" spans="1:37" x14ac:dyDescent="0.25">
      <c r="A448">
        <f t="shared" si="6"/>
        <v>447</v>
      </c>
      <c r="C448">
        <v>3059</v>
      </c>
      <c r="D448" t="s">
        <v>688</v>
      </c>
      <c r="E448" t="s">
        <v>689</v>
      </c>
      <c r="F448" t="s">
        <v>1141</v>
      </c>
      <c r="G448" t="s">
        <v>1285</v>
      </c>
      <c r="M448">
        <v>2019</v>
      </c>
      <c r="N448">
        <v>2020</v>
      </c>
      <c r="O448" t="s">
        <v>1063</v>
      </c>
      <c r="S448">
        <v>420</v>
      </c>
      <c r="T448">
        <v>0</v>
      </c>
      <c r="V448">
        <v>0</v>
      </c>
      <c r="W448" s="21">
        <v>0</v>
      </c>
      <c r="X448">
        <v>12490</v>
      </c>
      <c r="Y448" s="21">
        <v>0</v>
      </c>
      <c r="AK448" t="s">
        <v>1293</v>
      </c>
    </row>
    <row r="449" spans="1:37" x14ac:dyDescent="0.25">
      <c r="A449">
        <f t="shared" si="6"/>
        <v>448</v>
      </c>
      <c r="C449">
        <v>3060</v>
      </c>
      <c r="D449" t="s">
        <v>1500</v>
      </c>
      <c r="E449" t="s">
        <v>1501</v>
      </c>
      <c r="F449" t="s">
        <v>1085</v>
      </c>
      <c r="G449" t="s">
        <v>1285</v>
      </c>
      <c r="M449">
        <v>0</v>
      </c>
      <c r="N449">
        <v>2021</v>
      </c>
      <c r="S449">
        <v>0</v>
      </c>
      <c r="T449">
        <v>0</v>
      </c>
      <c r="V449">
        <v>0</v>
      </c>
      <c r="W449" s="21">
        <v>0</v>
      </c>
      <c r="X449">
        <v>0</v>
      </c>
      <c r="Y449" s="21">
        <v>0</v>
      </c>
      <c r="AK449" t="s">
        <v>1502</v>
      </c>
    </row>
    <row r="450" spans="1:37" x14ac:dyDescent="0.25">
      <c r="A450">
        <f t="shared" ref="A450:A513" si="7">ROW(A450)-1</f>
        <v>449</v>
      </c>
      <c r="C450">
        <v>3061</v>
      </c>
      <c r="D450" t="s">
        <v>692</v>
      </c>
      <c r="E450" t="s">
        <v>693</v>
      </c>
      <c r="F450" t="s">
        <v>1141</v>
      </c>
      <c r="G450" t="s">
        <v>1285</v>
      </c>
      <c r="M450">
        <v>2019</v>
      </c>
      <c r="N450">
        <v>2020</v>
      </c>
      <c r="O450" t="s">
        <v>1063</v>
      </c>
      <c r="S450">
        <v>0</v>
      </c>
      <c r="T450">
        <v>0</v>
      </c>
      <c r="V450">
        <v>0</v>
      </c>
      <c r="W450" s="21">
        <v>0</v>
      </c>
      <c r="X450">
        <v>27200</v>
      </c>
      <c r="Y450" s="21">
        <v>0</v>
      </c>
      <c r="AK450" t="s">
        <v>1293</v>
      </c>
    </row>
    <row r="451" spans="1:37" x14ac:dyDescent="0.25">
      <c r="A451">
        <f t="shared" si="7"/>
        <v>450</v>
      </c>
      <c r="C451">
        <v>3062</v>
      </c>
      <c r="D451" t="s">
        <v>697</v>
      </c>
      <c r="E451" t="s">
        <v>698</v>
      </c>
      <c r="G451" t="s">
        <v>1285</v>
      </c>
      <c r="M451">
        <v>0</v>
      </c>
      <c r="N451">
        <v>2020</v>
      </c>
      <c r="S451">
        <v>0</v>
      </c>
      <c r="T451">
        <v>0</v>
      </c>
      <c r="V451">
        <v>0</v>
      </c>
      <c r="W451" s="21">
        <v>0</v>
      </c>
      <c r="X451">
        <v>0</v>
      </c>
      <c r="Y451" s="21">
        <v>0</v>
      </c>
    </row>
    <row r="452" spans="1:37" x14ac:dyDescent="0.25">
      <c r="A452">
        <f t="shared" si="7"/>
        <v>451</v>
      </c>
      <c r="C452">
        <v>3063</v>
      </c>
      <c r="D452" t="s">
        <v>702</v>
      </c>
      <c r="E452" t="s">
        <v>703</v>
      </c>
      <c r="F452" t="s">
        <v>1142</v>
      </c>
      <c r="G452" t="s">
        <v>1285</v>
      </c>
      <c r="M452">
        <v>0</v>
      </c>
      <c r="N452">
        <v>2021</v>
      </c>
      <c r="O452" t="s">
        <v>1088</v>
      </c>
      <c r="S452">
        <v>4000</v>
      </c>
      <c r="T452">
        <v>0</v>
      </c>
      <c r="V452">
        <v>0</v>
      </c>
      <c r="W452" s="21">
        <v>0</v>
      </c>
      <c r="X452">
        <v>0</v>
      </c>
      <c r="Y452" s="21">
        <v>0</v>
      </c>
      <c r="AK452" t="s">
        <v>1269</v>
      </c>
    </row>
    <row r="453" spans="1:37" x14ac:dyDescent="0.25">
      <c r="A453">
        <f t="shared" si="7"/>
        <v>452</v>
      </c>
      <c r="C453">
        <v>3063</v>
      </c>
      <c r="D453" t="s">
        <v>1503</v>
      </c>
      <c r="E453" t="s">
        <v>1504</v>
      </c>
      <c r="G453" t="s">
        <v>1285</v>
      </c>
      <c r="H453" t="s">
        <v>1505</v>
      </c>
      <c r="I453" t="s">
        <v>706</v>
      </c>
      <c r="J453" t="s">
        <v>707</v>
      </c>
      <c r="K453" t="s">
        <v>1155</v>
      </c>
      <c r="M453">
        <v>0</v>
      </c>
      <c r="N453">
        <v>2021</v>
      </c>
      <c r="S453">
        <v>0</v>
      </c>
      <c r="T453">
        <v>0</v>
      </c>
      <c r="V453">
        <v>0</v>
      </c>
      <c r="W453" s="21">
        <v>0</v>
      </c>
      <c r="X453">
        <v>20000</v>
      </c>
      <c r="Y453" s="21">
        <v>0</v>
      </c>
    </row>
    <row r="454" spans="1:37" x14ac:dyDescent="0.25">
      <c r="A454">
        <f t="shared" si="7"/>
        <v>453</v>
      </c>
      <c r="C454">
        <v>3064</v>
      </c>
      <c r="D454" t="s">
        <v>708</v>
      </c>
      <c r="E454" t="s">
        <v>1506</v>
      </c>
      <c r="F454" t="s">
        <v>1085</v>
      </c>
      <c r="G454" t="s">
        <v>1285</v>
      </c>
      <c r="M454">
        <v>0</v>
      </c>
      <c r="N454">
        <v>2020</v>
      </c>
      <c r="O454" t="s">
        <v>1301</v>
      </c>
      <c r="S454">
        <v>348</v>
      </c>
      <c r="T454">
        <v>0</v>
      </c>
      <c r="V454">
        <v>0</v>
      </c>
      <c r="W454" s="21">
        <v>0</v>
      </c>
      <c r="X454">
        <v>0</v>
      </c>
      <c r="Y454" s="21">
        <v>0</v>
      </c>
    </row>
    <row r="455" spans="1:37" x14ac:dyDescent="0.25">
      <c r="A455">
        <f t="shared" si="7"/>
        <v>454</v>
      </c>
      <c r="C455">
        <v>3065</v>
      </c>
      <c r="D455" t="s">
        <v>192</v>
      </c>
      <c r="F455" t="s">
        <v>1085</v>
      </c>
      <c r="G455" t="s">
        <v>1285</v>
      </c>
      <c r="M455">
        <v>0</v>
      </c>
      <c r="N455">
        <v>2020</v>
      </c>
      <c r="O455" t="s">
        <v>1063</v>
      </c>
      <c r="S455">
        <v>240</v>
      </c>
      <c r="T455">
        <v>0</v>
      </c>
      <c r="V455">
        <v>0</v>
      </c>
      <c r="W455" s="21">
        <v>0</v>
      </c>
      <c r="X455">
        <v>0</v>
      </c>
      <c r="Y455" s="21">
        <v>0</v>
      </c>
    </row>
    <row r="456" spans="1:37" x14ac:dyDescent="0.25">
      <c r="A456">
        <f t="shared" si="7"/>
        <v>455</v>
      </c>
      <c r="C456">
        <v>3066</v>
      </c>
      <c r="D456" t="s">
        <v>550</v>
      </c>
      <c r="E456" t="s">
        <v>1507</v>
      </c>
      <c r="F456" t="s">
        <v>1481</v>
      </c>
      <c r="G456" t="s">
        <v>1285</v>
      </c>
      <c r="M456">
        <v>0</v>
      </c>
      <c r="N456">
        <v>2020</v>
      </c>
      <c r="O456" t="s">
        <v>1301</v>
      </c>
      <c r="S456">
        <v>120</v>
      </c>
      <c r="T456">
        <v>0</v>
      </c>
      <c r="V456">
        <v>0</v>
      </c>
      <c r="W456" s="21">
        <v>0</v>
      </c>
      <c r="X456">
        <v>0</v>
      </c>
      <c r="Y456" s="21">
        <v>0</v>
      </c>
    </row>
    <row r="457" spans="1:37" x14ac:dyDescent="0.25">
      <c r="A457">
        <f t="shared" si="7"/>
        <v>456</v>
      </c>
      <c r="C457">
        <v>3067</v>
      </c>
      <c r="D457" t="s">
        <v>708</v>
      </c>
      <c r="E457" t="s">
        <v>709</v>
      </c>
      <c r="F457" t="s">
        <v>1099</v>
      </c>
      <c r="G457" t="s">
        <v>1285</v>
      </c>
      <c r="M457">
        <v>0</v>
      </c>
      <c r="N457">
        <v>2020</v>
      </c>
      <c r="O457" t="s">
        <v>1063</v>
      </c>
      <c r="S457">
        <v>1240</v>
      </c>
      <c r="T457">
        <v>0</v>
      </c>
      <c r="V457">
        <v>0</v>
      </c>
      <c r="W457" s="21">
        <v>0</v>
      </c>
      <c r="X457">
        <v>0</v>
      </c>
      <c r="Y457" s="21">
        <v>0</v>
      </c>
    </row>
    <row r="458" spans="1:37" x14ac:dyDescent="0.25">
      <c r="A458">
        <f t="shared" si="7"/>
        <v>457</v>
      </c>
      <c r="C458">
        <v>3068</v>
      </c>
      <c r="D458" t="s">
        <v>708</v>
      </c>
      <c r="E458" t="s">
        <v>713</v>
      </c>
      <c r="F458" t="s">
        <v>1121</v>
      </c>
      <c r="G458" t="s">
        <v>1285</v>
      </c>
      <c r="M458">
        <v>0</v>
      </c>
      <c r="N458">
        <v>2020</v>
      </c>
      <c r="O458" t="s">
        <v>1301</v>
      </c>
      <c r="S458">
        <v>544</v>
      </c>
      <c r="T458">
        <v>0</v>
      </c>
      <c r="V458">
        <v>0</v>
      </c>
      <c r="W458" s="21">
        <v>0</v>
      </c>
      <c r="X458">
        <v>0</v>
      </c>
      <c r="Y458" s="21">
        <v>0</v>
      </c>
    </row>
    <row r="459" spans="1:37" x14ac:dyDescent="0.25">
      <c r="A459">
        <f t="shared" si="7"/>
        <v>458</v>
      </c>
      <c r="C459">
        <v>3070</v>
      </c>
      <c r="D459" t="s">
        <v>550</v>
      </c>
      <c r="E459" t="s">
        <v>715</v>
      </c>
      <c r="F459" t="s">
        <v>1085</v>
      </c>
      <c r="G459" t="s">
        <v>1285</v>
      </c>
      <c r="M459">
        <v>0</v>
      </c>
      <c r="N459">
        <v>2020</v>
      </c>
      <c r="O459" t="s">
        <v>1063</v>
      </c>
      <c r="S459">
        <v>1000</v>
      </c>
      <c r="T459">
        <v>0</v>
      </c>
      <c r="V459">
        <v>0</v>
      </c>
      <c r="W459" s="21">
        <v>0</v>
      </c>
      <c r="X459">
        <v>0</v>
      </c>
      <c r="Y459" s="21">
        <v>0</v>
      </c>
    </row>
    <row r="460" spans="1:37" x14ac:dyDescent="0.25">
      <c r="A460">
        <f t="shared" si="7"/>
        <v>459</v>
      </c>
      <c r="C460">
        <v>3071</v>
      </c>
      <c r="D460" t="s">
        <v>550</v>
      </c>
      <c r="E460" t="s">
        <v>717</v>
      </c>
      <c r="F460" t="s">
        <v>1091</v>
      </c>
      <c r="G460" t="s">
        <v>1285</v>
      </c>
      <c r="M460">
        <v>0</v>
      </c>
      <c r="N460">
        <v>2020</v>
      </c>
      <c r="O460" t="s">
        <v>1301</v>
      </c>
      <c r="S460">
        <v>333</v>
      </c>
      <c r="T460">
        <v>0</v>
      </c>
      <c r="V460">
        <v>0</v>
      </c>
      <c r="W460" s="21">
        <v>0</v>
      </c>
      <c r="X460">
        <v>0</v>
      </c>
      <c r="Y460" s="21">
        <v>0</v>
      </c>
    </row>
    <row r="461" spans="1:37" x14ac:dyDescent="0.25">
      <c r="A461">
        <f t="shared" si="7"/>
        <v>460</v>
      </c>
      <c r="C461">
        <v>3072</v>
      </c>
      <c r="D461" t="s">
        <v>1508</v>
      </c>
      <c r="E461" t="s">
        <v>587</v>
      </c>
      <c r="F461" t="s">
        <v>1473</v>
      </c>
      <c r="G461" t="s">
        <v>1285</v>
      </c>
      <c r="M461">
        <v>0</v>
      </c>
      <c r="N461">
        <v>2021</v>
      </c>
      <c r="O461" t="s">
        <v>1295</v>
      </c>
      <c r="S461">
        <v>900</v>
      </c>
      <c r="T461">
        <v>0</v>
      </c>
      <c r="V461">
        <v>0</v>
      </c>
      <c r="W461" s="21">
        <v>0</v>
      </c>
      <c r="X461">
        <v>60000</v>
      </c>
      <c r="Y461" s="21">
        <v>0</v>
      </c>
      <c r="AK461" t="s">
        <v>1509</v>
      </c>
    </row>
    <row r="462" spans="1:37" x14ac:dyDescent="0.25">
      <c r="A462">
        <f t="shared" si="7"/>
        <v>461</v>
      </c>
      <c r="C462">
        <v>3074</v>
      </c>
      <c r="D462" t="s">
        <v>298</v>
      </c>
      <c r="E462" t="s">
        <v>1510</v>
      </c>
      <c r="G462" t="s">
        <v>1285</v>
      </c>
      <c r="M462">
        <v>0</v>
      </c>
      <c r="N462">
        <v>2020</v>
      </c>
      <c r="S462">
        <v>0</v>
      </c>
      <c r="T462">
        <v>0</v>
      </c>
      <c r="V462">
        <v>0</v>
      </c>
      <c r="W462" s="21">
        <v>0</v>
      </c>
      <c r="X462">
        <v>464729</v>
      </c>
      <c r="Y462" s="21">
        <v>0</v>
      </c>
    </row>
    <row r="463" spans="1:37" x14ac:dyDescent="0.25">
      <c r="A463">
        <f t="shared" si="7"/>
        <v>462</v>
      </c>
      <c r="C463">
        <v>3075</v>
      </c>
      <c r="D463" t="s">
        <v>1511</v>
      </c>
      <c r="E463" t="s">
        <v>1512</v>
      </c>
      <c r="F463" t="s">
        <v>1085</v>
      </c>
      <c r="G463" t="s">
        <v>1285</v>
      </c>
      <c r="M463">
        <v>0</v>
      </c>
      <c r="N463">
        <v>2021</v>
      </c>
      <c r="O463" t="s">
        <v>1063</v>
      </c>
      <c r="S463">
        <v>0</v>
      </c>
      <c r="T463">
        <v>0</v>
      </c>
      <c r="V463">
        <v>0</v>
      </c>
      <c r="W463" s="21">
        <v>0</v>
      </c>
      <c r="X463">
        <v>0</v>
      </c>
      <c r="Y463" s="21">
        <v>0</v>
      </c>
      <c r="AK463" t="s">
        <v>1513</v>
      </c>
    </row>
    <row r="464" spans="1:37" x14ac:dyDescent="0.25">
      <c r="A464">
        <f t="shared" si="7"/>
        <v>463</v>
      </c>
      <c r="C464">
        <v>3076</v>
      </c>
      <c r="D464" t="s">
        <v>1514</v>
      </c>
      <c r="E464" t="s">
        <v>1515</v>
      </c>
      <c r="F464" t="s">
        <v>1085</v>
      </c>
      <c r="G464" t="s">
        <v>1285</v>
      </c>
      <c r="M464">
        <v>0</v>
      </c>
      <c r="N464">
        <v>2020</v>
      </c>
      <c r="O464" t="s">
        <v>1063</v>
      </c>
      <c r="S464">
        <v>0</v>
      </c>
      <c r="T464">
        <v>0</v>
      </c>
      <c r="V464">
        <v>0</v>
      </c>
      <c r="W464" s="21">
        <v>0</v>
      </c>
      <c r="X464">
        <v>10000</v>
      </c>
      <c r="Y464" s="21">
        <v>0</v>
      </c>
    </row>
    <row r="465" spans="1:37" x14ac:dyDescent="0.25">
      <c r="A465">
        <f t="shared" si="7"/>
        <v>464</v>
      </c>
      <c r="C465">
        <v>3077</v>
      </c>
      <c r="D465" t="s">
        <v>1516</v>
      </c>
      <c r="E465" t="s">
        <v>1517</v>
      </c>
      <c r="F465" t="s">
        <v>1518</v>
      </c>
      <c r="G465" t="s">
        <v>1285</v>
      </c>
      <c r="M465">
        <v>0</v>
      </c>
      <c r="N465">
        <v>2021</v>
      </c>
      <c r="O465" t="s">
        <v>1295</v>
      </c>
      <c r="S465">
        <v>408</v>
      </c>
      <c r="T465">
        <v>0</v>
      </c>
      <c r="V465">
        <v>0</v>
      </c>
      <c r="W465" s="21">
        <v>0</v>
      </c>
      <c r="X465">
        <v>32000</v>
      </c>
      <c r="Y465" s="21">
        <v>0</v>
      </c>
      <c r="AK465" t="s">
        <v>1519</v>
      </c>
    </row>
    <row r="466" spans="1:37" x14ac:dyDescent="0.25">
      <c r="A466">
        <f t="shared" si="7"/>
        <v>465</v>
      </c>
      <c r="C466">
        <v>3079</v>
      </c>
      <c r="D466" t="s">
        <v>1520</v>
      </c>
      <c r="E466" t="s">
        <v>1521</v>
      </c>
      <c r="F466" t="s">
        <v>1522</v>
      </c>
      <c r="G466" t="s">
        <v>1285</v>
      </c>
      <c r="H466" t="s">
        <v>1523</v>
      </c>
      <c r="I466" t="s">
        <v>1524</v>
      </c>
      <c r="J466" t="s">
        <v>1525</v>
      </c>
      <c r="K466" t="s">
        <v>1060</v>
      </c>
      <c r="M466">
        <v>0</v>
      </c>
      <c r="N466">
        <v>2021</v>
      </c>
      <c r="S466">
        <v>0</v>
      </c>
      <c r="T466">
        <v>0</v>
      </c>
      <c r="V466">
        <v>0</v>
      </c>
      <c r="W466" s="21">
        <v>0</v>
      </c>
      <c r="X466">
        <v>0</v>
      </c>
      <c r="Y466" s="21">
        <v>0</v>
      </c>
      <c r="AK466" t="s">
        <v>1526</v>
      </c>
    </row>
    <row r="467" spans="1:37" x14ac:dyDescent="0.25">
      <c r="A467">
        <f t="shared" si="7"/>
        <v>466</v>
      </c>
      <c r="C467">
        <v>3080</v>
      </c>
      <c r="D467" t="s">
        <v>298</v>
      </c>
      <c r="E467" t="s">
        <v>1527</v>
      </c>
      <c r="F467" t="s">
        <v>1528</v>
      </c>
      <c r="G467" t="s">
        <v>1285</v>
      </c>
      <c r="M467">
        <v>0</v>
      </c>
      <c r="N467">
        <v>2021</v>
      </c>
      <c r="S467">
        <v>0</v>
      </c>
      <c r="T467">
        <v>0</v>
      </c>
      <c r="V467">
        <v>0</v>
      </c>
      <c r="W467" s="21">
        <v>0</v>
      </c>
      <c r="X467">
        <v>0</v>
      </c>
      <c r="Y467" s="21">
        <v>0</v>
      </c>
    </row>
    <row r="468" spans="1:37" x14ac:dyDescent="0.25">
      <c r="A468">
        <f t="shared" si="7"/>
        <v>467</v>
      </c>
      <c r="C468">
        <v>3081</v>
      </c>
      <c r="D468" t="s">
        <v>298</v>
      </c>
      <c r="E468" t="s">
        <v>720</v>
      </c>
      <c r="G468" t="s">
        <v>1285</v>
      </c>
      <c r="M468">
        <v>0</v>
      </c>
      <c r="N468">
        <v>0</v>
      </c>
      <c r="S468">
        <v>0</v>
      </c>
      <c r="T468">
        <v>0</v>
      </c>
      <c r="V468">
        <v>0</v>
      </c>
      <c r="W468" s="21">
        <v>0</v>
      </c>
      <c r="X468">
        <v>0</v>
      </c>
      <c r="Y468" s="21">
        <v>0</v>
      </c>
    </row>
    <row r="469" spans="1:37" x14ac:dyDescent="0.25">
      <c r="A469">
        <f t="shared" si="7"/>
        <v>468</v>
      </c>
      <c r="C469">
        <v>3073</v>
      </c>
      <c r="D469" t="s">
        <v>192</v>
      </c>
      <c r="E469" t="s">
        <v>1529</v>
      </c>
      <c r="F469" t="s">
        <v>1085</v>
      </c>
      <c r="G469" t="s">
        <v>1285</v>
      </c>
      <c r="M469">
        <v>0</v>
      </c>
      <c r="N469">
        <v>2020</v>
      </c>
      <c r="O469" t="s">
        <v>1088</v>
      </c>
      <c r="S469">
        <v>215</v>
      </c>
      <c r="T469">
        <v>0</v>
      </c>
      <c r="V469">
        <v>0</v>
      </c>
      <c r="W469" s="21">
        <v>0</v>
      </c>
      <c r="X469">
        <v>7500</v>
      </c>
      <c r="Y469" s="21">
        <v>0</v>
      </c>
    </row>
    <row r="470" spans="1:37" x14ac:dyDescent="0.25">
      <c r="A470">
        <f t="shared" si="7"/>
        <v>469</v>
      </c>
      <c r="C470">
        <v>3082</v>
      </c>
      <c r="D470" t="s">
        <v>724</v>
      </c>
      <c r="E470" t="s">
        <v>725</v>
      </c>
      <c r="F470" t="s">
        <v>1085</v>
      </c>
      <c r="G470" t="s">
        <v>1285</v>
      </c>
      <c r="M470">
        <v>0</v>
      </c>
      <c r="N470">
        <v>2020</v>
      </c>
      <c r="O470" t="s">
        <v>1063</v>
      </c>
      <c r="S470">
        <v>0</v>
      </c>
      <c r="T470">
        <v>0</v>
      </c>
      <c r="V470">
        <v>0</v>
      </c>
      <c r="W470" s="21">
        <v>0</v>
      </c>
      <c r="X470">
        <v>0</v>
      </c>
      <c r="Y470" s="21">
        <v>0</v>
      </c>
    </row>
    <row r="471" spans="1:37" x14ac:dyDescent="0.25">
      <c r="A471">
        <f t="shared" si="7"/>
        <v>470</v>
      </c>
      <c r="C471">
        <v>3084</v>
      </c>
      <c r="D471" t="s">
        <v>732</v>
      </c>
      <c r="E471" t="s">
        <v>733</v>
      </c>
      <c r="F471" t="s">
        <v>1143</v>
      </c>
      <c r="G471" t="s">
        <v>1285</v>
      </c>
      <c r="H471" t="s">
        <v>1144</v>
      </c>
      <c r="I471" t="s">
        <v>103</v>
      </c>
      <c r="J471" t="s">
        <v>1145</v>
      </c>
      <c r="K471" t="s">
        <v>1066</v>
      </c>
      <c r="M471">
        <v>0</v>
      </c>
      <c r="N471">
        <v>2022</v>
      </c>
      <c r="O471" t="s">
        <v>1063</v>
      </c>
      <c r="S471">
        <v>5656</v>
      </c>
      <c r="T471">
        <v>0</v>
      </c>
      <c r="V471">
        <v>0</v>
      </c>
      <c r="W471" s="21">
        <v>0</v>
      </c>
      <c r="X471">
        <v>0</v>
      </c>
      <c r="Y471" s="21">
        <v>0</v>
      </c>
      <c r="AK471" t="s">
        <v>1270</v>
      </c>
    </row>
    <row r="472" spans="1:37" x14ac:dyDescent="0.25">
      <c r="A472">
        <f t="shared" si="7"/>
        <v>471</v>
      </c>
      <c r="C472">
        <v>3085</v>
      </c>
      <c r="D472" t="s">
        <v>737</v>
      </c>
      <c r="E472" t="s">
        <v>738</v>
      </c>
      <c r="F472" t="s">
        <v>1100</v>
      </c>
      <c r="G472" t="s">
        <v>1285</v>
      </c>
      <c r="H472" t="s">
        <v>1146</v>
      </c>
      <c r="I472" t="s">
        <v>344</v>
      </c>
      <c r="J472" t="s">
        <v>739</v>
      </c>
      <c r="K472" t="s">
        <v>1147</v>
      </c>
      <c r="M472">
        <v>0</v>
      </c>
      <c r="N472">
        <v>2021</v>
      </c>
      <c r="O472" t="s">
        <v>1063</v>
      </c>
      <c r="S472">
        <v>4000</v>
      </c>
      <c r="T472">
        <v>0</v>
      </c>
      <c r="V472">
        <v>0</v>
      </c>
      <c r="W472" s="21">
        <v>0</v>
      </c>
      <c r="X472">
        <v>170000</v>
      </c>
      <c r="Y472" s="21">
        <v>0</v>
      </c>
    </row>
    <row r="473" spans="1:37" x14ac:dyDescent="0.25">
      <c r="A473">
        <f t="shared" si="7"/>
        <v>472</v>
      </c>
      <c r="C473">
        <v>3086</v>
      </c>
      <c r="D473" t="s">
        <v>740</v>
      </c>
      <c r="E473" t="s">
        <v>741</v>
      </c>
      <c r="F473" t="s">
        <v>1148</v>
      </c>
      <c r="G473" t="s">
        <v>1285</v>
      </c>
      <c r="H473" t="s">
        <v>1149</v>
      </c>
      <c r="I473" t="s">
        <v>742</v>
      </c>
      <c r="J473" t="s">
        <v>411</v>
      </c>
      <c r="K473" t="s">
        <v>1150</v>
      </c>
      <c r="M473">
        <v>0</v>
      </c>
      <c r="N473">
        <v>2021</v>
      </c>
      <c r="O473" t="s">
        <v>1295</v>
      </c>
      <c r="S473">
        <v>150</v>
      </c>
      <c r="T473">
        <v>0</v>
      </c>
      <c r="V473">
        <v>0</v>
      </c>
      <c r="W473" s="21">
        <v>0</v>
      </c>
      <c r="X473">
        <v>45295</v>
      </c>
      <c r="Y473" s="21">
        <v>0</v>
      </c>
    </row>
    <row r="474" spans="1:37" x14ac:dyDescent="0.25">
      <c r="A474">
        <f t="shared" si="7"/>
        <v>473</v>
      </c>
      <c r="C474">
        <v>3087</v>
      </c>
      <c r="D474" t="s">
        <v>298</v>
      </c>
      <c r="E474" t="s">
        <v>743</v>
      </c>
      <c r="F474" t="s">
        <v>1094</v>
      </c>
      <c r="G474" t="s">
        <v>1285</v>
      </c>
      <c r="M474">
        <v>0</v>
      </c>
      <c r="N474">
        <v>2020</v>
      </c>
      <c r="O474" t="s">
        <v>1063</v>
      </c>
      <c r="S474">
        <v>0</v>
      </c>
      <c r="T474">
        <v>0</v>
      </c>
      <c r="V474">
        <v>0</v>
      </c>
      <c r="W474" s="21">
        <v>0</v>
      </c>
      <c r="X474">
        <v>0</v>
      </c>
      <c r="Y474" s="21">
        <v>0</v>
      </c>
    </row>
    <row r="475" spans="1:37" x14ac:dyDescent="0.25">
      <c r="A475">
        <f t="shared" si="7"/>
        <v>474</v>
      </c>
      <c r="C475">
        <v>3088</v>
      </c>
      <c r="D475" t="s">
        <v>740</v>
      </c>
      <c r="E475" t="s">
        <v>746</v>
      </c>
      <c r="F475" t="s">
        <v>1151</v>
      </c>
      <c r="G475" t="s">
        <v>1285</v>
      </c>
      <c r="H475" t="s">
        <v>1144</v>
      </c>
      <c r="I475" t="s">
        <v>103</v>
      </c>
      <c r="J475" t="s">
        <v>749</v>
      </c>
      <c r="K475" t="s">
        <v>1152</v>
      </c>
      <c r="M475">
        <v>1956</v>
      </c>
      <c r="N475">
        <v>2022</v>
      </c>
      <c r="O475" t="s">
        <v>1046</v>
      </c>
      <c r="Q475" t="s">
        <v>1153</v>
      </c>
      <c r="S475">
        <v>540</v>
      </c>
      <c r="T475">
        <v>0</v>
      </c>
      <c r="V475">
        <v>75000</v>
      </c>
      <c r="W475" s="21">
        <v>0</v>
      </c>
      <c r="X475">
        <v>10000</v>
      </c>
      <c r="Y475" s="21">
        <v>0</v>
      </c>
    </row>
    <row r="476" spans="1:37" x14ac:dyDescent="0.25">
      <c r="A476">
        <f t="shared" si="7"/>
        <v>475</v>
      </c>
      <c r="C476">
        <v>3088</v>
      </c>
      <c r="D476" t="s">
        <v>766</v>
      </c>
      <c r="E476" t="s">
        <v>746</v>
      </c>
      <c r="F476" t="s">
        <v>1085</v>
      </c>
      <c r="G476" t="s">
        <v>1285</v>
      </c>
      <c r="H476" t="s">
        <v>1144</v>
      </c>
      <c r="I476" t="s">
        <v>809</v>
      </c>
      <c r="J476" t="s">
        <v>1530</v>
      </c>
      <c r="K476" t="s">
        <v>1531</v>
      </c>
      <c r="M476">
        <v>0</v>
      </c>
      <c r="N476">
        <v>2021</v>
      </c>
      <c r="O476" t="s">
        <v>1063</v>
      </c>
      <c r="S476">
        <v>400</v>
      </c>
      <c r="T476">
        <v>0</v>
      </c>
      <c r="V476">
        <v>0</v>
      </c>
      <c r="W476" s="21">
        <v>0</v>
      </c>
      <c r="X476">
        <v>1500</v>
      </c>
      <c r="Y476" s="21">
        <v>0</v>
      </c>
    </row>
    <row r="477" spans="1:37" x14ac:dyDescent="0.25">
      <c r="A477">
        <f t="shared" si="7"/>
        <v>476</v>
      </c>
      <c r="C477">
        <v>3089</v>
      </c>
      <c r="D477" t="s">
        <v>750</v>
      </c>
      <c r="E477" t="s">
        <v>751</v>
      </c>
      <c r="F477" t="s">
        <v>1085</v>
      </c>
      <c r="G477" t="s">
        <v>1285</v>
      </c>
      <c r="H477" t="s">
        <v>1144</v>
      </c>
      <c r="I477" t="s">
        <v>103</v>
      </c>
      <c r="J477" t="s">
        <v>754</v>
      </c>
      <c r="K477" t="s">
        <v>1154</v>
      </c>
      <c r="M477">
        <v>1894</v>
      </c>
      <c r="N477">
        <v>2022</v>
      </c>
      <c r="O477" t="s">
        <v>1046</v>
      </c>
      <c r="Q477" t="s">
        <v>1104</v>
      </c>
      <c r="S477">
        <v>800</v>
      </c>
      <c r="T477">
        <v>0</v>
      </c>
      <c r="V477">
        <v>93240</v>
      </c>
      <c r="W477" s="21">
        <v>0</v>
      </c>
      <c r="X477">
        <v>17500</v>
      </c>
      <c r="Y477" s="21">
        <v>0</v>
      </c>
    </row>
    <row r="478" spans="1:37" x14ac:dyDescent="0.25">
      <c r="A478">
        <f t="shared" si="7"/>
        <v>477</v>
      </c>
      <c r="C478">
        <v>3090</v>
      </c>
      <c r="D478" t="s">
        <v>750</v>
      </c>
      <c r="E478" t="s">
        <v>1532</v>
      </c>
      <c r="F478" t="s">
        <v>1533</v>
      </c>
      <c r="G478" t="s">
        <v>1285</v>
      </c>
      <c r="M478">
        <v>1700</v>
      </c>
      <c r="N478">
        <v>2021</v>
      </c>
      <c r="O478" t="s">
        <v>1301</v>
      </c>
      <c r="S478">
        <v>150</v>
      </c>
      <c r="T478">
        <v>0</v>
      </c>
      <c r="V478">
        <v>28500</v>
      </c>
      <c r="W478" s="21">
        <v>0</v>
      </c>
      <c r="X478">
        <v>12350</v>
      </c>
      <c r="Y478" s="21">
        <v>0</v>
      </c>
      <c r="AK478" t="s">
        <v>1293</v>
      </c>
    </row>
    <row r="479" spans="1:37" x14ac:dyDescent="0.25">
      <c r="A479">
        <f t="shared" si="7"/>
        <v>478</v>
      </c>
      <c r="C479">
        <v>3091</v>
      </c>
      <c r="D479" t="s">
        <v>1534</v>
      </c>
      <c r="E479" t="s">
        <v>1535</v>
      </c>
      <c r="F479" t="s">
        <v>1085</v>
      </c>
      <c r="G479" t="s">
        <v>1285</v>
      </c>
      <c r="H479" t="s">
        <v>1144</v>
      </c>
      <c r="I479" t="s">
        <v>103</v>
      </c>
      <c r="J479" t="s">
        <v>559</v>
      </c>
      <c r="K479" t="s">
        <v>1536</v>
      </c>
      <c r="M479">
        <v>0</v>
      </c>
      <c r="N479">
        <v>2021</v>
      </c>
      <c r="O479" t="s">
        <v>1295</v>
      </c>
      <c r="S479">
        <v>250</v>
      </c>
      <c r="T479">
        <v>0</v>
      </c>
      <c r="V479">
        <v>0</v>
      </c>
      <c r="W479" s="21">
        <v>0</v>
      </c>
      <c r="X479">
        <v>11500</v>
      </c>
      <c r="Y479" s="21">
        <v>0</v>
      </c>
    </row>
    <row r="480" spans="1:37" x14ac:dyDescent="0.25">
      <c r="A480">
        <f t="shared" si="7"/>
        <v>479</v>
      </c>
      <c r="C480">
        <v>3092</v>
      </c>
      <c r="D480" t="s">
        <v>207</v>
      </c>
      <c r="E480" t="s">
        <v>755</v>
      </c>
      <c r="F480" t="s">
        <v>1085</v>
      </c>
      <c r="G480" t="s">
        <v>1285</v>
      </c>
      <c r="H480" t="s">
        <v>1144</v>
      </c>
      <c r="I480" t="s">
        <v>103</v>
      </c>
      <c r="J480" t="s">
        <v>754</v>
      </c>
      <c r="K480" t="s">
        <v>1155</v>
      </c>
      <c r="M480">
        <v>1900</v>
      </c>
      <c r="N480">
        <v>2022</v>
      </c>
      <c r="O480" t="s">
        <v>1295</v>
      </c>
      <c r="S480">
        <v>600</v>
      </c>
      <c r="T480">
        <v>0</v>
      </c>
      <c r="V480">
        <v>50000</v>
      </c>
      <c r="W480" s="21">
        <v>0</v>
      </c>
      <c r="X480">
        <v>14620</v>
      </c>
      <c r="Y480" s="21">
        <v>0</v>
      </c>
    </row>
    <row r="481" spans="1:37" x14ac:dyDescent="0.25">
      <c r="A481">
        <f t="shared" si="7"/>
        <v>480</v>
      </c>
      <c r="C481">
        <v>3093</v>
      </c>
      <c r="D481" t="s">
        <v>1537</v>
      </c>
      <c r="E481" t="s">
        <v>1538</v>
      </c>
      <c r="F481" t="s">
        <v>1100</v>
      </c>
      <c r="G481" t="s">
        <v>1285</v>
      </c>
      <c r="H481" t="s">
        <v>1539</v>
      </c>
      <c r="I481" t="s">
        <v>1540</v>
      </c>
      <c r="J481" t="s">
        <v>1541</v>
      </c>
      <c r="K481" t="s">
        <v>1542</v>
      </c>
      <c r="M481">
        <v>0</v>
      </c>
      <c r="N481">
        <v>2021</v>
      </c>
      <c r="O481" t="s">
        <v>1063</v>
      </c>
      <c r="S481">
        <v>600</v>
      </c>
      <c r="T481">
        <v>0</v>
      </c>
      <c r="V481">
        <v>0</v>
      </c>
      <c r="W481" s="21">
        <v>0</v>
      </c>
      <c r="X481">
        <v>32000</v>
      </c>
      <c r="Y481" s="21">
        <v>0</v>
      </c>
    </row>
    <row r="482" spans="1:37" x14ac:dyDescent="0.25">
      <c r="A482">
        <f t="shared" si="7"/>
        <v>481</v>
      </c>
      <c r="C482">
        <v>3094</v>
      </c>
      <c r="D482" t="s">
        <v>750</v>
      </c>
      <c r="E482" t="s">
        <v>758</v>
      </c>
      <c r="F482" t="s">
        <v>1085</v>
      </c>
      <c r="G482" t="s">
        <v>1285</v>
      </c>
      <c r="H482" t="s">
        <v>1156</v>
      </c>
      <c r="I482" t="s">
        <v>554</v>
      </c>
      <c r="J482" t="s">
        <v>761</v>
      </c>
      <c r="K482" t="s">
        <v>1157</v>
      </c>
      <c r="M482">
        <v>0</v>
      </c>
      <c r="N482">
        <v>2021</v>
      </c>
      <c r="O482" t="s">
        <v>1063</v>
      </c>
      <c r="S482">
        <v>600</v>
      </c>
      <c r="T482">
        <v>0</v>
      </c>
      <c r="V482">
        <v>0</v>
      </c>
      <c r="W482" s="21">
        <v>0</v>
      </c>
      <c r="X482">
        <v>35000</v>
      </c>
      <c r="Y482" s="21">
        <v>0</v>
      </c>
    </row>
    <row r="483" spans="1:37" x14ac:dyDescent="0.25">
      <c r="A483">
        <f t="shared" si="7"/>
        <v>482</v>
      </c>
      <c r="C483">
        <v>3095</v>
      </c>
      <c r="D483" t="s">
        <v>750</v>
      </c>
      <c r="E483" t="s">
        <v>762</v>
      </c>
      <c r="F483" t="s">
        <v>1085</v>
      </c>
      <c r="G483" t="s">
        <v>1285</v>
      </c>
      <c r="H483" t="s">
        <v>1158</v>
      </c>
      <c r="I483" t="s">
        <v>371</v>
      </c>
      <c r="J483" t="s">
        <v>765</v>
      </c>
      <c r="K483" t="s">
        <v>1063</v>
      </c>
      <c r="M483">
        <v>0</v>
      </c>
      <c r="N483">
        <v>2021</v>
      </c>
      <c r="O483" t="s">
        <v>1063</v>
      </c>
      <c r="S483">
        <v>250</v>
      </c>
      <c r="T483">
        <v>0</v>
      </c>
      <c r="V483">
        <v>0</v>
      </c>
      <c r="W483" s="21">
        <v>0</v>
      </c>
      <c r="X483">
        <v>14434</v>
      </c>
      <c r="Y483" s="21">
        <v>0</v>
      </c>
    </row>
    <row r="484" spans="1:37" x14ac:dyDescent="0.25">
      <c r="A484">
        <f t="shared" si="7"/>
        <v>483</v>
      </c>
      <c r="C484">
        <v>3096</v>
      </c>
      <c r="D484" t="s">
        <v>766</v>
      </c>
      <c r="E484" t="s">
        <v>767</v>
      </c>
      <c r="F484" t="s">
        <v>1099</v>
      </c>
      <c r="G484" t="s">
        <v>1285</v>
      </c>
      <c r="H484" t="s">
        <v>1156</v>
      </c>
      <c r="I484" t="s">
        <v>554</v>
      </c>
      <c r="J484" t="s">
        <v>150</v>
      </c>
      <c r="K484" t="s">
        <v>1076</v>
      </c>
      <c r="M484">
        <v>0</v>
      </c>
      <c r="N484">
        <v>2021</v>
      </c>
      <c r="O484" t="s">
        <v>1063</v>
      </c>
      <c r="S484">
        <v>1750</v>
      </c>
      <c r="T484">
        <v>0</v>
      </c>
      <c r="V484">
        <v>0</v>
      </c>
      <c r="W484" s="21">
        <v>0</v>
      </c>
      <c r="X484">
        <v>39552</v>
      </c>
      <c r="Y484" s="21">
        <v>0</v>
      </c>
    </row>
    <row r="485" spans="1:37" x14ac:dyDescent="0.25">
      <c r="A485">
        <f t="shared" si="7"/>
        <v>484</v>
      </c>
      <c r="C485">
        <v>3097</v>
      </c>
      <c r="D485" t="s">
        <v>1543</v>
      </c>
      <c r="E485" t="s">
        <v>1544</v>
      </c>
      <c r="F485" t="s">
        <v>1085</v>
      </c>
      <c r="G485" t="s">
        <v>1285</v>
      </c>
      <c r="M485">
        <v>0</v>
      </c>
      <c r="N485">
        <v>2022</v>
      </c>
      <c r="O485" t="s">
        <v>1292</v>
      </c>
      <c r="S485">
        <v>320</v>
      </c>
      <c r="T485">
        <v>0</v>
      </c>
      <c r="V485">
        <v>0</v>
      </c>
      <c r="W485" s="21">
        <v>0</v>
      </c>
      <c r="X485">
        <v>15136</v>
      </c>
      <c r="Y485" s="21">
        <v>0</v>
      </c>
    </row>
    <row r="486" spans="1:37" x14ac:dyDescent="0.25">
      <c r="A486">
        <f t="shared" si="7"/>
        <v>485</v>
      </c>
      <c r="C486">
        <v>3098</v>
      </c>
      <c r="D486" t="s">
        <v>770</v>
      </c>
      <c r="E486" t="s">
        <v>771</v>
      </c>
      <c r="F486" t="s">
        <v>1085</v>
      </c>
      <c r="G486" t="s">
        <v>1285</v>
      </c>
      <c r="M486">
        <v>0</v>
      </c>
      <c r="N486">
        <v>2022</v>
      </c>
      <c r="O486" t="s">
        <v>1063</v>
      </c>
      <c r="S486">
        <v>0</v>
      </c>
      <c r="T486">
        <v>0</v>
      </c>
      <c r="V486">
        <v>0</v>
      </c>
      <c r="W486" s="21">
        <v>0</v>
      </c>
      <c r="X486">
        <v>0</v>
      </c>
      <c r="Y486" s="21">
        <v>0</v>
      </c>
      <c r="AK486" t="s">
        <v>1271</v>
      </c>
    </row>
    <row r="487" spans="1:37" x14ac:dyDescent="0.25">
      <c r="A487">
        <f t="shared" si="7"/>
        <v>486</v>
      </c>
      <c r="C487">
        <v>3099</v>
      </c>
      <c r="D487" t="s">
        <v>1545</v>
      </c>
      <c r="E487" t="s">
        <v>1546</v>
      </c>
      <c r="F487" t="s">
        <v>1547</v>
      </c>
      <c r="G487" t="s">
        <v>1285</v>
      </c>
      <c r="M487">
        <v>0</v>
      </c>
      <c r="N487">
        <v>2022</v>
      </c>
      <c r="O487" t="s">
        <v>1063</v>
      </c>
      <c r="S487">
        <v>0</v>
      </c>
      <c r="T487">
        <v>0</v>
      </c>
      <c r="V487">
        <v>0</v>
      </c>
      <c r="W487" s="21">
        <v>0</v>
      </c>
      <c r="X487">
        <v>200000</v>
      </c>
      <c r="Y487" s="21">
        <v>0</v>
      </c>
    </row>
    <row r="488" spans="1:37" x14ac:dyDescent="0.25">
      <c r="A488">
        <f t="shared" si="7"/>
        <v>487</v>
      </c>
      <c r="C488">
        <v>3100</v>
      </c>
      <c r="D488" t="s">
        <v>1548</v>
      </c>
      <c r="E488" t="s">
        <v>1549</v>
      </c>
      <c r="F488" t="s">
        <v>1009</v>
      </c>
      <c r="G488" t="s">
        <v>1285</v>
      </c>
      <c r="M488">
        <v>0</v>
      </c>
      <c r="N488">
        <v>2022</v>
      </c>
      <c r="O488" t="s">
        <v>1063</v>
      </c>
      <c r="S488">
        <v>240</v>
      </c>
      <c r="T488">
        <v>0</v>
      </c>
      <c r="V488">
        <v>0</v>
      </c>
      <c r="W488" s="21">
        <v>0</v>
      </c>
      <c r="X488">
        <v>9500</v>
      </c>
      <c r="Y488" s="21">
        <v>0</v>
      </c>
      <c r="AK488" t="s">
        <v>1550</v>
      </c>
    </row>
    <row r="489" spans="1:37" x14ac:dyDescent="0.25">
      <c r="A489">
        <f t="shared" si="7"/>
        <v>488</v>
      </c>
      <c r="C489">
        <v>3101</v>
      </c>
      <c r="D489" t="s">
        <v>298</v>
      </c>
      <c r="E489" t="s">
        <v>1551</v>
      </c>
      <c r="F489" t="s">
        <v>1552</v>
      </c>
      <c r="G489" t="s">
        <v>1285</v>
      </c>
      <c r="M489">
        <v>0</v>
      </c>
      <c r="N489">
        <v>2024</v>
      </c>
      <c r="O489" t="s">
        <v>1295</v>
      </c>
      <c r="Q489" t="s">
        <v>1114</v>
      </c>
      <c r="S489">
        <v>0</v>
      </c>
      <c r="T489">
        <v>0</v>
      </c>
      <c r="V489">
        <v>0</v>
      </c>
      <c r="W489" s="21">
        <v>0</v>
      </c>
      <c r="X489">
        <v>0</v>
      </c>
      <c r="Y489" s="21">
        <v>0</v>
      </c>
    </row>
    <row r="490" spans="1:37" x14ac:dyDescent="0.25">
      <c r="A490">
        <f t="shared" si="7"/>
        <v>489</v>
      </c>
      <c r="C490">
        <v>3102</v>
      </c>
      <c r="D490" t="s">
        <v>298</v>
      </c>
      <c r="E490" t="s">
        <v>775</v>
      </c>
      <c r="F490" t="s">
        <v>1085</v>
      </c>
      <c r="G490" t="s">
        <v>1285</v>
      </c>
      <c r="M490">
        <v>0</v>
      </c>
      <c r="N490">
        <v>2020</v>
      </c>
      <c r="O490" t="s">
        <v>1063</v>
      </c>
      <c r="S490">
        <v>0</v>
      </c>
      <c r="T490">
        <v>0</v>
      </c>
      <c r="V490">
        <v>0</v>
      </c>
      <c r="W490" s="21">
        <v>0</v>
      </c>
      <c r="X490">
        <v>0</v>
      </c>
      <c r="Y490" s="21">
        <v>0</v>
      </c>
    </row>
    <row r="491" spans="1:37" x14ac:dyDescent="0.25">
      <c r="A491">
        <f t="shared" si="7"/>
        <v>490</v>
      </c>
      <c r="C491">
        <v>3103</v>
      </c>
      <c r="D491" t="s">
        <v>1553</v>
      </c>
      <c r="E491" t="s">
        <v>1554</v>
      </c>
      <c r="F491" t="s">
        <v>1555</v>
      </c>
      <c r="G491" t="s">
        <v>1285</v>
      </c>
      <c r="M491">
        <v>0</v>
      </c>
      <c r="N491">
        <v>2022</v>
      </c>
      <c r="O491" t="s">
        <v>1063</v>
      </c>
      <c r="S491">
        <v>0</v>
      </c>
      <c r="T491">
        <v>0</v>
      </c>
      <c r="V491">
        <v>0</v>
      </c>
      <c r="W491" s="21">
        <v>0</v>
      </c>
      <c r="X491">
        <v>0</v>
      </c>
      <c r="Y491" s="21">
        <v>0</v>
      </c>
      <c r="AK491" t="s">
        <v>1556</v>
      </c>
    </row>
    <row r="492" spans="1:37" x14ac:dyDescent="0.25">
      <c r="A492">
        <f t="shared" si="7"/>
        <v>491</v>
      </c>
      <c r="C492">
        <v>3104</v>
      </c>
      <c r="D492" t="s">
        <v>861</v>
      </c>
      <c r="E492" t="s">
        <v>1557</v>
      </c>
      <c r="F492" t="s">
        <v>1085</v>
      </c>
      <c r="G492" t="s">
        <v>1285</v>
      </c>
      <c r="M492">
        <v>0</v>
      </c>
      <c r="N492">
        <v>2022</v>
      </c>
      <c r="O492" t="s">
        <v>1063</v>
      </c>
      <c r="S492">
        <v>0</v>
      </c>
      <c r="T492">
        <v>0</v>
      </c>
      <c r="V492">
        <v>0</v>
      </c>
      <c r="W492" s="21">
        <v>0</v>
      </c>
      <c r="X492">
        <v>10000</v>
      </c>
      <c r="Y492" s="21">
        <v>0</v>
      </c>
    </row>
    <row r="493" spans="1:37" x14ac:dyDescent="0.25">
      <c r="A493">
        <f t="shared" si="7"/>
        <v>492</v>
      </c>
      <c r="C493">
        <v>3105</v>
      </c>
      <c r="D493" t="s">
        <v>298</v>
      </c>
      <c r="E493" t="s">
        <v>781</v>
      </c>
      <c r="F493" t="s">
        <v>1085</v>
      </c>
      <c r="G493" t="s">
        <v>1285</v>
      </c>
      <c r="M493">
        <v>0</v>
      </c>
      <c r="N493">
        <v>2023</v>
      </c>
      <c r="O493" t="s">
        <v>1063</v>
      </c>
      <c r="S493">
        <v>0</v>
      </c>
      <c r="T493">
        <v>0</v>
      </c>
      <c r="V493">
        <v>0</v>
      </c>
      <c r="W493" s="21">
        <v>0</v>
      </c>
      <c r="X493">
        <v>0</v>
      </c>
      <c r="Y493" s="21">
        <v>0</v>
      </c>
    </row>
    <row r="494" spans="1:37" x14ac:dyDescent="0.25">
      <c r="A494">
        <f t="shared" si="7"/>
        <v>493</v>
      </c>
      <c r="C494">
        <v>3106</v>
      </c>
      <c r="D494" t="s">
        <v>298</v>
      </c>
      <c r="E494" t="s">
        <v>1558</v>
      </c>
      <c r="F494" t="s">
        <v>1559</v>
      </c>
      <c r="G494" t="s">
        <v>1285</v>
      </c>
      <c r="H494" t="s">
        <v>1560</v>
      </c>
      <c r="I494" t="s">
        <v>1561</v>
      </c>
      <c r="J494" t="s">
        <v>1562</v>
      </c>
      <c r="K494" t="s">
        <v>1088</v>
      </c>
      <c r="M494">
        <v>0</v>
      </c>
      <c r="N494">
        <v>2022</v>
      </c>
      <c r="O494" t="s">
        <v>1063</v>
      </c>
      <c r="S494">
        <v>0</v>
      </c>
      <c r="T494">
        <v>0</v>
      </c>
      <c r="V494">
        <v>0</v>
      </c>
      <c r="W494" s="21">
        <v>0</v>
      </c>
      <c r="X494">
        <v>0</v>
      </c>
      <c r="Y494" s="21">
        <v>0</v>
      </c>
    </row>
    <row r="495" spans="1:37" x14ac:dyDescent="0.25">
      <c r="A495">
        <f t="shared" si="7"/>
        <v>494</v>
      </c>
      <c r="C495">
        <v>3107</v>
      </c>
      <c r="D495" t="s">
        <v>298</v>
      </c>
      <c r="E495" t="s">
        <v>786</v>
      </c>
      <c r="F495" t="s">
        <v>1091</v>
      </c>
      <c r="G495" t="s">
        <v>1285</v>
      </c>
      <c r="M495">
        <v>0</v>
      </c>
      <c r="N495">
        <v>2020</v>
      </c>
      <c r="O495" t="s">
        <v>1301</v>
      </c>
      <c r="S495">
        <v>0</v>
      </c>
      <c r="T495">
        <v>0</v>
      </c>
      <c r="V495">
        <v>0</v>
      </c>
      <c r="W495" s="21">
        <v>0</v>
      </c>
      <c r="X495">
        <v>0</v>
      </c>
      <c r="Y495" s="21">
        <v>0</v>
      </c>
    </row>
    <row r="496" spans="1:37" x14ac:dyDescent="0.25">
      <c r="A496">
        <f t="shared" si="7"/>
        <v>495</v>
      </c>
      <c r="C496">
        <v>3108</v>
      </c>
      <c r="D496" t="s">
        <v>277</v>
      </c>
      <c r="E496" t="s">
        <v>1563</v>
      </c>
      <c r="F496" t="s">
        <v>1085</v>
      </c>
      <c r="G496" t="s">
        <v>1285</v>
      </c>
      <c r="H496" t="s">
        <v>1138</v>
      </c>
      <c r="I496" t="s">
        <v>350</v>
      </c>
      <c r="J496" t="s">
        <v>350</v>
      </c>
      <c r="K496" t="s">
        <v>1564</v>
      </c>
      <c r="M496">
        <v>0</v>
      </c>
      <c r="N496">
        <v>2022</v>
      </c>
      <c r="O496" t="s">
        <v>1063</v>
      </c>
      <c r="S496">
        <v>220</v>
      </c>
      <c r="T496">
        <v>0</v>
      </c>
      <c r="V496">
        <v>0</v>
      </c>
      <c r="W496" s="21">
        <v>0</v>
      </c>
      <c r="X496">
        <v>3200</v>
      </c>
      <c r="Y496" s="21">
        <v>0</v>
      </c>
    </row>
    <row r="497" spans="1:37" x14ac:dyDescent="0.25">
      <c r="A497">
        <f t="shared" si="7"/>
        <v>496</v>
      </c>
      <c r="C497">
        <v>3109</v>
      </c>
      <c r="D497" t="s">
        <v>793</v>
      </c>
      <c r="F497" t="s">
        <v>1565</v>
      </c>
      <c r="G497" t="s">
        <v>1285</v>
      </c>
      <c r="M497">
        <v>0</v>
      </c>
      <c r="N497">
        <v>2022</v>
      </c>
      <c r="O497" t="s">
        <v>1063</v>
      </c>
      <c r="S497">
        <v>0</v>
      </c>
      <c r="T497">
        <v>527</v>
      </c>
      <c r="V497">
        <v>0</v>
      </c>
      <c r="W497" s="21">
        <v>0</v>
      </c>
      <c r="X497">
        <v>15000</v>
      </c>
      <c r="Y497" s="21">
        <v>0</v>
      </c>
    </row>
    <row r="498" spans="1:37" x14ac:dyDescent="0.25">
      <c r="A498">
        <f t="shared" si="7"/>
        <v>497</v>
      </c>
      <c r="C498">
        <v>3110</v>
      </c>
      <c r="D498" t="s">
        <v>298</v>
      </c>
      <c r="E498" t="s">
        <v>1566</v>
      </c>
      <c r="F498" t="s">
        <v>1085</v>
      </c>
      <c r="G498" t="s">
        <v>1285</v>
      </c>
      <c r="M498">
        <v>0</v>
      </c>
      <c r="N498">
        <v>2020</v>
      </c>
      <c r="O498" t="s">
        <v>1063</v>
      </c>
      <c r="S498">
        <v>0</v>
      </c>
      <c r="T498">
        <v>0</v>
      </c>
      <c r="V498">
        <v>0</v>
      </c>
      <c r="W498" s="21">
        <v>0</v>
      </c>
      <c r="X498">
        <v>0</v>
      </c>
      <c r="Y498" s="21">
        <v>0</v>
      </c>
    </row>
    <row r="499" spans="1:37" x14ac:dyDescent="0.25">
      <c r="A499">
        <f t="shared" si="7"/>
        <v>498</v>
      </c>
      <c r="C499">
        <v>3111</v>
      </c>
      <c r="D499" t="s">
        <v>298</v>
      </c>
      <c r="E499" t="s">
        <v>1567</v>
      </c>
      <c r="G499" t="s">
        <v>1285</v>
      </c>
      <c r="M499">
        <v>0</v>
      </c>
      <c r="N499">
        <v>2022</v>
      </c>
      <c r="O499" t="s">
        <v>1295</v>
      </c>
      <c r="S499">
        <v>0</v>
      </c>
      <c r="T499">
        <v>0</v>
      </c>
      <c r="V499">
        <v>0</v>
      </c>
      <c r="W499" s="21">
        <v>0</v>
      </c>
      <c r="X499">
        <v>0</v>
      </c>
      <c r="Y499" s="21">
        <v>0</v>
      </c>
    </row>
    <row r="500" spans="1:37" x14ac:dyDescent="0.25">
      <c r="A500">
        <f t="shared" si="7"/>
        <v>499</v>
      </c>
      <c r="C500">
        <v>3112</v>
      </c>
      <c r="D500" t="s">
        <v>298</v>
      </c>
      <c r="E500" t="s">
        <v>1568</v>
      </c>
      <c r="F500" t="s">
        <v>1555</v>
      </c>
      <c r="G500" t="s">
        <v>1285</v>
      </c>
      <c r="M500">
        <v>0</v>
      </c>
      <c r="N500">
        <v>2022</v>
      </c>
      <c r="O500" t="s">
        <v>1063</v>
      </c>
      <c r="S500">
        <v>0</v>
      </c>
      <c r="T500">
        <v>0</v>
      </c>
      <c r="V500">
        <v>0</v>
      </c>
      <c r="W500" s="21">
        <v>0</v>
      </c>
      <c r="X500">
        <v>0</v>
      </c>
      <c r="Y500" s="21">
        <v>0</v>
      </c>
    </row>
    <row r="501" spans="1:37" x14ac:dyDescent="0.25">
      <c r="A501">
        <f t="shared" si="7"/>
        <v>500</v>
      </c>
      <c r="C501">
        <v>3113</v>
      </c>
      <c r="D501" t="s">
        <v>788</v>
      </c>
      <c r="E501" t="s">
        <v>789</v>
      </c>
      <c r="F501" t="s">
        <v>1159</v>
      </c>
      <c r="G501" t="s">
        <v>1285</v>
      </c>
      <c r="M501">
        <v>0</v>
      </c>
      <c r="N501">
        <v>2022</v>
      </c>
      <c r="O501" t="s">
        <v>1063</v>
      </c>
      <c r="S501">
        <v>0</v>
      </c>
      <c r="T501">
        <v>0</v>
      </c>
      <c r="V501">
        <v>0</v>
      </c>
      <c r="W501" s="21">
        <v>0</v>
      </c>
      <c r="X501">
        <v>0</v>
      </c>
      <c r="Y501" s="21">
        <v>0</v>
      </c>
      <c r="AK501" t="s">
        <v>1272</v>
      </c>
    </row>
    <row r="502" spans="1:37" x14ac:dyDescent="0.25">
      <c r="A502">
        <f t="shared" si="7"/>
        <v>501</v>
      </c>
      <c r="C502">
        <v>3114</v>
      </c>
      <c r="D502" t="s">
        <v>1569</v>
      </c>
      <c r="E502" t="s">
        <v>1570</v>
      </c>
      <c r="F502" t="s">
        <v>1085</v>
      </c>
      <c r="G502" t="s">
        <v>1285</v>
      </c>
      <c r="M502">
        <v>0</v>
      </c>
      <c r="N502">
        <v>2022</v>
      </c>
      <c r="O502" t="s">
        <v>1063</v>
      </c>
      <c r="S502">
        <v>400</v>
      </c>
      <c r="T502">
        <v>0</v>
      </c>
      <c r="V502">
        <v>0</v>
      </c>
      <c r="W502" s="21">
        <v>0</v>
      </c>
      <c r="X502">
        <v>29424</v>
      </c>
      <c r="Y502" s="21">
        <v>0</v>
      </c>
      <c r="AK502" t="s">
        <v>1571</v>
      </c>
    </row>
    <row r="503" spans="1:37" x14ac:dyDescent="0.25">
      <c r="A503">
        <f t="shared" si="7"/>
        <v>502</v>
      </c>
      <c r="C503">
        <v>3115</v>
      </c>
      <c r="D503" t="s">
        <v>766</v>
      </c>
      <c r="E503" t="s">
        <v>1572</v>
      </c>
      <c r="F503" t="s">
        <v>1085</v>
      </c>
      <c r="G503" t="s">
        <v>1285</v>
      </c>
      <c r="M503">
        <v>0</v>
      </c>
      <c r="N503">
        <v>2022</v>
      </c>
      <c r="O503" t="s">
        <v>1063</v>
      </c>
      <c r="S503">
        <v>250</v>
      </c>
      <c r="T503">
        <v>0</v>
      </c>
      <c r="V503">
        <v>0</v>
      </c>
      <c r="W503" s="21">
        <v>0</v>
      </c>
      <c r="X503">
        <v>0</v>
      </c>
      <c r="Y503" s="21">
        <v>0</v>
      </c>
    </row>
    <row r="504" spans="1:37" x14ac:dyDescent="0.25">
      <c r="A504">
        <f t="shared" si="7"/>
        <v>503</v>
      </c>
      <c r="C504">
        <v>3116</v>
      </c>
      <c r="D504" t="s">
        <v>793</v>
      </c>
      <c r="E504" t="s">
        <v>794</v>
      </c>
      <c r="F504" t="s">
        <v>1100</v>
      </c>
      <c r="G504" t="s">
        <v>1285</v>
      </c>
      <c r="M504">
        <v>0</v>
      </c>
      <c r="N504">
        <v>2022</v>
      </c>
      <c r="O504" t="s">
        <v>1063</v>
      </c>
      <c r="S504">
        <v>800</v>
      </c>
      <c r="T504">
        <v>0</v>
      </c>
      <c r="V504">
        <v>0</v>
      </c>
      <c r="W504" s="21">
        <v>0</v>
      </c>
      <c r="X504">
        <v>0</v>
      </c>
      <c r="Y504" s="21">
        <v>0</v>
      </c>
    </row>
    <row r="505" spans="1:37" x14ac:dyDescent="0.25">
      <c r="A505">
        <f t="shared" si="7"/>
        <v>504</v>
      </c>
      <c r="C505">
        <v>3119</v>
      </c>
      <c r="D505" t="s">
        <v>796</v>
      </c>
      <c r="E505" t="s">
        <v>797</v>
      </c>
      <c r="F505" t="s">
        <v>1085</v>
      </c>
      <c r="G505" t="s">
        <v>1285</v>
      </c>
      <c r="M505">
        <v>0</v>
      </c>
      <c r="N505">
        <v>2022</v>
      </c>
      <c r="O505" t="s">
        <v>1063</v>
      </c>
      <c r="S505">
        <v>150</v>
      </c>
      <c r="T505">
        <v>0</v>
      </c>
      <c r="V505">
        <v>0</v>
      </c>
      <c r="W505" s="21">
        <v>0</v>
      </c>
      <c r="X505">
        <v>5500</v>
      </c>
      <c r="Y505" s="21">
        <v>0</v>
      </c>
    </row>
    <row r="506" spans="1:37" x14ac:dyDescent="0.25">
      <c r="A506">
        <f t="shared" si="7"/>
        <v>505</v>
      </c>
      <c r="C506">
        <v>3120</v>
      </c>
      <c r="D506" t="s">
        <v>801</v>
      </c>
      <c r="E506" t="s">
        <v>802</v>
      </c>
      <c r="F506" t="s">
        <v>1085</v>
      </c>
      <c r="G506" t="s">
        <v>1285</v>
      </c>
      <c r="M506">
        <v>0</v>
      </c>
      <c r="N506">
        <v>2022</v>
      </c>
      <c r="O506" t="s">
        <v>1063</v>
      </c>
      <c r="S506">
        <v>500</v>
      </c>
      <c r="T506">
        <v>0</v>
      </c>
      <c r="V506">
        <v>0</v>
      </c>
      <c r="W506" s="21">
        <v>0</v>
      </c>
      <c r="X506">
        <v>12000</v>
      </c>
      <c r="Y506" s="21">
        <v>0</v>
      </c>
    </row>
    <row r="507" spans="1:37" x14ac:dyDescent="0.25">
      <c r="A507">
        <f t="shared" si="7"/>
        <v>506</v>
      </c>
      <c r="C507">
        <v>3121</v>
      </c>
      <c r="D507" t="s">
        <v>806</v>
      </c>
      <c r="E507" t="s">
        <v>807</v>
      </c>
      <c r="F507" t="s">
        <v>1085</v>
      </c>
      <c r="G507" t="s">
        <v>1285</v>
      </c>
      <c r="M507">
        <v>0</v>
      </c>
      <c r="N507">
        <v>2022</v>
      </c>
      <c r="O507" t="s">
        <v>1063</v>
      </c>
      <c r="S507">
        <v>200</v>
      </c>
      <c r="T507">
        <v>0</v>
      </c>
      <c r="V507">
        <v>0</v>
      </c>
      <c r="W507" s="21">
        <v>0</v>
      </c>
      <c r="X507">
        <v>25161</v>
      </c>
      <c r="Y507" s="21">
        <v>0</v>
      </c>
    </row>
    <row r="508" spans="1:37" x14ac:dyDescent="0.25">
      <c r="A508">
        <f t="shared" si="7"/>
        <v>507</v>
      </c>
      <c r="C508">
        <v>3122</v>
      </c>
      <c r="D508" t="s">
        <v>1573</v>
      </c>
      <c r="E508" t="s">
        <v>1574</v>
      </c>
      <c r="F508" t="s">
        <v>1473</v>
      </c>
      <c r="G508" t="s">
        <v>1285</v>
      </c>
      <c r="M508">
        <v>0</v>
      </c>
      <c r="N508">
        <v>2022</v>
      </c>
      <c r="O508" t="s">
        <v>1295</v>
      </c>
      <c r="S508">
        <v>550</v>
      </c>
      <c r="T508">
        <v>0</v>
      </c>
      <c r="V508">
        <v>0</v>
      </c>
      <c r="W508" s="21">
        <v>0</v>
      </c>
      <c r="X508">
        <v>4500</v>
      </c>
      <c r="Y508" s="21">
        <v>0</v>
      </c>
    </row>
    <row r="509" spans="1:37" x14ac:dyDescent="0.25">
      <c r="A509">
        <f t="shared" si="7"/>
        <v>508</v>
      </c>
      <c r="C509">
        <v>3123</v>
      </c>
      <c r="D509" t="s">
        <v>298</v>
      </c>
      <c r="E509" t="s">
        <v>811</v>
      </c>
      <c r="G509" t="s">
        <v>1285</v>
      </c>
      <c r="M509">
        <v>0</v>
      </c>
      <c r="N509">
        <v>2023</v>
      </c>
      <c r="S509">
        <v>0</v>
      </c>
      <c r="T509">
        <v>0</v>
      </c>
      <c r="V509">
        <v>0</v>
      </c>
      <c r="W509" s="21">
        <v>0</v>
      </c>
      <c r="X509">
        <v>0</v>
      </c>
      <c r="Y509" s="21">
        <v>0</v>
      </c>
    </row>
    <row r="510" spans="1:37" x14ac:dyDescent="0.25">
      <c r="A510">
        <f t="shared" si="7"/>
        <v>509</v>
      </c>
      <c r="C510">
        <v>3125</v>
      </c>
      <c r="D510" t="s">
        <v>298</v>
      </c>
      <c r="E510" t="s">
        <v>816</v>
      </c>
      <c r="F510" t="s">
        <v>1085</v>
      </c>
      <c r="G510" t="s">
        <v>1285</v>
      </c>
      <c r="M510">
        <v>0</v>
      </c>
      <c r="N510">
        <v>2023</v>
      </c>
      <c r="O510" t="s">
        <v>1063</v>
      </c>
      <c r="S510">
        <v>0</v>
      </c>
      <c r="T510">
        <v>0</v>
      </c>
      <c r="V510">
        <v>0</v>
      </c>
      <c r="W510" s="21">
        <v>0</v>
      </c>
      <c r="X510">
        <v>0</v>
      </c>
      <c r="Y510" s="21">
        <v>0</v>
      </c>
    </row>
    <row r="511" spans="1:37" x14ac:dyDescent="0.25">
      <c r="A511">
        <f t="shared" si="7"/>
        <v>510</v>
      </c>
      <c r="C511">
        <v>3126</v>
      </c>
      <c r="D511" t="s">
        <v>298</v>
      </c>
      <c r="E511" t="s">
        <v>819</v>
      </c>
      <c r="F511" t="s">
        <v>1091</v>
      </c>
      <c r="G511" t="s">
        <v>1285</v>
      </c>
      <c r="M511">
        <v>0</v>
      </c>
      <c r="N511">
        <v>2023</v>
      </c>
      <c r="O511" t="s">
        <v>1301</v>
      </c>
      <c r="S511">
        <v>0</v>
      </c>
      <c r="T511">
        <v>0</v>
      </c>
      <c r="V511">
        <v>0</v>
      </c>
      <c r="W511" s="21">
        <v>0</v>
      </c>
      <c r="X511">
        <v>37720</v>
      </c>
      <c r="Y511" s="21">
        <v>0</v>
      </c>
    </row>
    <row r="512" spans="1:37" x14ac:dyDescent="0.25">
      <c r="A512">
        <f t="shared" si="7"/>
        <v>511</v>
      </c>
      <c r="C512">
        <v>3127</v>
      </c>
      <c r="D512" t="s">
        <v>298</v>
      </c>
      <c r="E512" t="s">
        <v>822</v>
      </c>
      <c r="G512" t="s">
        <v>1285</v>
      </c>
      <c r="M512">
        <v>0</v>
      </c>
      <c r="N512">
        <v>2023</v>
      </c>
      <c r="S512">
        <v>0</v>
      </c>
      <c r="T512">
        <v>0</v>
      </c>
      <c r="V512">
        <v>0</v>
      </c>
      <c r="W512" s="21">
        <v>0</v>
      </c>
      <c r="X512">
        <v>0</v>
      </c>
      <c r="Y512" s="21">
        <v>0</v>
      </c>
      <c r="AK512" t="s">
        <v>1273</v>
      </c>
    </row>
    <row r="513" spans="1:37" x14ac:dyDescent="0.25">
      <c r="A513">
        <f t="shared" si="7"/>
        <v>512</v>
      </c>
      <c r="C513">
        <v>3128</v>
      </c>
      <c r="D513" t="s">
        <v>298</v>
      </c>
      <c r="E513" t="s">
        <v>825</v>
      </c>
      <c r="F513" t="s">
        <v>1110</v>
      </c>
      <c r="G513" t="s">
        <v>1285</v>
      </c>
      <c r="M513">
        <v>0</v>
      </c>
      <c r="N513">
        <v>2023</v>
      </c>
      <c r="O513" t="s">
        <v>1063</v>
      </c>
      <c r="S513">
        <v>0</v>
      </c>
      <c r="T513">
        <v>0</v>
      </c>
      <c r="V513">
        <v>0</v>
      </c>
      <c r="W513" s="21">
        <v>0</v>
      </c>
      <c r="X513">
        <v>0</v>
      </c>
      <c r="Y513" s="21">
        <v>0</v>
      </c>
    </row>
    <row r="514" spans="1:37" x14ac:dyDescent="0.25">
      <c r="A514">
        <f t="shared" ref="A514:A577" si="8">ROW(A514)-1</f>
        <v>513</v>
      </c>
      <c r="C514">
        <v>3129</v>
      </c>
      <c r="D514" t="s">
        <v>298</v>
      </c>
      <c r="E514" t="s">
        <v>272</v>
      </c>
      <c r="F514" t="s">
        <v>1160</v>
      </c>
      <c r="G514" t="s">
        <v>1285</v>
      </c>
      <c r="M514">
        <v>0</v>
      </c>
      <c r="N514">
        <v>2023</v>
      </c>
      <c r="O514" t="s">
        <v>1063</v>
      </c>
      <c r="S514">
        <v>0</v>
      </c>
      <c r="T514">
        <v>0</v>
      </c>
      <c r="V514">
        <v>0</v>
      </c>
      <c r="W514" s="21">
        <v>0</v>
      </c>
      <c r="X514">
        <v>0</v>
      </c>
      <c r="Y514" s="21">
        <v>0</v>
      </c>
      <c r="AK514" t="s">
        <v>1274</v>
      </c>
    </row>
    <row r="515" spans="1:37" x14ac:dyDescent="0.25">
      <c r="A515">
        <f t="shared" si="8"/>
        <v>514</v>
      </c>
      <c r="C515">
        <v>3130</v>
      </c>
      <c r="D515" t="s">
        <v>830</v>
      </c>
      <c r="E515" t="s">
        <v>831</v>
      </c>
      <c r="F515" t="s">
        <v>1085</v>
      </c>
      <c r="G515" t="s">
        <v>1285</v>
      </c>
      <c r="M515">
        <v>0</v>
      </c>
      <c r="N515">
        <v>2023</v>
      </c>
      <c r="O515" t="s">
        <v>1063</v>
      </c>
      <c r="S515">
        <v>0</v>
      </c>
      <c r="T515">
        <v>0</v>
      </c>
      <c r="V515">
        <v>0</v>
      </c>
      <c r="W515" s="21">
        <v>0</v>
      </c>
      <c r="X515">
        <v>0</v>
      </c>
      <c r="Y515" s="21">
        <v>0</v>
      </c>
    </row>
    <row r="516" spans="1:37" x14ac:dyDescent="0.25">
      <c r="A516">
        <f t="shared" si="8"/>
        <v>515</v>
      </c>
      <c r="C516">
        <v>3131</v>
      </c>
      <c r="D516" t="s">
        <v>298</v>
      </c>
      <c r="E516" t="s">
        <v>1575</v>
      </c>
      <c r="F516" t="s">
        <v>1085</v>
      </c>
      <c r="G516" t="s">
        <v>1285</v>
      </c>
      <c r="M516">
        <v>0</v>
      </c>
      <c r="N516">
        <v>2023</v>
      </c>
      <c r="O516" t="s">
        <v>1295</v>
      </c>
      <c r="S516">
        <v>0</v>
      </c>
      <c r="T516">
        <v>0</v>
      </c>
      <c r="V516">
        <v>0</v>
      </c>
      <c r="W516" s="21">
        <v>0</v>
      </c>
      <c r="X516">
        <v>0</v>
      </c>
      <c r="Y516" s="21">
        <v>0</v>
      </c>
    </row>
    <row r="517" spans="1:37" x14ac:dyDescent="0.25">
      <c r="A517">
        <f t="shared" si="8"/>
        <v>516</v>
      </c>
      <c r="C517">
        <v>3132</v>
      </c>
      <c r="D517" t="s">
        <v>298</v>
      </c>
      <c r="E517" t="s">
        <v>833</v>
      </c>
      <c r="F517" t="s">
        <v>1161</v>
      </c>
      <c r="G517" t="s">
        <v>1285</v>
      </c>
      <c r="M517">
        <v>0</v>
      </c>
      <c r="N517">
        <v>2023</v>
      </c>
      <c r="O517" t="s">
        <v>1046</v>
      </c>
      <c r="S517">
        <v>0</v>
      </c>
      <c r="T517">
        <v>0</v>
      </c>
      <c r="V517">
        <v>0</v>
      </c>
      <c r="W517" s="21">
        <v>0</v>
      </c>
      <c r="X517">
        <v>0</v>
      </c>
      <c r="Y517" s="21">
        <v>0</v>
      </c>
      <c r="AK517" t="s">
        <v>1275</v>
      </c>
    </row>
    <row r="518" spans="1:37" x14ac:dyDescent="0.25">
      <c r="A518">
        <f t="shared" si="8"/>
        <v>517</v>
      </c>
      <c r="C518">
        <v>3133</v>
      </c>
      <c r="D518" t="s">
        <v>835</v>
      </c>
      <c r="E518" t="s">
        <v>836</v>
      </c>
      <c r="F518" t="s">
        <v>1162</v>
      </c>
      <c r="G518" t="s">
        <v>1285</v>
      </c>
      <c r="M518">
        <v>0</v>
      </c>
      <c r="N518">
        <v>2023</v>
      </c>
      <c r="O518" t="s">
        <v>1046</v>
      </c>
      <c r="S518">
        <v>143</v>
      </c>
      <c r="T518">
        <v>0</v>
      </c>
      <c r="V518">
        <v>0</v>
      </c>
      <c r="W518" s="21">
        <v>0</v>
      </c>
      <c r="X518">
        <v>8566</v>
      </c>
      <c r="Y518" s="21">
        <v>2057.86</v>
      </c>
      <c r="AK518" t="s">
        <v>1276</v>
      </c>
    </row>
    <row r="519" spans="1:37" x14ac:dyDescent="0.25">
      <c r="A519">
        <f t="shared" si="8"/>
        <v>518</v>
      </c>
      <c r="C519">
        <v>3135</v>
      </c>
      <c r="D519" t="s">
        <v>839</v>
      </c>
      <c r="E519" t="s">
        <v>840</v>
      </c>
      <c r="F519" t="s">
        <v>1085</v>
      </c>
      <c r="G519" t="s">
        <v>1285</v>
      </c>
      <c r="M519">
        <v>0</v>
      </c>
      <c r="N519">
        <v>2023</v>
      </c>
      <c r="O519" t="s">
        <v>1063</v>
      </c>
      <c r="S519">
        <v>3170</v>
      </c>
      <c r="T519">
        <v>0</v>
      </c>
      <c r="V519">
        <v>0</v>
      </c>
      <c r="W519" s="21">
        <v>0</v>
      </c>
      <c r="X519">
        <v>331636</v>
      </c>
      <c r="Y519" s="21">
        <v>0</v>
      </c>
    </row>
    <row r="520" spans="1:37" x14ac:dyDescent="0.25">
      <c r="A520">
        <f t="shared" si="8"/>
        <v>519</v>
      </c>
      <c r="C520">
        <v>3136</v>
      </c>
      <c r="D520" t="s">
        <v>788</v>
      </c>
      <c r="E520" t="s">
        <v>840</v>
      </c>
      <c r="G520" t="s">
        <v>1285</v>
      </c>
      <c r="N520">
        <v>2023</v>
      </c>
      <c r="S520">
        <v>0</v>
      </c>
      <c r="T520">
        <v>0</v>
      </c>
      <c r="V520">
        <v>0</v>
      </c>
      <c r="W520" s="21">
        <v>0</v>
      </c>
      <c r="X520">
        <v>0</v>
      </c>
      <c r="Y520" s="21">
        <v>0</v>
      </c>
    </row>
    <row r="521" spans="1:37" x14ac:dyDescent="0.25">
      <c r="A521">
        <f t="shared" si="8"/>
        <v>520</v>
      </c>
      <c r="C521">
        <v>3137</v>
      </c>
      <c r="D521" t="s">
        <v>298</v>
      </c>
      <c r="E521" t="s">
        <v>843</v>
      </c>
      <c r="F521" t="s">
        <v>1163</v>
      </c>
      <c r="G521" t="s">
        <v>1285</v>
      </c>
      <c r="M521">
        <v>0</v>
      </c>
      <c r="N521">
        <v>2023</v>
      </c>
      <c r="O521" t="s">
        <v>1063</v>
      </c>
      <c r="S521">
        <v>0</v>
      </c>
      <c r="T521">
        <v>0</v>
      </c>
      <c r="V521">
        <v>0</v>
      </c>
      <c r="W521" s="21">
        <v>0</v>
      </c>
      <c r="X521">
        <v>0</v>
      </c>
      <c r="Y521" s="21">
        <v>0</v>
      </c>
    </row>
    <row r="522" spans="1:37" x14ac:dyDescent="0.25">
      <c r="A522">
        <f t="shared" si="8"/>
        <v>521</v>
      </c>
      <c r="C522">
        <v>3139</v>
      </c>
      <c r="D522" t="s">
        <v>847</v>
      </c>
      <c r="E522" t="s">
        <v>848</v>
      </c>
      <c r="F522" t="s">
        <v>1085</v>
      </c>
      <c r="G522" t="s">
        <v>1285</v>
      </c>
      <c r="M522">
        <v>0</v>
      </c>
      <c r="N522">
        <v>2023</v>
      </c>
      <c r="O522" t="s">
        <v>1063</v>
      </c>
      <c r="S522">
        <v>0</v>
      </c>
      <c r="T522">
        <v>0</v>
      </c>
      <c r="V522">
        <v>0</v>
      </c>
      <c r="W522" s="21">
        <v>0</v>
      </c>
      <c r="X522">
        <v>290000</v>
      </c>
      <c r="Y522" s="21">
        <v>0</v>
      </c>
    </row>
    <row r="523" spans="1:37" x14ac:dyDescent="0.25">
      <c r="A523">
        <f t="shared" si="8"/>
        <v>522</v>
      </c>
      <c r="C523">
        <v>3142</v>
      </c>
      <c r="D523" t="s">
        <v>298</v>
      </c>
      <c r="E523" t="s">
        <v>851</v>
      </c>
      <c r="F523" t="s">
        <v>1085</v>
      </c>
      <c r="G523" t="s">
        <v>1285</v>
      </c>
      <c r="M523">
        <v>0</v>
      </c>
      <c r="N523">
        <v>2024</v>
      </c>
      <c r="O523" t="s">
        <v>1063</v>
      </c>
      <c r="S523">
        <v>0</v>
      </c>
      <c r="T523">
        <v>0</v>
      </c>
      <c r="V523">
        <v>0</v>
      </c>
      <c r="W523" s="21">
        <v>0</v>
      </c>
      <c r="X523">
        <v>8000</v>
      </c>
      <c r="Y523" s="21">
        <v>0</v>
      </c>
    </row>
    <row r="524" spans="1:37" x14ac:dyDescent="0.25">
      <c r="A524">
        <f t="shared" si="8"/>
        <v>523</v>
      </c>
      <c r="C524">
        <v>3144</v>
      </c>
      <c r="D524" t="s">
        <v>854</v>
      </c>
      <c r="E524" t="s">
        <v>855</v>
      </c>
      <c r="F524" t="s">
        <v>1085</v>
      </c>
      <c r="G524" t="s">
        <v>1285</v>
      </c>
      <c r="M524">
        <v>0</v>
      </c>
      <c r="N524">
        <v>2024</v>
      </c>
      <c r="O524" t="s">
        <v>1063</v>
      </c>
      <c r="S524">
        <v>0</v>
      </c>
      <c r="T524">
        <v>0</v>
      </c>
      <c r="V524">
        <v>0</v>
      </c>
      <c r="W524" s="21">
        <v>0</v>
      </c>
      <c r="X524">
        <v>250000</v>
      </c>
      <c r="Y524" s="21">
        <v>0</v>
      </c>
    </row>
    <row r="525" spans="1:37" x14ac:dyDescent="0.25">
      <c r="A525">
        <f t="shared" si="8"/>
        <v>524</v>
      </c>
      <c r="C525">
        <v>3146</v>
      </c>
      <c r="D525" t="s">
        <v>858</v>
      </c>
      <c r="E525" t="s">
        <v>859</v>
      </c>
      <c r="F525" t="s">
        <v>1085</v>
      </c>
      <c r="G525" t="s">
        <v>1285</v>
      </c>
      <c r="M525">
        <v>0</v>
      </c>
      <c r="N525">
        <v>2024</v>
      </c>
      <c r="O525" t="s">
        <v>1063</v>
      </c>
      <c r="S525">
        <v>0</v>
      </c>
      <c r="T525">
        <v>0</v>
      </c>
      <c r="V525">
        <v>0</v>
      </c>
      <c r="W525" s="21">
        <v>0</v>
      </c>
      <c r="X525">
        <v>0</v>
      </c>
      <c r="Y525" s="21">
        <v>0</v>
      </c>
    </row>
    <row r="526" spans="1:37" x14ac:dyDescent="0.25">
      <c r="A526">
        <f t="shared" si="8"/>
        <v>525</v>
      </c>
      <c r="C526">
        <v>3147</v>
      </c>
      <c r="D526" t="s">
        <v>861</v>
      </c>
      <c r="E526" t="s">
        <v>862</v>
      </c>
      <c r="F526" t="s">
        <v>1164</v>
      </c>
      <c r="G526" t="s">
        <v>1285</v>
      </c>
      <c r="M526">
        <v>0</v>
      </c>
      <c r="N526">
        <v>2024</v>
      </c>
      <c r="O526" t="s">
        <v>1301</v>
      </c>
      <c r="S526">
        <v>0</v>
      </c>
      <c r="T526">
        <v>0</v>
      </c>
      <c r="V526">
        <v>0</v>
      </c>
      <c r="W526" s="21">
        <v>0</v>
      </c>
      <c r="X526">
        <v>40085</v>
      </c>
      <c r="Y526" s="21">
        <v>0</v>
      </c>
    </row>
    <row r="527" spans="1:37" x14ac:dyDescent="0.25">
      <c r="A527">
        <f t="shared" si="8"/>
        <v>526</v>
      </c>
      <c r="C527">
        <v>3153</v>
      </c>
      <c r="D527" t="s">
        <v>867</v>
      </c>
      <c r="E527" t="s">
        <v>868</v>
      </c>
      <c r="F527" t="s">
        <v>1091</v>
      </c>
      <c r="G527" t="s">
        <v>1285</v>
      </c>
      <c r="M527">
        <v>0</v>
      </c>
      <c r="N527">
        <v>2024</v>
      </c>
      <c r="O527" t="s">
        <v>1301</v>
      </c>
      <c r="S527">
        <v>240</v>
      </c>
      <c r="T527">
        <v>0</v>
      </c>
      <c r="V527">
        <v>0</v>
      </c>
      <c r="W527" s="21">
        <v>0</v>
      </c>
      <c r="X527">
        <v>11362</v>
      </c>
      <c r="Y527" s="21">
        <v>0</v>
      </c>
    </row>
    <row r="528" spans="1:37" x14ac:dyDescent="0.25">
      <c r="A528">
        <f t="shared" si="8"/>
        <v>527</v>
      </c>
      <c r="C528">
        <v>3154</v>
      </c>
      <c r="D528" t="s">
        <v>872</v>
      </c>
      <c r="E528" t="s">
        <v>873</v>
      </c>
      <c r="F528" t="s">
        <v>1085</v>
      </c>
      <c r="G528" t="s">
        <v>1285</v>
      </c>
      <c r="M528">
        <v>0</v>
      </c>
      <c r="N528">
        <v>2024</v>
      </c>
      <c r="S528">
        <v>1200</v>
      </c>
      <c r="T528">
        <v>0</v>
      </c>
      <c r="V528">
        <v>0</v>
      </c>
      <c r="W528" s="21">
        <v>0</v>
      </c>
      <c r="X528">
        <v>28000</v>
      </c>
      <c r="Y528" s="21">
        <v>0</v>
      </c>
    </row>
    <row r="529" spans="1:25" x14ac:dyDescent="0.25">
      <c r="A529">
        <f t="shared" si="8"/>
        <v>528</v>
      </c>
      <c r="C529">
        <v>3155</v>
      </c>
      <c r="D529" t="s">
        <v>277</v>
      </c>
      <c r="E529" t="s">
        <v>874</v>
      </c>
      <c r="F529" t="s">
        <v>1085</v>
      </c>
      <c r="G529" t="s">
        <v>1285</v>
      </c>
      <c r="M529">
        <v>0</v>
      </c>
      <c r="N529">
        <v>2024</v>
      </c>
      <c r="O529" t="s">
        <v>1063</v>
      </c>
      <c r="S529">
        <v>180</v>
      </c>
      <c r="T529">
        <v>0</v>
      </c>
      <c r="V529">
        <v>0</v>
      </c>
      <c r="W529" s="21">
        <v>0</v>
      </c>
      <c r="X529">
        <v>1500</v>
      </c>
      <c r="Y529" s="21">
        <v>0</v>
      </c>
    </row>
    <row r="530" spans="1:25" x14ac:dyDescent="0.25">
      <c r="A530">
        <f t="shared" si="8"/>
        <v>529</v>
      </c>
      <c r="C530">
        <v>3159</v>
      </c>
      <c r="D530" t="s">
        <v>181</v>
      </c>
      <c r="E530" t="s">
        <v>878</v>
      </c>
      <c r="F530" t="s">
        <v>1079</v>
      </c>
      <c r="G530" t="s">
        <v>1285</v>
      </c>
      <c r="M530">
        <v>0</v>
      </c>
      <c r="N530">
        <v>2025</v>
      </c>
      <c r="O530" t="s">
        <v>1063</v>
      </c>
      <c r="S530">
        <v>340</v>
      </c>
      <c r="T530">
        <v>0</v>
      </c>
      <c r="V530">
        <v>0</v>
      </c>
      <c r="W530" s="21">
        <v>0</v>
      </c>
      <c r="X530">
        <v>725000</v>
      </c>
      <c r="Y530" s="21">
        <v>0</v>
      </c>
    </row>
    <row r="531" spans="1:25" x14ac:dyDescent="0.25">
      <c r="A531">
        <f t="shared" si="8"/>
        <v>530</v>
      </c>
      <c r="C531">
        <v>3160</v>
      </c>
      <c r="D531" t="s">
        <v>883</v>
      </c>
      <c r="E531" t="s">
        <v>884</v>
      </c>
      <c r="F531" t="s">
        <v>1085</v>
      </c>
      <c r="G531" t="s">
        <v>1285</v>
      </c>
      <c r="M531">
        <v>0</v>
      </c>
      <c r="N531">
        <v>2025</v>
      </c>
      <c r="O531" t="s">
        <v>1063</v>
      </c>
      <c r="S531">
        <v>180</v>
      </c>
      <c r="T531">
        <v>0</v>
      </c>
      <c r="V531">
        <v>0</v>
      </c>
      <c r="W531" s="21">
        <v>0</v>
      </c>
      <c r="X531">
        <v>25000</v>
      </c>
      <c r="Y531" s="21">
        <v>0</v>
      </c>
    </row>
    <row r="532" spans="1:25" x14ac:dyDescent="0.25">
      <c r="A532">
        <f t="shared" si="8"/>
        <v>531</v>
      </c>
      <c r="C532">
        <v>3162</v>
      </c>
      <c r="D532" t="s">
        <v>887</v>
      </c>
      <c r="E532" t="s">
        <v>888</v>
      </c>
      <c r="F532" t="s">
        <v>1085</v>
      </c>
      <c r="G532" t="s">
        <v>1285</v>
      </c>
      <c r="M532">
        <v>0</v>
      </c>
      <c r="N532">
        <v>2025</v>
      </c>
      <c r="O532" t="s">
        <v>1063</v>
      </c>
      <c r="S532">
        <v>180</v>
      </c>
      <c r="T532">
        <v>0</v>
      </c>
      <c r="V532">
        <v>0</v>
      </c>
      <c r="W532" s="21">
        <v>0</v>
      </c>
      <c r="X532">
        <v>120000</v>
      </c>
      <c r="Y532" s="21">
        <v>0</v>
      </c>
    </row>
    <row r="533" spans="1:25" x14ac:dyDescent="0.25">
      <c r="A533">
        <f t="shared" si="8"/>
        <v>532</v>
      </c>
      <c r="C533">
        <v>3164</v>
      </c>
      <c r="D533" t="s">
        <v>891</v>
      </c>
      <c r="E533" t="s">
        <v>892</v>
      </c>
      <c r="F533" t="s">
        <v>1137</v>
      </c>
      <c r="G533" t="s">
        <v>1285</v>
      </c>
      <c r="M533">
        <v>0</v>
      </c>
      <c r="N533">
        <v>2025</v>
      </c>
      <c r="O533" t="s">
        <v>1088</v>
      </c>
      <c r="S533">
        <v>7995</v>
      </c>
      <c r="T533">
        <v>0</v>
      </c>
      <c r="V533">
        <v>0</v>
      </c>
      <c r="W533" s="21">
        <v>0</v>
      </c>
      <c r="X533">
        <v>0</v>
      </c>
      <c r="Y533" s="21">
        <v>0</v>
      </c>
    </row>
    <row r="534" spans="1:25" x14ac:dyDescent="0.25">
      <c r="A534">
        <f t="shared" si="8"/>
        <v>533</v>
      </c>
      <c r="C534">
        <v>855</v>
      </c>
      <c r="D534" t="s">
        <v>1576</v>
      </c>
      <c r="E534" t="s">
        <v>1577</v>
      </c>
      <c r="F534" t="s">
        <v>1085</v>
      </c>
      <c r="G534" t="s">
        <v>1285</v>
      </c>
      <c r="M534">
        <v>0</v>
      </c>
      <c r="N534">
        <v>2025</v>
      </c>
      <c r="O534" t="s">
        <v>1088</v>
      </c>
      <c r="S534">
        <v>1792</v>
      </c>
      <c r="T534">
        <v>0</v>
      </c>
      <c r="V534">
        <v>0</v>
      </c>
      <c r="W534" s="21">
        <v>0</v>
      </c>
      <c r="X534">
        <v>90700</v>
      </c>
      <c r="Y534" s="21">
        <v>0</v>
      </c>
    </row>
    <row r="535" spans="1:25" x14ac:dyDescent="0.25">
      <c r="A535">
        <f t="shared" si="8"/>
        <v>534</v>
      </c>
      <c r="C535">
        <v>854</v>
      </c>
      <c r="D535" t="s">
        <v>897</v>
      </c>
      <c r="E535" t="s">
        <v>898</v>
      </c>
      <c r="G535" t="s">
        <v>1285</v>
      </c>
      <c r="M535">
        <v>0</v>
      </c>
      <c r="N535">
        <v>2024</v>
      </c>
      <c r="S535">
        <v>7500</v>
      </c>
      <c r="T535">
        <v>0</v>
      </c>
      <c r="V535">
        <v>0</v>
      </c>
      <c r="W535" s="21">
        <v>0</v>
      </c>
      <c r="X535">
        <v>290000</v>
      </c>
      <c r="Y535" s="21">
        <v>0</v>
      </c>
    </row>
    <row r="536" spans="1:25" x14ac:dyDescent="0.25">
      <c r="A536">
        <f t="shared" si="8"/>
        <v>535</v>
      </c>
      <c r="C536">
        <v>853</v>
      </c>
      <c r="D536" t="s">
        <v>1578</v>
      </c>
      <c r="E536" t="s">
        <v>1579</v>
      </c>
      <c r="F536" t="s">
        <v>1085</v>
      </c>
      <c r="G536" t="s">
        <v>1285</v>
      </c>
      <c r="M536">
        <v>0</v>
      </c>
      <c r="N536">
        <v>2023</v>
      </c>
      <c r="S536">
        <v>980</v>
      </c>
      <c r="T536">
        <v>0</v>
      </c>
      <c r="V536">
        <v>0</v>
      </c>
      <c r="W536" s="21">
        <v>0</v>
      </c>
      <c r="X536">
        <v>155000</v>
      </c>
      <c r="Y536" s="21">
        <v>0</v>
      </c>
    </row>
    <row r="537" spans="1:25" x14ac:dyDescent="0.25">
      <c r="A537">
        <f t="shared" si="8"/>
        <v>536</v>
      </c>
      <c r="C537">
        <v>852</v>
      </c>
      <c r="D537" t="s">
        <v>1580</v>
      </c>
      <c r="E537" t="s">
        <v>1581</v>
      </c>
      <c r="F537" t="s">
        <v>1582</v>
      </c>
      <c r="G537" t="s">
        <v>1285</v>
      </c>
      <c r="M537">
        <v>0</v>
      </c>
      <c r="N537">
        <v>2024</v>
      </c>
      <c r="O537" t="s">
        <v>1063</v>
      </c>
      <c r="S537">
        <v>0</v>
      </c>
      <c r="T537">
        <v>0</v>
      </c>
      <c r="V537">
        <v>0</v>
      </c>
      <c r="W537" s="21">
        <v>0</v>
      </c>
      <c r="X537">
        <v>160000</v>
      </c>
      <c r="Y537" s="21">
        <v>0</v>
      </c>
    </row>
    <row r="538" spans="1:25" x14ac:dyDescent="0.25">
      <c r="A538">
        <f t="shared" si="8"/>
        <v>537</v>
      </c>
      <c r="C538">
        <v>849</v>
      </c>
      <c r="D538" t="s">
        <v>1583</v>
      </c>
      <c r="E538" t="s">
        <v>1584</v>
      </c>
      <c r="F538" t="s">
        <v>1085</v>
      </c>
      <c r="G538" t="s">
        <v>1285</v>
      </c>
      <c r="M538">
        <v>0</v>
      </c>
      <c r="N538">
        <v>2023</v>
      </c>
      <c r="O538" t="s">
        <v>1082</v>
      </c>
      <c r="S538">
        <v>250</v>
      </c>
      <c r="T538">
        <v>0</v>
      </c>
      <c r="V538">
        <v>0</v>
      </c>
      <c r="W538" s="21">
        <v>0</v>
      </c>
      <c r="X538">
        <v>30000</v>
      </c>
      <c r="Y538" s="21">
        <v>0</v>
      </c>
    </row>
    <row r="539" spans="1:25" x14ac:dyDescent="0.25">
      <c r="A539">
        <f t="shared" si="8"/>
        <v>538</v>
      </c>
      <c r="C539">
        <v>847</v>
      </c>
      <c r="D539" t="s">
        <v>1585</v>
      </c>
      <c r="E539" t="s">
        <v>1586</v>
      </c>
      <c r="G539" t="s">
        <v>1285</v>
      </c>
      <c r="M539">
        <v>0</v>
      </c>
      <c r="N539">
        <v>2023</v>
      </c>
      <c r="S539">
        <v>496</v>
      </c>
      <c r="T539">
        <v>0</v>
      </c>
      <c r="V539">
        <v>0</v>
      </c>
      <c r="W539" s="21">
        <v>0</v>
      </c>
      <c r="X539">
        <v>52000</v>
      </c>
      <c r="Y539" s="21">
        <v>0</v>
      </c>
    </row>
    <row r="540" spans="1:25" x14ac:dyDescent="0.25">
      <c r="A540">
        <f t="shared" si="8"/>
        <v>539</v>
      </c>
      <c r="C540">
        <v>846</v>
      </c>
      <c r="D540" t="s">
        <v>899</v>
      </c>
      <c r="E540" t="s">
        <v>900</v>
      </c>
      <c r="F540" t="s">
        <v>1085</v>
      </c>
      <c r="G540" t="s">
        <v>1285</v>
      </c>
      <c r="M540">
        <v>0</v>
      </c>
      <c r="N540">
        <v>2023</v>
      </c>
      <c r="O540" t="s">
        <v>1063</v>
      </c>
      <c r="S540">
        <v>0</v>
      </c>
      <c r="T540">
        <v>0</v>
      </c>
      <c r="V540">
        <v>0</v>
      </c>
      <c r="W540" s="21">
        <v>0</v>
      </c>
      <c r="X540">
        <v>0</v>
      </c>
      <c r="Y540" s="21">
        <v>0</v>
      </c>
    </row>
    <row r="541" spans="1:25" x14ac:dyDescent="0.25">
      <c r="A541">
        <f t="shared" si="8"/>
        <v>540</v>
      </c>
      <c r="C541">
        <v>842</v>
      </c>
      <c r="D541" t="s">
        <v>1587</v>
      </c>
      <c r="E541" t="s">
        <v>1588</v>
      </c>
      <c r="G541" t="s">
        <v>1285</v>
      </c>
      <c r="M541">
        <v>0</v>
      </c>
      <c r="N541">
        <v>2023</v>
      </c>
      <c r="S541">
        <v>0</v>
      </c>
      <c r="T541">
        <v>0</v>
      </c>
      <c r="V541">
        <v>0</v>
      </c>
      <c r="W541" s="21">
        <v>0</v>
      </c>
      <c r="X541">
        <v>50000</v>
      </c>
      <c r="Y541" s="21">
        <v>0</v>
      </c>
    </row>
    <row r="542" spans="1:25" x14ac:dyDescent="0.25">
      <c r="A542">
        <f t="shared" si="8"/>
        <v>541</v>
      </c>
      <c r="C542">
        <v>840</v>
      </c>
      <c r="D542" t="s">
        <v>903</v>
      </c>
      <c r="E542" t="s">
        <v>904</v>
      </c>
      <c r="F542" t="s">
        <v>1085</v>
      </c>
      <c r="G542" t="s">
        <v>1285</v>
      </c>
      <c r="M542">
        <v>0</v>
      </c>
      <c r="N542">
        <v>2023</v>
      </c>
      <c r="S542">
        <v>770</v>
      </c>
      <c r="T542">
        <v>0</v>
      </c>
      <c r="V542">
        <v>0</v>
      </c>
      <c r="W542" s="21">
        <v>0</v>
      </c>
      <c r="X542">
        <v>37500</v>
      </c>
      <c r="Y542" s="21">
        <v>0</v>
      </c>
    </row>
    <row r="543" spans="1:25" x14ac:dyDescent="0.25">
      <c r="A543">
        <f t="shared" si="8"/>
        <v>542</v>
      </c>
      <c r="C543">
        <v>839</v>
      </c>
      <c r="D543" t="s">
        <v>907</v>
      </c>
      <c r="E543" t="s">
        <v>908</v>
      </c>
      <c r="F543" t="s">
        <v>1085</v>
      </c>
      <c r="G543" t="s">
        <v>1285</v>
      </c>
      <c r="M543">
        <v>0</v>
      </c>
      <c r="N543">
        <v>2023</v>
      </c>
      <c r="O543" t="s">
        <v>1063</v>
      </c>
      <c r="S543">
        <v>0</v>
      </c>
      <c r="T543">
        <v>0</v>
      </c>
      <c r="V543">
        <v>0</v>
      </c>
      <c r="W543" s="21">
        <v>0</v>
      </c>
      <c r="X543">
        <v>8000</v>
      </c>
      <c r="Y543" s="21">
        <v>0</v>
      </c>
    </row>
    <row r="544" spans="1:25" x14ac:dyDescent="0.25">
      <c r="A544">
        <f t="shared" si="8"/>
        <v>543</v>
      </c>
      <c r="C544">
        <v>838</v>
      </c>
      <c r="D544" t="s">
        <v>911</v>
      </c>
      <c r="E544" t="s">
        <v>912</v>
      </c>
      <c r="F544" t="s">
        <v>1085</v>
      </c>
      <c r="G544" t="s">
        <v>1285</v>
      </c>
      <c r="M544">
        <v>0</v>
      </c>
      <c r="N544">
        <v>2024</v>
      </c>
      <c r="O544" t="s">
        <v>1292</v>
      </c>
      <c r="S544">
        <v>450</v>
      </c>
      <c r="T544">
        <v>0</v>
      </c>
      <c r="V544">
        <v>0</v>
      </c>
      <c r="W544" s="21">
        <v>0</v>
      </c>
      <c r="X544">
        <v>11500</v>
      </c>
      <c r="Y544" s="21">
        <v>0</v>
      </c>
    </row>
    <row r="545" spans="1:25" x14ac:dyDescent="0.25">
      <c r="A545">
        <f t="shared" si="8"/>
        <v>544</v>
      </c>
      <c r="D545" t="s">
        <v>915</v>
      </c>
      <c r="E545" t="s">
        <v>916</v>
      </c>
      <c r="F545" t="s">
        <v>1085</v>
      </c>
      <c r="G545" t="s">
        <v>1285</v>
      </c>
      <c r="M545">
        <v>0</v>
      </c>
      <c r="N545">
        <v>2023</v>
      </c>
      <c r="O545" t="s">
        <v>1063</v>
      </c>
      <c r="S545">
        <v>0</v>
      </c>
      <c r="T545">
        <v>0</v>
      </c>
      <c r="V545">
        <v>0</v>
      </c>
      <c r="W545" s="21">
        <v>0</v>
      </c>
      <c r="X545">
        <v>0</v>
      </c>
      <c r="Y545" s="21">
        <v>0</v>
      </c>
    </row>
    <row r="546" spans="1:25" x14ac:dyDescent="0.25">
      <c r="A546">
        <f t="shared" si="8"/>
        <v>545</v>
      </c>
      <c r="C546">
        <v>828</v>
      </c>
      <c r="D546" t="s">
        <v>918</v>
      </c>
      <c r="E546" t="s">
        <v>919</v>
      </c>
      <c r="F546" t="s">
        <v>1085</v>
      </c>
      <c r="G546" t="s">
        <v>1285</v>
      </c>
      <c r="M546">
        <v>0</v>
      </c>
      <c r="N546">
        <v>2023</v>
      </c>
      <c r="O546" t="s">
        <v>1063</v>
      </c>
      <c r="S546">
        <v>0</v>
      </c>
      <c r="T546">
        <v>0</v>
      </c>
      <c r="V546">
        <v>0</v>
      </c>
      <c r="W546" s="21">
        <v>0</v>
      </c>
      <c r="X546">
        <v>0</v>
      </c>
      <c r="Y546" s="21">
        <v>0</v>
      </c>
    </row>
    <row r="547" spans="1:25" x14ac:dyDescent="0.25">
      <c r="A547">
        <f t="shared" si="8"/>
        <v>546</v>
      </c>
      <c r="C547">
        <v>827</v>
      </c>
      <c r="E547" t="s">
        <v>1589</v>
      </c>
      <c r="G547" t="s">
        <v>1285</v>
      </c>
      <c r="M547">
        <v>0</v>
      </c>
      <c r="N547">
        <v>2021</v>
      </c>
      <c r="S547">
        <v>0</v>
      </c>
      <c r="T547">
        <v>0</v>
      </c>
      <c r="V547">
        <v>0</v>
      </c>
      <c r="W547" s="21">
        <v>0</v>
      </c>
      <c r="X547">
        <v>0</v>
      </c>
      <c r="Y547" s="21">
        <v>0</v>
      </c>
    </row>
    <row r="548" spans="1:25" x14ac:dyDescent="0.25">
      <c r="A548">
        <f t="shared" si="8"/>
        <v>547</v>
      </c>
      <c r="C548">
        <v>826</v>
      </c>
      <c r="D548" t="s">
        <v>1590</v>
      </c>
      <c r="G548" t="s">
        <v>1285</v>
      </c>
      <c r="M548">
        <v>0</v>
      </c>
      <c r="N548">
        <v>0</v>
      </c>
      <c r="S548">
        <v>0</v>
      </c>
      <c r="T548">
        <v>0</v>
      </c>
      <c r="V548">
        <v>0</v>
      </c>
      <c r="W548" s="21">
        <v>0</v>
      </c>
      <c r="X548">
        <v>0</v>
      </c>
      <c r="Y548" s="21">
        <v>0</v>
      </c>
    </row>
    <row r="549" spans="1:25" x14ac:dyDescent="0.25">
      <c r="A549">
        <f t="shared" si="8"/>
        <v>548</v>
      </c>
      <c r="C549">
        <v>825</v>
      </c>
      <c r="E549" t="s">
        <v>1591</v>
      </c>
      <c r="G549" t="s">
        <v>1285</v>
      </c>
      <c r="M549">
        <v>0</v>
      </c>
      <c r="N549">
        <v>2021</v>
      </c>
      <c r="S549">
        <v>0</v>
      </c>
      <c r="T549">
        <v>0</v>
      </c>
      <c r="V549">
        <v>0</v>
      </c>
      <c r="W549" s="21">
        <v>0</v>
      </c>
      <c r="X549">
        <v>0</v>
      </c>
      <c r="Y549" s="21">
        <v>0</v>
      </c>
    </row>
    <row r="550" spans="1:25" x14ac:dyDescent="0.25">
      <c r="A550">
        <f t="shared" si="8"/>
        <v>549</v>
      </c>
      <c r="C550">
        <v>819</v>
      </c>
      <c r="E550" t="s">
        <v>922</v>
      </c>
      <c r="G550" t="s">
        <v>1285</v>
      </c>
      <c r="M550">
        <v>0</v>
      </c>
      <c r="N550">
        <v>2021</v>
      </c>
      <c r="S550">
        <v>0</v>
      </c>
      <c r="T550">
        <v>0</v>
      </c>
      <c r="V550">
        <v>0</v>
      </c>
      <c r="W550" s="21">
        <v>0</v>
      </c>
      <c r="X550">
        <v>0</v>
      </c>
      <c r="Y550" s="21">
        <v>0</v>
      </c>
    </row>
    <row r="551" spans="1:25" x14ac:dyDescent="0.25">
      <c r="A551">
        <f t="shared" si="8"/>
        <v>550</v>
      </c>
      <c r="C551">
        <v>813</v>
      </c>
      <c r="D551" t="s">
        <v>926</v>
      </c>
      <c r="G551" t="s">
        <v>1285</v>
      </c>
      <c r="M551">
        <v>0</v>
      </c>
      <c r="N551">
        <v>2021</v>
      </c>
      <c r="S551">
        <v>0</v>
      </c>
      <c r="T551">
        <v>0</v>
      </c>
      <c r="V551">
        <v>0</v>
      </c>
      <c r="W551" s="21">
        <v>0</v>
      </c>
      <c r="X551">
        <v>0</v>
      </c>
      <c r="Y551" s="21">
        <v>0</v>
      </c>
    </row>
    <row r="552" spans="1:25" x14ac:dyDescent="0.25">
      <c r="A552">
        <f t="shared" si="8"/>
        <v>551</v>
      </c>
      <c r="C552">
        <v>802</v>
      </c>
      <c r="D552" t="s">
        <v>929</v>
      </c>
      <c r="E552" t="s">
        <v>930</v>
      </c>
      <c r="G552" t="s">
        <v>1285</v>
      </c>
      <c r="M552">
        <v>0</v>
      </c>
      <c r="N552">
        <v>2019</v>
      </c>
      <c r="S552">
        <v>0</v>
      </c>
      <c r="T552">
        <v>0</v>
      </c>
      <c r="V552">
        <v>0</v>
      </c>
      <c r="W552" s="21">
        <v>0</v>
      </c>
      <c r="X552">
        <v>0</v>
      </c>
      <c r="Y552" s="21">
        <v>0</v>
      </c>
    </row>
    <row r="553" spans="1:25" x14ac:dyDescent="0.25">
      <c r="A553">
        <f t="shared" si="8"/>
        <v>552</v>
      </c>
      <c r="C553">
        <v>801</v>
      </c>
      <c r="D553" t="s">
        <v>1592</v>
      </c>
      <c r="E553" t="s">
        <v>1593</v>
      </c>
      <c r="F553" t="s">
        <v>1594</v>
      </c>
      <c r="G553" t="s">
        <v>1285</v>
      </c>
      <c r="M553">
        <v>0</v>
      </c>
      <c r="N553">
        <v>2019</v>
      </c>
      <c r="O553" t="s">
        <v>1082</v>
      </c>
      <c r="S553">
        <v>0</v>
      </c>
      <c r="T553">
        <v>0</v>
      </c>
      <c r="V553">
        <v>0</v>
      </c>
      <c r="W553" s="21">
        <v>0</v>
      </c>
      <c r="X553">
        <v>0</v>
      </c>
      <c r="Y553" s="21">
        <v>0</v>
      </c>
    </row>
    <row r="554" spans="1:25" x14ac:dyDescent="0.25">
      <c r="A554">
        <f t="shared" si="8"/>
        <v>553</v>
      </c>
      <c r="E554" t="s">
        <v>933</v>
      </c>
      <c r="G554" t="s">
        <v>1285</v>
      </c>
      <c r="M554">
        <v>0</v>
      </c>
      <c r="N554">
        <v>2019</v>
      </c>
      <c r="S554">
        <v>0</v>
      </c>
      <c r="T554">
        <v>0</v>
      </c>
      <c r="V554">
        <v>0</v>
      </c>
      <c r="W554" s="21">
        <v>0</v>
      </c>
      <c r="X554">
        <v>0</v>
      </c>
      <c r="Y554" s="21">
        <v>0</v>
      </c>
    </row>
    <row r="555" spans="1:25" x14ac:dyDescent="0.25">
      <c r="A555">
        <f t="shared" si="8"/>
        <v>554</v>
      </c>
      <c r="C555">
        <v>798</v>
      </c>
      <c r="D555" t="s">
        <v>1595</v>
      </c>
      <c r="E555" t="s">
        <v>1596</v>
      </c>
      <c r="G555" t="s">
        <v>1285</v>
      </c>
      <c r="M555">
        <v>0</v>
      </c>
      <c r="N555">
        <v>2018</v>
      </c>
      <c r="S555">
        <v>0</v>
      </c>
      <c r="T555">
        <v>0</v>
      </c>
      <c r="V555">
        <v>0</v>
      </c>
      <c r="W555" s="21">
        <v>0</v>
      </c>
      <c r="X555">
        <v>0</v>
      </c>
      <c r="Y555" s="21">
        <v>200</v>
      </c>
    </row>
    <row r="556" spans="1:25" x14ac:dyDescent="0.25">
      <c r="A556">
        <f t="shared" si="8"/>
        <v>555</v>
      </c>
      <c r="C556">
        <v>797</v>
      </c>
      <c r="D556" t="s">
        <v>1597</v>
      </c>
      <c r="E556" t="s">
        <v>1598</v>
      </c>
      <c r="F556" t="s">
        <v>1599</v>
      </c>
      <c r="G556" t="s">
        <v>1285</v>
      </c>
      <c r="M556">
        <v>0</v>
      </c>
      <c r="N556">
        <v>2019</v>
      </c>
      <c r="O556" t="s">
        <v>1063</v>
      </c>
      <c r="S556">
        <v>0</v>
      </c>
      <c r="T556">
        <v>0</v>
      </c>
      <c r="V556">
        <v>0</v>
      </c>
      <c r="W556" s="21">
        <v>0</v>
      </c>
      <c r="X556">
        <v>0</v>
      </c>
      <c r="Y556" s="21">
        <v>0</v>
      </c>
    </row>
    <row r="557" spans="1:25" x14ac:dyDescent="0.25">
      <c r="A557">
        <f t="shared" si="8"/>
        <v>556</v>
      </c>
      <c r="C557">
        <v>796</v>
      </c>
      <c r="E557" t="s">
        <v>1600</v>
      </c>
      <c r="G557" t="s">
        <v>1285</v>
      </c>
      <c r="M557">
        <v>0</v>
      </c>
      <c r="N557">
        <v>2019</v>
      </c>
      <c r="S557">
        <v>0</v>
      </c>
      <c r="T557">
        <v>0</v>
      </c>
      <c r="V557">
        <v>0</v>
      </c>
      <c r="W557" s="21">
        <v>0</v>
      </c>
      <c r="X557">
        <v>0</v>
      </c>
      <c r="Y557" s="21"/>
    </row>
    <row r="558" spans="1:25" x14ac:dyDescent="0.25">
      <c r="A558">
        <f t="shared" si="8"/>
        <v>557</v>
      </c>
      <c r="C558">
        <v>795</v>
      </c>
      <c r="D558" t="s">
        <v>1601</v>
      </c>
      <c r="E558" t="s">
        <v>1602</v>
      </c>
      <c r="F558" t="s">
        <v>1165</v>
      </c>
      <c r="G558" t="s">
        <v>1285</v>
      </c>
      <c r="M558">
        <v>0</v>
      </c>
      <c r="N558">
        <v>2018</v>
      </c>
      <c r="O558" t="s">
        <v>1063</v>
      </c>
      <c r="S558">
        <v>0</v>
      </c>
      <c r="T558">
        <v>0</v>
      </c>
      <c r="V558">
        <v>0</v>
      </c>
      <c r="W558" s="21">
        <v>0</v>
      </c>
      <c r="X558">
        <v>0</v>
      </c>
      <c r="Y558" s="21">
        <v>7000</v>
      </c>
    </row>
    <row r="559" spans="1:25" x14ac:dyDescent="0.25">
      <c r="A559">
        <f t="shared" si="8"/>
        <v>558</v>
      </c>
      <c r="C559">
        <v>793</v>
      </c>
      <c r="D559" t="s">
        <v>1603</v>
      </c>
      <c r="E559" t="s">
        <v>1604</v>
      </c>
      <c r="F559" t="s">
        <v>1165</v>
      </c>
      <c r="G559" t="s">
        <v>1285</v>
      </c>
      <c r="M559">
        <v>0</v>
      </c>
      <c r="N559">
        <v>2017</v>
      </c>
      <c r="O559" t="s">
        <v>1063</v>
      </c>
      <c r="S559">
        <v>0</v>
      </c>
      <c r="T559">
        <v>0</v>
      </c>
      <c r="V559">
        <v>0</v>
      </c>
      <c r="W559" s="21">
        <v>0</v>
      </c>
      <c r="X559">
        <v>0</v>
      </c>
      <c r="Y559" s="21">
        <v>0</v>
      </c>
    </row>
    <row r="560" spans="1:25" x14ac:dyDescent="0.25">
      <c r="A560">
        <f t="shared" si="8"/>
        <v>559</v>
      </c>
      <c r="C560">
        <v>792</v>
      </c>
      <c r="D560" t="s">
        <v>937</v>
      </c>
      <c r="E560" t="s">
        <v>938</v>
      </c>
      <c r="F560" t="s">
        <v>1165</v>
      </c>
      <c r="G560" t="s">
        <v>1285</v>
      </c>
      <c r="M560">
        <v>0</v>
      </c>
      <c r="N560">
        <v>2017</v>
      </c>
      <c r="O560" t="s">
        <v>1063</v>
      </c>
      <c r="S560">
        <v>0</v>
      </c>
      <c r="T560">
        <v>0</v>
      </c>
      <c r="V560">
        <v>0</v>
      </c>
      <c r="W560" s="21">
        <v>0</v>
      </c>
      <c r="X560">
        <v>17150</v>
      </c>
      <c r="Y560" s="21">
        <v>0</v>
      </c>
    </row>
    <row r="561" spans="1:25" x14ac:dyDescent="0.25">
      <c r="A561">
        <f t="shared" si="8"/>
        <v>560</v>
      </c>
      <c r="C561">
        <v>791</v>
      </c>
      <c r="D561" t="s">
        <v>941</v>
      </c>
      <c r="E561" t="s">
        <v>942</v>
      </c>
      <c r="F561" t="s">
        <v>1085</v>
      </c>
      <c r="G561" t="s">
        <v>1285</v>
      </c>
      <c r="M561">
        <v>0</v>
      </c>
      <c r="N561">
        <v>2019</v>
      </c>
      <c r="O561" t="s">
        <v>1063</v>
      </c>
      <c r="S561">
        <v>0</v>
      </c>
      <c r="T561">
        <v>0</v>
      </c>
      <c r="V561">
        <v>0</v>
      </c>
      <c r="W561" s="21">
        <v>0</v>
      </c>
      <c r="X561">
        <v>0</v>
      </c>
      <c r="Y561" s="21">
        <v>0</v>
      </c>
    </row>
    <row r="562" spans="1:25" x14ac:dyDescent="0.25">
      <c r="A562">
        <f t="shared" si="8"/>
        <v>561</v>
      </c>
      <c r="C562">
        <v>790</v>
      </c>
      <c r="D562" t="s">
        <v>1605</v>
      </c>
      <c r="E562" t="s">
        <v>1606</v>
      </c>
      <c r="F562" t="s">
        <v>1165</v>
      </c>
      <c r="G562" t="s">
        <v>1285</v>
      </c>
      <c r="M562">
        <v>0</v>
      </c>
      <c r="N562">
        <v>2017</v>
      </c>
      <c r="O562" t="s">
        <v>1063</v>
      </c>
      <c r="S562">
        <v>0</v>
      </c>
      <c r="T562">
        <v>0</v>
      </c>
      <c r="V562">
        <v>0</v>
      </c>
      <c r="W562" s="21">
        <v>0</v>
      </c>
      <c r="X562">
        <v>0</v>
      </c>
      <c r="Y562" s="21">
        <v>0</v>
      </c>
    </row>
    <row r="563" spans="1:25" x14ac:dyDescent="0.25">
      <c r="A563">
        <f t="shared" si="8"/>
        <v>562</v>
      </c>
      <c r="C563">
        <v>789</v>
      </c>
      <c r="D563" t="s">
        <v>946</v>
      </c>
      <c r="E563" t="s">
        <v>404</v>
      </c>
      <c r="G563" t="s">
        <v>1285</v>
      </c>
      <c r="M563">
        <v>0</v>
      </c>
      <c r="N563">
        <v>2018</v>
      </c>
      <c r="S563">
        <v>0</v>
      </c>
      <c r="T563">
        <v>0</v>
      </c>
      <c r="V563">
        <v>0</v>
      </c>
      <c r="W563" s="21">
        <v>0</v>
      </c>
      <c r="X563">
        <v>0</v>
      </c>
      <c r="Y563" s="21">
        <v>0</v>
      </c>
    </row>
    <row r="564" spans="1:25" x14ac:dyDescent="0.25">
      <c r="A564">
        <f t="shared" si="8"/>
        <v>563</v>
      </c>
      <c r="C564">
        <v>788</v>
      </c>
      <c r="E564" t="s">
        <v>1607</v>
      </c>
      <c r="G564" t="s">
        <v>1285</v>
      </c>
      <c r="M564">
        <v>0</v>
      </c>
      <c r="N564">
        <v>2018</v>
      </c>
      <c r="S564">
        <v>0</v>
      </c>
      <c r="T564">
        <v>0</v>
      </c>
      <c r="V564">
        <v>0</v>
      </c>
      <c r="W564" s="21">
        <v>0</v>
      </c>
      <c r="X564">
        <v>0</v>
      </c>
      <c r="Y564" s="21">
        <v>0</v>
      </c>
    </row>
    <row r="565" spans="1:25" x14ac:dyDescent="0.25">
      <c r="A565">
        <f t="shared" si="8"/>
        <v>564</v>
      </c>
      <c r="C565">
        <v>787</v>
      </c>
      <c r="D565" t="s">
        <v>1608</v>
      </c>
      <c r="E565" t="s">
        <v>1609</v>
      </c>
      <c r="F565" t="s">
        <v>1165</v>
      </c>
      <c r="G565" t="s">
        <v>1285</v>
      </c>
      <c r="M565">
        <v>0</v>
      </c>
      <c r="N565">
        <v>2017</v>
      </c>
      <c r="O565" t="s">
        <v>1063</v>
      </c>
      <c r="S565">
        <v>0</v>
      </c>
      <c r="T565">
        <v>0</v>
      </c>
      <c r="V565">
        <v>0</v>
      </c>
      <c r="W565" s="21">
        <v>0</v>
      </c>
      <c r="X565">
        <v>0</v>
      </c>
      <c r="Y565" s="21">
        <v>0</v>
      </c>
    </row>
    <row r="566" spans="1:25" x14ac:dyDescent="0.25">
      <c r="A566">
        <f t="shared" si="8"/>
        <v>565</v>
      </c>
      <c r="C566">
        <v>786</v>
      </c>
      <c r="D566" t="s">
        <v>1610</v>
      </c>
      <c r="E566" t="s">
        <v>1611</v>
      </c>
      <c r="F566" t="s">
        <v>1612</v>
      </c>
      <c r="G566" t="s">
        <v>1285</v>
      </c>
      <c r="M566">
        <v>0</v>
      </c>
      <c r="N566">
        <v>2017</v>
      </c>
      <c r="O566" t="s">
        <v>1082</v>
      </c>
      <c r="S566">
        <v>0</v>
      </c>
      <c r="T566">
        <v>0</v>
      </c>
      <c r="V566">
        <v>0</v>
      </c>
      <c r="W566" s="21">
        <v>0</v>
      </c>
      <c r="X566">
        <v>0</v>
      </c>
      <c r="Y566" s="21">
        <v>0</v>
      </c>
    </row>
    <row r="567" spans="1:25" x14ac:dyDescent="0.25">
      <c r="A567">
        <f t="shared" si="8"/>
        <v>566</v>
      </c>
      <c r="C567">
        <v>785</v>
      </c>
      <c r="D567" t="s">
        <v>1613</v>
      </c>
      <c r="E567" t="s">
        <v>1614</v>
      </c>
      <c r="F567" t="s">
        <v>1165</v>
      </c>
      <c r="G567" t="s">
        <v>1285</v>
      </c>
      <c r="M567">
        <v>0</v>
      </c>
      <c r="N567">
        <v>2017</v>
      </c>
      <c r="O567" t="s">
        <v>1063</v>
      </c>
      <c r="S567">
        <v>0</v>
      </c>
      <c r="T567">
        <v>0</v>
      </c>
      <c r="V567">
        <v>0</v>
      </c>
      <c r="W567" s="21">
        <v>0</v>
      </c>
      <c r="X567">
        <v>0</v>
      </c>
      <c r="Y567" s="21">
        <v>0</v>
      </c>
    </row>
    <row r="568" spans="1:25" x14ac:dyDescent="0.25">
      <c r="A568">
        <f t="shared" si="8"/>
        <v>567</v>
      </c>
      <c r="C568">
        <v>784</v>
      </c>
      <c r="D568" t="s">
        <v>937</v>
      </c>
      <c r="E568" t="s">
        <v>1615</v>
      </c>
      <c r="G568" t="s">
        <v>1285</v>
      </c>
      <c r="M568">
        <v>0</v>
      </c>
      <c r="N568">
        <v>2018</v>
      </c>
      <c r="S568">
        <v>0</v>
      </c>
      <c r="T568">
        <v>0</v>
      </c>
      <c r="V568">
        <v>0</v>
      </c>
      <c r="W568" s="21">
        <v>0</v>
      </c>
      <c r="X568">
        <v>0</v>
      </c>
      <c r="Y568" s="21">
        <v>0</v>
      </c>
    </row>
    <row r="569" spans="1:25" x14ac:dyDescent="0.25">
      <c r="A569">
        <f t="shared" si="8"/>
        <v>568</v>
      </c>
      <c r="C569">
        <v>783</v>
      </c>
      <c r="D569" t="s">
        <v>937</v>
      </c>
      <c r="E569" t="s">
        <v>1616</v>
      </c>
      <c r="G569" t="s">
        <v>1285</v>
      </c>
      <c r="M569">
        <v>0</v>
      </c>
      <c r="N569">
        <v>2018</v>
      </c>
      <c r="S569">
        <v>0</v>
      </c>
      <c r="T569">
        <v>0</v>
      </c>
      <c r="V569">
        <v>0</v>
      </c>
      <c r="W569" s="21">
        <v>0</v>
      </c>
      <c r="X569">
        <v>0</v>
      </c>
      <c r="Y569" s="21">
        <v>0</v>
      </c>
    </row>
    <row r="570" spans="1:25" x14ac:dyDescent="0.25">
      <c r="A570">
        <f t="shared" si="8"/>
        <v>569</v>
      </c>
      <c r="C570">
        <v>782</v>
      </c>
      <c r="D570" t="s">
        <v>948</v>
      </c>
      <c r="E570" t="s">
        <v>949</v>
      </c>
      <c r="F570" t="s">
        <v>1166</v>
      </c>
      <c r="G570" t="s">
        <v>1285</v>
      </c>
      <c r="M570">
        <v>0</v>
      </c>
      <c r="N570">
        <v>2018</v>
      </c>
      <c r="O570" t="s">
        <v>1063</v>
      </c>
      <c r="S570">
        <v>0</v>
      </c>
      <c r="T570">
        <v>0</v>
      </c>
      <c r="V570">
        <v>0</v>
      </c>
      <c r="W570" s="21">
        <v>0</v>
      </c>
      <c r="X570">
        <v>0</v>
      </c>
      <c r="Y570" s="21">
        <v>0</v>
      </c>
    </row>
    <row r="571" spans="1:25" x14ac:dyDescent="0.25">
      <c r="A571">
        <f t="shared" si="8"/>
        <v>570</v>
      </c>
      <c r="C571">
        <v>781</v>
      </c>
      <c r="D571" t="s">
        <v>1617</v>
      </c>
      <c r="E571" t="s">
        <v>1618</v>
      </c>
      <c r="F571" t="s">
        <v>1166</v>
      </c>
      <c r="G571" t="s">
        <v>1285</v>
      </c>
      <c r="M571">
        <v>0</v>
      </c>
      <c r="N571">
        <v>2018</v>
      </c>
      <c r="O571" t="s">
        <v>1063</v>
      </c>
      <c r="S571">
        <v>0</v>
      </c>
      <c r="T571">
        <v>0</v>
      </c>
      <c r="V571">
        <v>0</v>
      </c>
      <c r="W571" s="21">
        <v>0</v>
      </c>
      <c r="X571">
        <v>0</v>
      </c>
      <c r="Y571" s="21">
        <v>0</v>
      </c>
    </row>
    <row r="572" spans="1:25" x14ac:dyDescent="0.25">
      <c r="A572">
        <f t="shared" si="8"/>
        <v>571</v>
      </c>
      <c r="C572">
        <v>780</v>
      </c>
      <c r="D572" t="s">
        <v>1619</v>
      </c>
      <c r="E572" t="s">
        <v>1620</v>
      </c>
      <c r="F572" t="s">
        <v>1085</v>
      </c>
      <c r="G572" t="s">
        <v>1285</v>
      </c>
      <c r="M572">
        <v>0</v>
      </c>
      <c r="N572">
        <v>2018</v>
      </c>
      <c r="O572" t="s">
        <v>1082</v>
      </c>
      <c r="S572">
        <v>0</v>
      </c>
      <c r="T572">
        <v>0</v>
      </c>
      <c r="V572">
        <v>0</v>
      </c>
      <c r="W572" s="21">
        <v>0</v>
      </c>
      <c r="X572">
        <v>0</v>
      </c>
      <c r="Y572" s="21">
        <v>0</v>
      </c>
    </row>
    <row r="573" spans="1:25" x14ac:dyDescent="0.25">
      <c r="A573">
        <f t="shared" si="8"/>
        <v>572</v>
      </c>
      <c r="C573">
        <v>779</v>
      </c>
      <c r="D573" t="s">
        <v>952</v>
      </c>
      <c r="E573" t="s">
        <v>953</v>
      </c>
      <c r="F573" t="s">
        <v>1167</v>
      </c>
      <c r="G573" t="s">
        <v>1285</v>
      </c>
      <c r="M573">
        <v>0</v>
      </c>
      <c r="N573">
        <v>2018</v>
      </c>
      <c r="O573" t="s">
        <v>1082</v>
      </c>
      <c r="S573">
        <v>0</v>
      </c>
      <c r="T573">
        <v>0</v>
      </c>
      <c r="V573">
        <v>0</v>
      </c>
      <c r="W573" s="21">
        <v>0</v>
      </c>
      <c r="X573">
        <v>0</v>
      </c>
      <c r="Y573" s="21">
        <v>0</v>
      </c>
    </row>
    <row r="574" spans="1:25" x14ac:dyDescent="0.25">
      <c r="A574">
        <f t="shared" si="8"/>
        <v>573</v>
      </c>
      <c r="C574">
        <v>778</v>
      </c>
      <c r="D574" t="s">
        <v>1621</v>
      </c>
      <c r="E574" t="s">
        <v>1622</v>
      </c>
      <c r="G574" t="s">
        <v>1285</v>
      </c>
      <c r="M574">
        <v>0</v>
      </c>
      <c r="N574">
        <v>2017</v>
      </c>
      <c r="S574">
        <v>0</v>
      </c>
      <c r="T574">
        <v>0</v>
      </c>
      <c r="V574">
        <v>0</v>
      </c>
      <c r="W574" s="21">
        <v>0</v>
      </c>
      <c r="X574">
        <v>0</v>
      </c>
      <c r="Y574" s="21">
        <v>0</v>
      </c>
    </row>
    <row r="575" spans="1:25" x14ac:dyDescent="0.25">
      <c r="A575">
        <f t="shared" si="8"/>
        <v>574</v>
      </c>
      <c r="C575">
        <v>777</v>
      </c>
      <c r="D575" t="s">
        <v>955</v>
      </c>
      <c r="E575" t="s">
        <v>956</v>
      </c>
      <c r="F575" t="s">
        <v>1168</v>
      </c>
      <c r="G575" t="s">
        <v>1285</v>
      </c>
      <c r="M575">
        <v>0</v>
      </c>
      <c r="N575">
        <v>2019</v>
      </c>
      <c r="O575" t="s">
        <v>1063</v>
      </c>
      <c r="S575">
        <v>0</v>
      </c>
      <c r="T575">
        <v>0</v>
      </c>
      <c r="V575">
        <v>0</v>
      </c>
      <c r="W575" s="21">
        <v>0</v>
      </c>
      <c r="X575">
        <v>0</v>
      </c>
      <c r="Y575" s="21">
        <v>0</v>
      </c>
    </row>
    <row r="576" spans="1:25" x14ac:dyDescent="0.25">
      <c r="A576">
        <f t="shared" si="8"/>
        <v>575</v>
      </c>
      <c r="C576">
        <v>776</v>
      </c>
      <c r="D576" t="s">
        <v>959</v>
      </c>
      <c r="E576" t="s">
        <v>960</v>
      </c>
      <c r="F576" t="s">
        <v>1169</v>
      </c>
      <c r="G576" t="s">
        <v>1285</v>
      </c>
      <c r="M576">
        <v>0</v>
      </c>
      <c r="N576">
        <v>2020</v>
      </c>
      <c r="O576" t="s">
        <v>1063</v>
      </c>
      <c r="S576">
        <v>0</v>
      </c>
      <c r="T576">
        <v>0</v>
      </c>
      <c r="V576">
        <v>0</v>
      </c>
      <c r="W576" s="21">
        <v>0</v>
      </c>
      <c r="X576">
        <v>0</v>
      </c>
      <c r="Y576" s="21">
        <v>0</v>
      </c>
    </row>
    <row r="577" spans="1:25" x14ac:dyDescent="0.25">
      <c r="A577">
        <f t="shared" si="8"/>
        <v>576</v>
      </c>
      <c r="C577">
        <v>775</v>
      </c>
      <c r="E577" t="s">
        <v>1623</v>
      </c>
      <c r="G577" t="s">
        <v>1285</v>
      </c>
      <c r="M577">
        <v>0</v>
      </c>
      <c r="N577">
        <v>2016</v>
      </c>
      <c r="S577">
        <v>0</v>
      </c>
      <c r="T577">
        <v>0</v>
      </c>
      <c r="V577">
        <v>0</v>
      </c>
      <c r="W577" s="21">
        <v>0</v>
      </c>
      <c r="X577">
        <v>0</v>
      </c>
      <c r="Y577" s="21">
        <v>0</v>
      </c>
    </row>
    <row r="578" spans="1:25" x14ac:dyDescent="0.25">
      <c r="A578">
        <f t="shared" ref="A578:A641" si="9">ROW(A578)-1</f>
        <v>577</v>
      </c>
      <c r="C578">
        <v>774</v>
      </c>
      <c r="D578" t="s">
        <v>963</v>
      </c>
      <c r="E578" t="s">
        <v>964</v>
      </c>
      <c r="G578" t="s">
        <v>1285</v>
      </c>
      <c r="M578">
        <v>0</v>
      </c>
      <c r="N578">
        <v>2018</v>
      </c>
      <c r="S578">
        <v>0</v>
      </c>
      <c r="T578">
        <v>0</v>
      </c>
      <c r="V578">
        <v>0</v>
      </c>
      <c r="W578" s="21">
        <v>0</v>
      </c>
      <c r="X578">
        <v>0</v>
      </c>
      <c r="Y578" s="21">
        <v>0</v>
      </c>
    </row>
    <row r="579" spans="1:25" x14ac:dyDescent="0.25">
      <c r="A579">
        <f t="shared" si="9"/>
        <v>578</v>
      </c>
      <c r="C579">
        <v>773</v>
      </c>
      <c r="D579" t="s">
        <v>1624</v>
      </c>
      <c r="E579" t="s">
        <v>1625</v>
      </c>
      <c r="G579" t="s">
        <v>1285</v>
      </c>
      <c r="M579">
        <v>0</v>
      </c>
      <c r="N579">
        <v>2017</v>
      </c>
      <c r="S579">
        <v>0</v>
      </c>
      <c r="T579">
        <v>0</v>
      </c>
      <c r="V579">
        <v>0</v>
      </c>
      <c r="W579" s="21">
        <v>0</v>
      </c>
      <c r="X579">
        <v>0</v>
      </c>
      <c r="Y579" s="21">
        <v>0</v>
      </c>
    </row>
    <row r="580" spans="1:25" x14ac:dyDescent="0.25">
      <c r="A580">
        <f t="shared" si="9"/>
        <v>579</v>
      </c>
      <c r="C580">
        <v>772</v>
      </c>
      <c r="D580" t="s">
        <v>1626</v>
      </c>
      <c r="E580" t="s">
        <v>1627</v>
      </c>
      <c r="F580" t="s">
        <v>1628</v>
      </c>
      <c r="G580" t="s">
        <v>1285</v>
      </c>
      <c r="M580">
        <v>0</v>
      </c>
      <c r="N580">
        <v>2016</v>
      </c>
      <c r="O580" t="s">
        <v>1063</v>
      </c>
      <c r="S580">
        <v>0</v>
      </c>
      <c r="T580">
        <v>0</v>
      </c>
      <c r="V580">
        <v>0</v>
      </c>
      <c r="W580" s="21">
        <v>0</v>
      </c>
      <c r="X580">
        <v>0</v>
      </c>
      <c r="Y580" s="21">
        <v>0</v>
      </c>
    </row>
    <row r="581" spans="1:25" x14ac:dyDescent="0.25">
      <c r="A581">
        <f t="shared" si="9"/>
        <v>580</v>
      </c>
      <c r="C581">
        <v>771</v>
      </c>
      <c r="D581" t="s">
        <v>966</v>
      </c>
      <c r="E581" t="s">
        <v>967</v>
      </c>
      <c r="F581" t="s">
        <v>1170</v>
      </c>
      <c r="G581" t="s">
        <v>1285</v>
      </c>
      <c r="M581">
        <v>0</v>
      </c>
      <c r="N581">
        <v>2021</v>
      </c>
      <c r="O581" t="s">
        <v>1063</v>
      </c>
      <c r="S581">
        <v>0</v>
      </c>
      <c r="T581">
        <v>0</v>
      </c>
      <c r="V581">
        <v>0</v>
      </c>
      <c r="W581" s="21">
        <v>0</v>
      </c>
      <c r="X581">
        <v>0</v>
      </c>
      <c r="Y581" s="21">
        <v>0</v>
      </c>
    </row>
    <row r="582" spans="1:25" x14ac:dyDescent="0.25">
      <c r="A582">
        <f t="shared" si="9"/>
        <v>581</v>
      </c>
      <c r="C582">
        <v>770</v>
      </c>
      <c r="E582" t="s">
        <v>970</v>
      </c>
      <c r="F582" t="s">
        <v>1170</v>
      </c>
      <c r="G582" t="s">
        <v>1285</v>
      </c>
      <c r="M582">
        <v>0</v>
      </c>
      <c r="N582">
        <v>2015</v>
      </c>
      <c r="O582" t="s">
        <v>1063</v>
      </c>
      <c r="S582">
        <v>0</v>
      </c>
      <c r="T582">
        <v>0</v>
      </c>
      <c r="V582">
        <v>0</v>
      </c>
      <c r="W582" s="21">
        <v>0</v>
      </c>
      <c r="X582">
        <v>0</v>
      </c>
      <c r="Y582" s="21">
        <v>0</v>
      </c>
    </row>
    <row r="583" spans="1:25" x14ac:dyDescent="0.25">
      <c r="A583">
        <f t="shared" si="9"/>
        <v>582</v>
      </c>
      <c r="C583">
        <v>769</v>
      </c>
      <c r="D583" t="s">
        <v>1629</v>
      </c>
      <c r="E583" t="s">
        <v>1630</v>
      </c>
      <c r="F583" t="s">
        <v>1631</v>
      </c>
      <c r="G583" t="s">
        <v>1285</v>
      </c>
      <c r="M583">
        <v>0</v>
      </c>
      <c r="N583">
        <v>2016</v>
      </c>
      <c r="O583" t="s">
        <v>1063</v>
      </c>
      <c r="Q583" t="s">
        <v>1118</v>
      </c>
      <c r="S583">
        <v>0</v>
      </c>
      <c r="T583">
        <v>0</v>
      </c>
      <c r="V583">
        <v>0</v>
      </c>
      <c r="W583" s="21">
        <v>0</v>
      </c>
      <c r="X583">
        <v>0</v>
      </c>
      <c r="Y583" s="21">
        <v>0</v>
      </c>
    </row>
    <row r="584" spans="1:25" x14ac:dyDescent="0.25">
      <c r="A584">
        <f t="shared" si="9"/>
        <v>583</v>
      </c>
      <c r="C584">
        <v>731</v>
      </c>
      <c r="D584" t="s">
        <v>1632</v>
      </c>
      <c r="E584" t="s">
        <v>1633</v>
      </c>
      <c r="F584" t="s">
        <v>1175</v>
      </c>
      <c r="G584" t="s">
        <v>1285</v>
      </c>
      <c r="M584">
        <v>0</v>
      </c>
      <c r="N584">
        <v>2017</v>
      </c>
      <c r="O584" t="s">
        <v>1082</v>
      </c>
      <c r="S584">
        <v>0</v>
      </c>
      <c r="T584">
        <v>0</v>
      </c>
      <c r="V584">
        <v>0</v>
      </c>
      <c r="W584" s="21">
        <v>0</v>
      </c>
      <c r="X584">
        <v>0</v>
      </c>
      <c r="Y584" s="21">
        <v>0</v>
      </c>
    </row>
    <row r="585" spans="1:25" x14ac:dyDescent="0.25">
      <c r="A585">
        <f t="shared" si="9"/>
        <v>584</v>
      </c>
      <c r="C585">
        <v>721</v>
      </c>
      <c r="D585" t="s">
        <v>973</v>
      </c>
      <c r="E585" t="s">
        <v>974</v>
      </c>
      <c r="G585" t="s">
        <v>1285</v>
      </c>
      <c r="H585" t="s">
        <v>1171</v>
      </c>
      <c r="I585" t="s">
        <v>567</v>
      </c>
      <c r="J585" t="s">
        <v>1172</v>
      </c>
      <c r="K585" t="s">
        <v>1060</v>
      </c>
      <c r="M585">
        <v>0</v>
      </c>
      <c r="N585">
        <v>2020</v>
      </c>
      <c r="O585" t="s">
        <v>1063</v>
      </c>
      <c r="S585">
        <v>0</v>
      </c>
      <c r="T585">
        <v>0</v>
      </c>
      <c r="V585">
        <v>0</v>
      </c>
      <c r="W585" s="21">
        <v>0</v>
      </c>
      <c r="X585">
        <v>0</v>
      </c>
      <c r="Y585" s="21">
        <v>0</v>
      </c>
    </row>
    <row r="586" spans="1:25" x14ac:dyDescent="0.25">
      <c r="A586">
        <f t="shared" si="9"/>
        <v>585</v>
      </c>
      <c r="C586">
        <v>719</v>
      </c>
      <c r="D586" t="s">
        <v>977</v>
      </c>
      <c r="E586" t="s">
        <v>314</v>
      </c>
      <c r="F586" t="s">
        <v>1173</v>
      </c>
      <c r="G586" t="s">
        <v>1285</v>
      </c>
      <c r="M586">
        <v>0</v>
      </c>
      <c r="N586">
        <v>2023</v>
      </c>
      <c r="O586" t="s">
        <v>1063</v>
      </c>
      <c r="S586">
        <v>0</v>
      </c>
      <c r="T586">
        <v>0</v>
      </c>
      <c r="V586">
        <v>0</v>
      </c>
      <c r="W586" s="21">
        <v>0</v>
      </c>
      <c r="X586">
        <v>0</v>
      </c>
      <c r="Y586" s="21">
        <v>0</v>
      </c>
    </row>
    <row r="587" spans="1:25" x14ac:dyDescent="0.25">
      <c r="A587">
        <f t="shared" si="9"/>
        <v>586</v>
      </c>
      <c r="C587">
        <v>768</v>
      </c>
      <c r="D587" t="s">
        <v>189</v>
      </c>
      <c r="E587" t="s">
        <v>978</v>
      </c>
      <c r="F587" t="s">
        <v>1174</v>
      </c>
      <c r="G587" t="s">
        <v>1285</v>
      </c>
      <c r="M587">
        <v>0</v>
      </c>
      <c r="N587">
        <v>2014</v>
      </c>
      <c r="O587" t="s">
        <v>1063</v>
      </c>
      <c r="S587">
        <v>0</v>
      </c>
      <c r="T587">
        <v>0</v>
      </c>
      <c r="V587">
        <v>0</v>
      </c>
      <c r="W587" s="21">
        <v>0</v>
      </c>
      <c r="X587">
        <v>0</v>
      </c>
      <c r="Y587" s="21">
        <v>0</v>
      </c>
    </row>
    <row r="588" spans="1:25" x14ac:dyDescent="0.25">
      <c r="A588">
        <f t="shared" si="9"/>
        <v>587</v>
      </c>
      <c r="C588">
        <v>767</v>
      </c>
      <c r="D588" t="s">
        <v>981</v>
      </c>
      <c r="E588" t="s">
        <v>982</v>
      </c>
      <c r="F588" t="s">
        <v>984</v>
      </c>
      <c r="G588" t="s">
        <v>1285</v>
      </c>
      <c r="M588">
        <v>0</v>
      </c>
      <c r="N588">
        <v>2015</v>
      </c>
      <c r="O588" t="s">
        <v>1063</v>
      </c>
      <c r="S588">
        <v>0</v>
      </c>
      <c r="T588">
        <v>0</v>
      </c>
      <c r="V588">
        <v>0</v>
      </c>
      <c r="W588" s="21">
        <v>0</v>
      </c>
      <c r="X588">
        <v>0</v>
      </c>
      <c r="Y588" s="21">
        <v>0</v>
      </c>
    </row>
    <row r="589" spans="1:25" x14ac:dyDescent="0.25">
      <c r="A589">
        <f t="shared" si="9"/>
        <v>588</v>
      </c>
      <c r="C589">
        <v>766</v>
      </c>
      <c r="D589" t="s">
        <v>1634</v>
      </c>
      <c r="E589" t="s">
        <v>1635</v>
      </c>
      <c r="F589" t="s">
        <v>1170</v>
      </c>
      <c r="G589" t="s">
        <v>1285</v>
      </c>
      <c r="M589">
        <v>0</v>
      </c>
      <c r="N589">
        <v>2017</v>
      </c>
      <c r="O589" t="s">
        <v>1063</v>
      </c>
      <c r="S589">
        <v>0</v>
      </c>
      <c r="T589">
        <v>0</v>
      </c>
      <c r="V589">
        <v>0</v>
      </c>
      <c r="W589" s="21">
        <v>0</v>
      </c>
      <c r="X589">
        <v>0</v>
      </c>
      <c r="Y589" s="21">
        <v>0</v>
      </c>
    </row>
    <row r="590" spans="1:25" x14ac:dyDescent="0.25">
      <c r="A590">
        <f t="shared" si="9"/>
        <v>589</v>
      </c>
      <c r="C590">
        <v>765</v>
      </c>
      <c r="D590" t="s">
        <v>1636</v>
      </c>
      <c r="E590" t="s">
        <v>1637</v>
      </c>
      <c r="F590" t="s">
        <v>1594</v>
      </c>
      <c r="G590" t="s">
        <v>1285</v>
      </c>
      <c r="M590">
        <v>0</v>
      </c>
      <c r="N590">
        <v>2013</v>
      </c>
      <c r="O590" t="s">
        <v>1082</v>
      </c>
      <c r="S590">
        <v>0</v>
      </c>
      <c r="T590">
        <v>0</v>
      </c>
      <c r="V590">
        <v>0</v>
      </c>
      <c r="W590" s="21">
        <v>0</v>
      </c>
      <c r="X590">
        <v>0</v>
      </c>
      <c r="Y590" s="21">
        <v>0</v>
      </c>
    </row>
    <row r="591" spans="1:25" x14ac:dyDescent="0.25">
      <c r="A591">
        <f t="shared" si="9"/>
        <v>590</v>
      </c>
      <c r="C591">
        <v>764</v>
      </c>
      <c r="D591" t="s">
        <v>985</v>
      </c>
      <c r="E591" t="s">
        <v>986</v>
      </c>
      <c r="F591" t="s">
        <v>1085</v>
      </c>
      <c r="G591" t="s">
        <v>1285</v>
      </c>
      <c r="M591">
        <v>0</v>
      </c>
      <c r="N591">
        <v>2014</v>
      </c>
      <c r="O591" t="s">
        <v>1063</v>
      </c>
      <c r="S591">
        <v>0</v>
      </c>
      <c r="T591">
        <v>0</v>
      </c>
      <c r="V591">
        <v>0</v>
      </c>
      <c r="W591" s="21">
        <v>0</v>
      </c>
      <c r="X591">
        <v>0</v>
      </c>
      <c r="Y591" s="21">
        <v>0</v>
      </c>
    </row>
    <row r="592" spans="1:25" x14ac:dyDescent="0.25">
      <c r="A592">
        <f t="shared" si="9"/>
        <v>591</v>
      </c>
      <c r="C592">
        <v>763</v>
      </c>
      <c r="D592" t="s">
        <v>1638</v>
      </c>
      <c r="E592" t="s">
        <v>1639</v>
      </c>
      <c r="F592" t="s">
        <v>1170</v>
      </c>
      <c r="G592" t="s">
        <v>1285</v>
      </c>
      <c r="M592">
        <v>0</v>
      </c>
      <c r="N592">
        <v>2019</v>
      </c>
      <c r="O592" t="s">
        <v>1063</v>
      </c>
      <c r="S592">
        <v>0</v>
      </c>
      <c r="T592">
        <v>0</v>
      </c>
      <c r="V592">
        <v>0</v>
      </c>
      <c r="W592" s="21">
        <v>0</v>
      </c>
      <c r="X592">
        <v>0</v>
      </c>
      <c r="Y592" s="21">
        <v>0</v>
      </c>
    </row>
    <row r="593" spans="1:37" x14ac:dyDescent="0.25">
      <c r="A593">
        <f t="shared" si="9"/>
        <v>592</v>
      </c>
      <c r="C593">
        <v>762</v>
      </c>
      <c r="E593" t="s">
        <v>988</v>
      </c>
      <c r="F593" t="s">
        <v>1175</v>
      </c>
      <c r="G593" t="s">
        <v>1285</v>
      </c>
      <c r="M593">
        <v>0</v>
      </c>
      <c r="N593">
        <v>2014</v>
      </c>
      <c r="O593" t="s">
        <v>1082</v>
      </c>
      <c r="S593">
        <v>0</v>
      </c>
      <c r="T593">
        <v>0</v>
      </c>
      <c r="V593">
        <v>0</v>
      </c>
      <c r="W593" s="21">
        <v>0</v>
      </c>
      <c r="X593">
        <v>0</v>
      </c>
      <c r="Y593" s="21">
        <v>0</v>
      </c>
    </row>
    <row r="594" spans="1:37" x14ac:dyDescent="0.25">
      <c r="A594">
        <f t="shared" si="9"/>
        <v>593</v>
      </c>
      <c r="C594">
        <v>761</v>
      </c>
      <c r="D594" t="s">
        <v>992</v>
      </c>
      <c r="E594" t="s">
        <v>993</v>
      </c>
      <c r="F594" t="s">
        <v>1085</v>
      </c>
      <c r="G594" t="s">
        <v>1285</v>
      </c>
      <c r="M594">
        <v>0</v>
      </c>
      <c r="N594">
        <v>2013</v>
      </c>
      <c r="O594" t="s">
        <v>1063</v>
      </c>
      <c r="S594">
        <v>0</v>
      </c>
      <c r="T594">
        <v>0</v>
      </c>
      <c r="V594">
        <v>0</v>
      </c>
      <c r="W594" s="21">
        <v>0</v>
      </c>
      <c r="X594">
        <v>0</v>
      </c>
      <c r="Y594" s="21">
        <v>0</v>
      </c>
    </row>
    <row r="595" spans="1:37" x14ac:dyDescent="0.25">
      <c r="A595">
        <f t="shared" si="9"/>
        <v>594</v>
      </c>
      <c r="C595">
        <v>760</v>
      </c>
      <c r="D595" t="s">
        <v>1640</v>
      </c>
      <c r="E595" t="s">
        <v>1641</v>
      </c>
      <c r="F595" t="s">
        <v>1642</v>
      </c>
      <c r="G595" t="s">
        <v>1285</v>
      </c>
      <c r="M595">
        <v>0</v>
      </c>
      <c r="N595">
        <v>2018</v>
      </c>
      <c r="O595" t="s">
        <v>1082</v>
      </c>
      <c r="S595">
        <v>0</v>
      </c>
      <c r="T595">
        <v>0</v>
      </c>
      <c r="V595">
        <v>0</v>
      </c>
      <c r="W595" s="21">
        <v>0</v>
      </c>
      <c r="X595">
        <v>0</v>
      </c>
      <c r="Y595" s="21">
        <v>0</v>
      </c>
    </row>
    <row r="596" spans="1:37" x14ac:dyDescent="0.25">
      <c r="A596">
        <f t="shared" si="9"/>
        <v>595</v>
      </c>
      <c r="C596">
        <v>759</v>
      </c>
      <c r="D596" t="s">
        <v>996</v>
      </c>
      <c r="E596" t="s">
        <v>997</v>
      </c>
      <c r="F596" t="s">
        <v>1085</v>
      </c>
      <c r="G596" t="s">
        <v>1285</v>
      </c>
      <c r="M596">
        <v>0</v>
      </c>
      <c r="N596">
        <v>2014</v>
      </c>
      <c r="O596" t="s">
        <v>1063</v>
      </c>
      <c r="S596">
        <v>0</v>
      </c>
      <c r="T596">
        <v>0</v>
      </c>
      <c r="V596">
        <v>0</v>
      </c>
      <c r="W596" s="21">
        <v>0</v>
      </c>
      <c r="X596">
        <v>0</v>
      </c>
      <c r="Y596" s="21">
        <v>0</v>
      </c>
    </row>
    <row r="597" spans="1:37" x14ac:dyDescent="0.25">
      <c r="A597">
        <f t="shared" si="9"/>
        <v>596</v>
      </c>
      <c r="C597">
        <v>758</v>
      </c>
      <c r="D597" t="s">
        <v>1643</v>
      </c>
      <c r="E597" t="s">
        <v>1644</v>
      </c>
      <c r="G597" t="s">
        <v>1285</v>
      </c>
      <c r="M597">
        <v>0</v>
      </c>
      <c r="N597">
        <v>2012</v>
      </c>
      <c r="S597">
        <v>0</v>
      </c>
      <c r="T597">
        <v>0</v>
      </c>
      <c r="V597">
        <v>0</v>
      </c>
      <c r="W597" s="21">
        <v>0</v>
      </c>
      <c r="X597">
        <v>0</v>
      </c>
      <c r="Y597" s="21">
        <v>0</v>
      </c>
    </row>
    <row r="598" spans="1:37" x14ac:dyDescent="0.25">
      <c r="A598">
        <f t="shared" si="9"/>
        <v>597</v>
      </c>
      <c r="C598">
        <v>735</v>
      </c>
      <c r="D598" t="s">
        <v>1645</v>
      </c>
      <c r="E598" t="s">
        <v>1646</v>
      </c>
      <c r="F598" t="s">
        <v>1118</v>
      </c>
      <c r="G598" t="s">
        <v>1285</v>
      </c>
      <c r="M598">
        <v>1700</v>
      </c>
      <c r="N598">
        <v>2019</v>
      </c>
      <c r="O598" t="s">
        <v>1046</v>
      </c>
      <c r="S598">
        <v>2898</v>
      </c>
      <c r="T598">
        <v>0</v>
      </c>
      <c r="V598">
        <v>376721</v>
      </c>
      <c r="W598" s="21">
        <v>0</v>
      </c>
      <c r="X598">
        <v>12250</v>
      </c>
      <c r="Y598" s="21">
        <v>0</v>
      </c>
    </row>
    <row r="599" spans="1:37" x14ac:dyDescent="0.25">
      <c r="A599">
        <f t="shared" si="9"/>
        <v>598</v>
      </c>
      <c r="C599">
        <v>737</v>
      </c>
      <c r="D599" t="s">
        <v>1647</v>
      </c>
      <c r="E599" t="s">
        <v>1648</v>
      </c>
      <c r="F599" t="s">
        <v>1165</v>
      </c>
      <c r="G599" t="s">
        <v>1285</v>
      </c>
      <c r="M599">
        <v>0</v>
      </c>
      <c r="N599">
        <v>2020</v>
      </c>
      <c r="O599" t="s">
        <v>1063</v>
      </c>
      <c r="S599">
        <v>0</v>
      </c>
      <c r="T599">
        <v>0</v>
      </c>
      <c r="V599">
        <v>0</v>
      </c>
      <c r="W599" s="21">
        <v>0</v>
      </c>
      <c r="X599">
        <v>0</v>
      </c>
      <c r="Y599" s="21">
        <v>0</v>
      </c>
    </row>
    <row r="600" spans="1:37" x14ac:dyDescent="0.25">
      <c r="A600">
        <f t="shared" si="9"/>
        <v>599</v>
      </c>
      <c r="C600">
        <v>738</v>
      </c>
      <c r="D600" t="s">
        <v>1649</v>
      </c>
      <c r="E600" t="s">
        <v>1650</v>
      </c>
      <c r="F600" t="s">
        <v>1085</v>
      </c>
      <c r="G600" t="s">
        <v>1285</v>
      </c>
      <c r="M600">
        <v>0</v>
      </c>
      <c r="N600">
        <v>2018</v>
      </c>
      <c r="O600" t="s">
        <v>1063</v>
      </c>
      <c r="S600">
        <v>0</v>
      </c>
      <c r="T600">
        <v>0</v>
      </c>
      <c r="V600">
        <v>0</v>
      </c>
      <c r="W600" s="21">
        <v>0</v>
      </c>
      <c r="X600">
        <v>0</v>
      </c>
      <c r="Y600" s="21">
        <v>0</v>
      </c>
    </row>
    <row r="601" spans="1:37" x14ac:dyDescent="0.25">
      <c r="A601">
        <f t="shared" si="9"/>
        <v>600</v>
      </c>
      <c r="C601">
        <v>739</v>
      </c>
      <c r="D601" t="s">
        <v>977</v>
      </c>
      <c r="E601" t="s">
        <v>1000</v>
      </c>
      <c r="G601" t="s">
        <v>1285</v>
      </c>
      <c r="M601">
        <v>0</v>
      </c>
      <c r="N601">
        <v>2020</v>
      </c>
      <c r="S601">
        <v>0</v>
      </c>
      <c r="T601">
        <v>0</v>
      </c>
      <c r="V601">
        <v>0</v>
      </c>
      <c r="W601" s="21">
        <v>0</v>
      </c>
      <c r="X601">
        <v>0</v>
      </c>
      <c r="Y601" s="21">
        <v>0</v>
      </c>
    </row>
    <row r="602" spans="1:37" x14ac:dyDescent="0.25">
      <c r="A602">
        <f t="shared" si="9"/>
        <v>601</v>
      </c>
      <c r="C602">
        <v>746</v>
      </c>
      <c r="D602" t="s">
        <v>1651</v>
      </c>
      <c r="E602" t="s">
        <v>1652</v>
      </c>
      <c r="F602" t="s">
        <v>1170</v>
      </c>
      <c r="G602" t="s">
        <v>1285</v>
      </c>
      <c r="M602">
        <v>0</v>
      </c>
      <c r="N602">
        <v>2019</v>
      </c>
      <c r="O602" t="s">
        <v>1063</v>
      </c>
      <c r="S602">
        <v>0</v>
      </c>
      <c r="T602">
        <v>0</v>
      </c>
      <c r="V602">
        <v>0</v>
      </c>
      <c r="W602" s="21">
        <v>0</v>
      </c>
      <c r="X602">
        <v>0</v>
      </c>
      <c r="Y602" s="21">
        <v>0</v>
      </c>
    </row>
    <row r="603" spans="1:37" x14ac:dyDescent="0.25">
      <c r="A603">
        <f t="shared" si="9"/>
        <v>602</v>
      </c>
      <c r="E603" t="s">
        <v>1002</v>
      </c>
      <c r="F603" t="s">
        <v>1118</v>
      </c>
      <c r="G603" t="s">
        <v>1285</v>
      </c>
      <c r="M603">
        <v>0</v>
      </c>
      <c r="N603">
        <v>0</v>
      </c>
      <c r="O603" t="s">
        <v>1046</v>
      </c>
      <c r="S603">
        <v>0</v>
      </c>
      <c r="T603">
        <v>0</v>
      </c>
      <c r="V603">
        <v>0</v>
      </c>
      <c r="W603" s="21">
        <v>0</v>
      </c>
      <c r="X603">
        <v>0</v>
      </c>
      <c r="Y603" s="21">
        <v>0</v>
      </c>
      <c r="AK603" t="s">
        <v>1293</v>
      </c>
    </row>
    <row r="604" spans="1:37" x14ac:dyDescent="0.25">
      <c r="A604">
        <f t="shared" si="9"/>
        <v>603</v>
      </c>
      <c r="E604" t="s">
        <v>1003</v>
      </c>
      <c r="F604" t="s">
        <v>1091</v>
      </c>
      <c r="G604" t="s">
        <v>1285</v>
      </c>
      <c r="M604">
        <v>0</v>
      </c>
      <c r="N604">
        <v>0</v>
      </c>
      <c r="O604" t="s">
        <v>1301</v>
      </c>
      <c r="S604">
        <v>0</v>
      </c>
      <c r="T604">
        <v>0</v>
      </c>
      <c r="V604">
        <v>0</v>
      </c>
      <c r="W604" s="21">
        <v>0</v>
      </c>
      <c r="X604">
        <v>0</v>
      </c>
      <c r="Y604" s="21">
        <v>0</v>
      </c>
      <c r="AK604" t="s">
        <v>1293</v>
      </c>
    </row>
    <row r="605" spans="1:37" x14ac:dyDescent="0.25">
      <c r="A605">
        <f t="shared" si="9"/>
        <v>604</v>
      </c>
      <c r="E605" t="s">
        <v>1653</v>
      </c>
      <c r="F605" t="s">
        <v>1085</v>
      </c>
      <c r="G605" t="s">
        <v>1285</v>
      </c>
      <c r="M605">
        <v>1999</v>
      </c>
      <c r="N605">
        <v>2022</v>
      </c>
      <c r="O605" t="s">
        <v>1063</v>
      </c>
      <c r="S605">
        <v>0</v>
      </c>
      <c r="T605">
        <v>0</v>
      </c>
      <c r="V605">
        <v>11106</v>
      </c>
      <c r="W605" s="21">
        <v>0</v>
      </c>
      <c r="X605">
        <v>1493</v>
      </c>
      <c r="Y605" s="21">
        <v>0</v>
      </c>
      <c r="AK605" t="s">
        <v>1293</v>
      </c>
    </row>
    <row r="606" spans="1:37" x14ac:dyDescent="0.25">
      <c r="A606">
        <f t="shared" si="9"/>
        <v>605</v>
      </c>
      <c r="E606" t="s">
        <v>1654</v>
      </c>
      <c r="F606" t="s">
        <v>1655</v>
      </c>
      <c r="G606" t="s">
        <v>1285</v>
      </c>
      <c r="M606">
        <v>0</v>
      </c>
      <c r="N606">
        <v>0</v>
      </c>
      <c r="O606" t="s">
        <v>1063</v>
      </c>
      <c r="S606">
        <v>0</v>
      </c>
      <c r="T606">
        <v>0</v>
      </c>
      <c r="V606">
        <v>0</v>
      </c>
      <c r="W606" s="21">
        <v>0</v>
      </c>
      <c r="X606">
        <v>0</v>
      </c>
      <c r="Y606" s="21">
        <v>0</v>
      </c>
      <c r="AK606" t="s">
        <v>1293</v>
      </c>
    </row>
    <row r="607" spans="1:37" x14ac:dyDescent="0.25">
      <c r="A607">
        <f t="shared" si="9"/>
        <v>606</v>
      </c>
      <c r="F607" t="s">
        <v>1656</v>
      </c>
      <c r="G607" t="s">
        <v>1285</v>
      </c>
      <c r="M607">
        <v>1970</v>
      </c>
      <c r="N607">
        <v>2002</v>
      </c>
      <c r="O607" t="s">
        <v>1063</v>
      </c>
      <c r="S607">
        <v>200</v>
      </c>
      <c r="T607">
        <v>0</v>
      </c>
      <c r="V607">
        <v>23124</v>
      </c>
      <c r="W607" s="21">
        <v>0</v>
      </c>
      <c r="X607">
        <v>4469</v>
      </c>
      <c r="Y607" s="21">
        <v>0</v>
      </c>
      <c r="AK607" t="s">
        <v>1293</v>
      </c>
    </row>
    <row r="608" spans="1:37" x14ac:dyDescent="0.25">
      <c r="A608">
        <f t="shared" si="9"/>
        <v>607</v>
      </c>
      <c r="F608" t="s">
        <v>1656</v>
      </c>
      <c r="G608" t="s">
        <v>1285</v>
      </c>
      <c r="M608">
        <v>1970</v>
      </c>
      <c r="N608">
        <v>2002</v>
      </c>
      <c r="O608" t="s">
        <v>1063</v>
      </c>
      <c r="S608">
        <v>125</v>
      </c>
      <c r="T608">
        <v>0</v>
      </c>
      <c r="V608">
        <v>20000</v>
      </c>
      <c r="W608" s="21">
        <v>0</v>
      </c>
      <c r="X608">
        <v>4600</v>
      </c>
      <c r="Y608" s="21">
        <v>0</v>
      </c>
      <c r="AK608" t="s">
        <v>1293</v>
      </c>
    </row>
    <row r="609" spans="1:37" x14ac:dyDescent="0.25">
      <c r="A609">
        <f t="shared" si="9"/>
        <v>608</v>
      </c>
      <c r="F609" t="s">
        <v>1656</v>
      </c>
      <c r="G609" t="s">
        <v>1285</v>
      </c>
      <c r="M609">
        <v>1800</v>
      </c>
      <c r="N609">
        <v>2002</v>
      </c>
      <c r="T609">
        <v>0</v>
      </c>
      <c r="V609">
        <v>36774</v>
      </c>
      <c r="W609" s="21">
        <v>0</v>
      </c>
      <c r="X609">
        <v>3351</v>
      </c>
      <c r="Y609" s="21">
        <v>0</v>
      </c>
      <c r="AK609" t="s">
        <v>1293</v>
      </c>
    </row>
    <row r="610" spans="1:37" x14ac:dyDescent="0.25">
      <c r="A610">
        <f t="shared" si="9"/>
        <v>609</v>
      </c>
      <c r="E610" t="s">
        <v>1657</v>
      </c>
      <c r="F610" t="s">
        <v>1118</v>
      </c>
      <c r="G610" t="s">
        <v>1285</v>
      </c>
      <c r="M610">
        <v>0</v>
      </c>
      <c r="N610">
        <v>0</v>
      </c>
      <c r="O610" t="s">
        <v>1046</v>
      </c>
      <c r="S610">
        <v>0</v>
      </c>
      <c r="T610">
        <v>0</v>
      </c>
      <c r="V610">
        <v>0</v>
      </c>
      <c r="W610" s="21">
        <v>0</v>
      </c>
      <c r="X610">
        <v>0</v>
      </c>
      <c r="Y610" s="21">
        <v>0</v>
      </c>
      <c r="AK610" t="s">
        <v>1293</v>
      </c>
    </row>
    <row r="611" spans="1:37" x14ac:dyDescent="0.25">
      <c r="A611">
        <f t="shared" si="9"/>
        <v>610</v>
      </c>
      <c r="F611" t="s">
        <v>1658</v>
      </c>
      <c r="G611" t="s">
        <v>1285</v>
      </c>
      <c r="M611">
        <v>1958</v>
      </c>
      <c r="N611">
        <v>2002</v>
      </c>
      <c r="O611" t="s">
        <v>1292</v>
      </c>
      <c r="S611">
        <v>150</v>
      </c>
      <c r="T611">
        <v>0</v>
      </c>
      <c r="V611">
        <v>13000</v>
      </c>
      <c r="W611" s="21">
        <v>0</v>
      </c>
      <c r="X611">
        <v>3000</v>
      </c>
      <c r="Y611" s="21">
        <v>0</v>
      </c>
      <c r="AK611" t="s">
        <v>1293</v>
      </c>
    </row>
    <row r="612" spans="1:37" x14ac:dyDescent="0.25">
      <c r="A612">
        <f t="shared" si="9"/>
        <v>611</v>
      </c>
      <c r="F612" t="s">
        <v>1656</v>
      </c>
      <c r="G612" t="s">
        <v>1285</v>
      </c>
      <c r="M612">
        <v>1970</v>
      </c>
      <c r="N612">
        <v>2002</v>
      </c>
      <c r="O612" t="s">
        <v>1063</v>
      </c>
      <c r="S612">
        <v>125</v>
      </c>
      <c r="T612">
        <v>0</v>
      </c>
      <c r="V612">
        <v>31080</v>
      </c>
      <c r="W612" s="21">
        <v>0</v>
      </c>
      <c r="X612">
        <v>0</v>
      </c>
      <c r="Y612" s="21">
        <v>0</v>
      </c>
      <c r="AK612" t="s">
        <v>1293</v>
      </c>
    </row>
    <row r="613" spans="1:37" x14ac:dyDescent="0.25">
      <c r="A613">
        <f t="shared" si="9"/>
        <v>612</v>
      </c>
      <c r="F613" t="s">
        <v>1656</v>
      </c>
      <c r="G613" t="s">
        <v>1285</v>
      </c>
      <c r="M613">
        <v>1958</v>
      </c>
      <c r="N613">
        <v>2002</v>
      </c>
      <c r="O613" t="s">
        <v>1063</v>
      </c>
      <c r="S613">
        <v>143</v>
      </c>
      <c r="T613">
        <v>0</v>
      </c>
      <c r="V613">
        <v>20720</v>
      </c>
      <c r="W613" s="21">
        <v>0</v>
      </c>
      <c r="X613">
        <v>2600</v>
      </c>
      <c r="Y613" s="21">
        <v>0</v>
      </c>
      <c r="AK613" t="s">
        <v>1293</v>
      </c>
    </row>
    <row r="614" spans="1:37" x14ac:dyDescent="0.25">
      <c r="A614">
        <f t="shared" si="9"/>
        <v>613</v>
      </c>
      <c r="F614" t="s">
        <v>1656</v>
      </c>
      <c r="G614" t="s">
        <v>1285</v>
      </c>
      <c r="M614">
        <v>0</v>
      </c>
      <c r="N614">
        <v>2002</v>
      </c>
      <c r="O614" t="s">
        <v>1063</v>
      </c>
      <c r="S614">
        <v>0</v>
      </c>
      <c r="T614">
        <v>0</v>
      </c>
      <c r="V614">
        <v>0</v>
      </c>
      <c r="W614" s="21">
        <v>0</v>
      </c>
      <c r="X614">
        <v>0</v>
      </c>
      <c r="Y614" s="21">
        <v>0</v>
      </c>
      <c r="AK614" t="s">
        <v>1293</v>
      </c>
    </row>
    <row r="615" spans="1:37" x14ac:dyDescent="0.25">
      <c r="A615">
        <f t="shared" si="9"/>
        <v>614</v>
      </c>
      <c r="F615" t="s">
        <v>1656</v>
      </c>
      <c r="G615" t="s">
        <v>1285</v>
      </c>
      <c r="M615">
        <v>1900</v>
      </c>
      <c r="N615">
        <v>2002</v>
      </c>
      <c r="O615" t="s">
        <v>1063</v>
      </c>
      <c r="Q615" t="s">
        <v>1104</v>
      </c>
      <c r="S615">
        <v>1000</v>
      </c>
      <c r="T615">
        <v>0</v>
      </c>
      <c r="V615">
        <v>87223</v>
      </c>
      <c r="W615" s="21">
        <v>0</v>
      </c>
      <c r="X615">
        <v>103658</v>
      </c>
      <c r="Y615" s="21">
        <v>0</v>
      </c>
      <c r="AK615" t="s">
        <v>1293</v>
      </c>
    </row>
    <row r="616" spans="1:37" x14ac:dyDescent="0.25">
      <c r="A616">
        <f t="shared" si="9"/>
        <v>615</v>
      </c>
      <c r="F616" t="s">
        <v>1656</v>
      </c>
      <c r="G616" t="s">
        <v>1285</v>
      </c>
      <c r="M616">
        <v>1900</v>
      </c>
      <c r="N616">
        <v>2002</v>
      </c>
      <c r="O616" t="s">
        <v>1063</v>
      </c>
      <c r="S616">
        <v>165</v>
      </c>
      <c r="T616">
        <v>0</v>
      </c>
      <c r="V616">
        <v>40860</v>
      </c>
      <c r="W616" s="21">
        <v>0</v>
      </c>
      <c r="X616">
        <v>3910</v>
      </c>
      <c r="Y616" s="21">
        <v>0</v>
      </c>
      <c r="AK616" t="s">
        <v>1293</v>
      </c>
    </row>
    <row r="617" spans="1:37" x14ac:dyDescent="0.25">
      <c r="A617">
        <f t="shared" si="9"/>
        <v>616</v>
      </c>
      <c r="F617" t="s">
        <v>1656</v>
      </c>
      <c r="G617" t="s">
        <v>1285</v>
      </c>
      <c r="M617">
        <v>1960</v>
      </c>
      <c r="N617">
        <v>0</v>
      </c>
      <c r="O617" t="s">
        <v>1063</v>
      </c>
      <c r="S617">
        <v>0</v>
      </c>
      <c r="T617">
        <v>0</v>
      </c>
      <c r="V617">
        <v>0</v>
      </c>
      <c r="W617" s="21">
        <v>0</v>
      </c>
      <c r="X617">
        <v>0</v>
      </c>
      <c r="Y617" s="21">
        <v>0</v>
      </c>
      <c r="AK617" t="s">
        <v>1293</v>
      </c>
    </row>
    <row r="618" spans="1:37" x14ac:dyDescent="0.25">
      <c r="A618">
        <f t="shared" si="9"/>
        <v>617</v>
      </c>
      <c r="F618" t="s">
        <v>1656</v>
      </c>
      <c r="G618" t="s">
        <v>1285</v>
      </c>
      <c r="M618">
        <v>1700</v>
      </c>
      <c r="N618">
        <v>2002</v>
      </c>
      <c r="O618" t="s">
        <v>1063</v>
      </c>
      <c r="S618">
        <v>150</v>
      </c>
      <c r="T618">
        <v>0</v>
      </c>
      <c r="V618">
        <v>0</v>
      </c>
      <c r="W618" s="21">
        <v>0</v>
      </c>
      <c r="X618">
        <v>2234</v>
      </c>
      <c r="Y618" s="21">
        <v>0</v>
      </c>
      <c r="AK618" t="s">
        <v>1293</v>
      </c>
    </row>
    <row r="619" spans="1:37" x14ac:dyDescent="0.25">
      <c r="A619">
        <f t="shared" si="9"/>
        <v>618</v>
      </c>
      <c r="F619" t="s">
        <v>1658</v>
      </c>
      <c r="G619" t="s">
        <v>1285</v>
      </c>
      <c r="M619">
        <v>1900</v>
      </c>
      <c r="N619">
        <v>2002</v>
      </c>
      <c r="O619" t="s">
        <v>1292</v>
      </c>
      <c r="S619">
        <v>130</v>
      </c>
      <c r="T619">
        <v>0</v>
      </c>
      <c r="V619">
        <v>24517</v>
      </c>
      <c r="W619" s="21">
        <v>0</v>
      </c>
      <c r="X619">
        <v>3743</v>
      </c>
      <c r="Y619" s="21">
        <v>0</v>
      </c>
      <c r="AK619" t="s">
        <v>1293</v>
      </c>
    </row>
    <row r="620" spans="1:37" x14ac:dyDescent="0.25">
      <c r="A620">
        <f t="shared" si="9"/>
        <v>619</v>
      </c>
      <c r="F620" t="s">
        <v>1659</v>
      </c>
      <c r="G620" t="s">
        <v>1285</v>
      </c>
      <c r="M620">
        <v>0</v>
      </c>
      <c r="N620">
        <v>0</v>
      </c>
      <c r="O620" t="s">
        <v>1295</v>
      </c>
      <c r="S620">
        <v>0</v>
      </c>
      <c r="T620">
        <v>0</v>
      </c>
      <c r="V620">
        <v>0</v>
      </c>
      <c r="W620" s="21">
        <v>0</v>
      </c>
      <c r="X620">
        <v>0</v>
      </c>
      <c r="Y620" s="21">
        <v>0</v>
      </c>
      <c r="AK620" t="s">
        <v>1293</v>
      </c>
    </row>
    <row r="621" spans="1:37" x14ac:dyDescent="0.25">
      <c r="A621">
        <f t="shared" si="9"/>
        <v>620</v>
      </c>
      <c r="F621" t="s">
        <v>1656</v>
      </c>
      <c r="G621" t="s">
        <v>1285</v>
      </c>
      <c r="M621">
        <v>0</v>
      </c>
      <c r="N621">
        <v>0</v>
      </c>
      <c r="O621" t="s">
        <v>1063</v>
      </c>
      <c r="S621">
        <v>0</v>
      </c>
      <c r="T621">
        <v>0</v>
      </c>
      <c r="V621">
        <v>0</v>
      </c>
      <c r="W621" s="21">
        <v>0</v>
      </c>
      <c r="X621">
        <v>0</v>
      </c>
      <c r="Y621" s="21">
        <v>0</v>
      </c>
      <c r="AK621" t="s">
        <v>1293</v>
      </c>
    </row>
    <row r="622" spans="1:37" x14ac:dyDescent="0.25">
      <c r="A622">
        <f t="shared" si="9"/>
        <v>621</v>
      </c>
      <c r="F622" t="s">
        <v>1656</v>
      </c>
      <c r="G622" t="s">
        <v>1285</v>
      </c>
      <c r="M622">
        <v>0</v>
      </c>
      <c r="N622">
        <v>0</v>
      </c>
      <c r="O622" t="s">
        <v>1063</v>
      </c>
      <c r="S622">
        <v>0</v>
      </c>
      <c r="T622">
        <v>0</v>
      </c>
      <c r="V622">
        <v>0</v>
      </c>
      <c r="W622" s="21">
        <v>0</v>
      </c>
      <c r="X622">
        <v>0</v>
      </c>
      <c r="Y622" s="21">
        <v>0</v>
      </c>
      <c r="AK622" t="s">
        <v>1293</v>
      </c>
    </row>
    <row r="623" spans="1:37" x14ac:dyDescent="0.25">
      <c r="A623">
        <f t="shared" si="9"/>
        <v>622</v>
      </c>
      <c r="F623" t="s">
        <v>1656</v>
      </c>
      <c r="G623" t="s">
        <v>1285</v>
      </c>
      <c r="M623">
        <v>1992</v>
      </c>
      <c r="N623">
        <v>0</v>
      </c>
      <c r="O623" t="s">
        <v>1063</v>
      </c>
      <c r="S623">
        <v>0</v>
      </c>
      <c r="T623">
        <v>0</v>
      </c>
      <c r="V623">
        <v>0</v>
      </c>
      <c r="W623" s="21">
        <v>0</v>
      </c>
      <c r="X623">
        <v>0</v>
      </c>
      <c r="Y623" s="21">
        <v>0</v>
      </c>
      <c r="AK623" t="s">
        <v>1293</v>
      </c>
    </row>
    <row r="624" spans="1:37" x14ac:dyDescent="0.25">
      <c r="A624">
        <f t="shared" si="9"/>
        <v>623</v>
      </c>
      <c r="F624" t="s">
        <v>1656</v>
      </c>
      <c r="G624" t="s">
        <v>1285</v>
      </c>
      <c r="M624">
        <v>0</v>
      </c>
      <c r="N624">
        <v>0</v>
      </c>
      <c r="O624" t="s">
        <v>1063</v>
      </c>
      <c r="S624">
        <v>0</v>
      </c>
      <c r="T624">
        <v>0</v>
      </c>
      <c r="V624">
        <v>0</v>
      </c>
      <c r="W624" s="21">
        <v>0</v>
      </c>
      <c r="X624">
        <v>0</v>
      </c>
      <c r="Y624" s="21">
        <v>0</v>
      </c>
      <c r="AK624" t="s">
        <v>1293</v>
      </c>
    </row>
    <row r="625" spans="1:37" x14ac:dyDescent="0.25">
      <c r="A625">
        <f t="shared" si="9"/>
        <v>624</v>
      </c>
      <c r="E625" t="s">
        <v>1660</v>
      </c>
      <c r="F625" t="s">
        <v>1661</v>
      </c>
      <c r="G625" t="s">
        <v>1285</v>
      </c>
      <c r="M625">
        <v>0</v>
      </c>
      <c r="N625">
        <v>0</v>
      </c>
      <c r="O625" t="s">
        <v>1046</v>
      </c>
      <c r="Q625" t="s">
        <v>1090</v>
      </c>
      <c r="S625">
        <v>0</v>
      </c>
      <c r="T625">
        <v>0</v>
      </c>
      <c r="V625">
        <v>0</v>
      </c>
      <c r="W625" s="21">
        <v>0</v>
      </c>
      <c r="X625">
        <v>0</v>
      </c>
      <c r="Y625" s="21">
        <v>0</v>
      </c>
      <c r="AK625" t="s">
        <v>1293</v>
      </c>
    </row>
    <row r="626" spans="1:37" x14ac:dyDescent="0.25">
      <c r="A626">
        <f t="shared" si="9"/>
        <v>625</v>
      </c>
      <c r="E626" t="s">
        <v>1662</v>
      </c>
      <c r="F626" t="s">
        <v>1663</v>
      </c>
      <c r="G626" t="s">
        <v>1285</v>
      </c>
      <c r="M626">
        <v>0</v>
      </c>
      <c r="N626">
        <v>2002</v>
      </c>
      <c r="O626" t="s">
        <v>1063</v>
      </c>
      <c r="S626">
        <v>1922</v>
      </c>
      <c r="T626">
        <v>0</v>
      </c>
      <c r="V626">
        <v>136472</v>
      </c>
      <c r="W626" s="21">
        <v>0</v>
      </c>
      <c r="X626">
        <v>18467</v>
      </c>
      <c r="Y626" s="21">
        <v>0</v>
      </c>
      <c r="AK626" t="s">
        <v>1293</v>
      </c>
    </row>
    <row r="627" spans="1:37" x14ac:dyDescent="0.25">
      <c r="A627">
        <f t="shared" si="9"/>
        <v>626</v>
      </c>
      <c r="F627" t="s">
        <v>1658</v>
      </c>
      <c r="G627" t="s">
        <v>1285</v>
      </c>
      <c r="M627">
        <v>1900</v>
      </c>
      <c r="N627">
        <v>2002</v>
      </c>
      <c r="O627" t="s">
        <v>1292</v>
      </c>
      <c r="S627">
        <v>0</v>
      </c>
      <c r="T627">
        <v>350</v>
      </c>
      <c r="V627">
        <v>53367</v>
      </c>
      <c r="W627" s="21">
        <v>0</v>
      </c>
      <c r="X627">
        <v>4428</v>
      </c>
      <c r="Y627" s="21">
        <v>0</v>
      </c>
      <c r="AK627" t="s">
        <v>1293</v>
      </c>
    </row>
    <row r="628" spans="1:37" x14ac:dyDescent="0.25">
      <c r="A628">
        <f t="shared" si="9"/>
        <v>627</v>
      </c>
      <c r="F628" t="s">
        <v>1658</v>
      </c>
      <c r="G628" t="s">
        <v>1285</v>
      </c>
      <c r="M628">
        <v>1970</v>
      </c>
      <c r="N628">
        <v>2002</v>
      </c>
      <c r="O628" t="s">
        <v>1292</v>
      </c>
      <c r="S628">
        <v>190</v>
      </c>
      <c r="T628">
        <v>0</v>
      </c>
      <c r="V628">
        <v>40000</v>
      </c>
      <c r="W628" s="21">
        <v>0</v>
      </c>
      <c r="X628">
        <v>4300</v>
      </c>
      <c r="Y628" s="21">
        <v>0</v>
      </c>
      <c r="AK628" t="s">
        <v>1293</v>
      </c>
    </row>
    <row r="629" spans="1:37" x14ac:dyDescent="0.25">
      <c r="A629">
        <f t="shared" si="9"/>
        <v>628</v>
      </c>
      <c r="E629" t="s">
        <v>1664</v>
      </c>
      <c r="F629" t="s">
        <v>1665</v>
      </c>
      <c r="G629" t="s">
        <v>1285</v>
      </c>
      <c r="M629">
        <v>0</v>
      </c>
      <c r="N629">
        <v>0</v>
      </c>
      <c r="O629" t="s">
        <v>1063</v>
      </c>
      <c r="S629">
        <v>0</v>
      </c>
      <c r="T629">
        <v>0</v>
      </c>
      <c r="V629">
        <v>0</v>
      </c>
      <c r="W629" s="21">
        <v>0</v>
      </c>
      <c r="X629">
        <v>0</v>
      </c>
      <c r="Y629" s="21">
        <v>0</v>
      </c>
      <c r="AK629" t="s">
        <v>1293</v>
      </c>
    </row>
    <row r="630" spans="1:37" x14ac:dyDescent="0.25">
      <c r="A630">
        <f t="shared" si="9"/>
        <v>629</v>
      </c>
      <c r="F630" t="s">
        <v>1656</v>
      </c>
      <c r="G630" t="s">
        <v>1285</v>
      </c>
      <c r="M630">
        <v>1962</v>
      </c>
      <c r="N630">
        <v>2002</v>
      </c>
      <c r="O630" t="s">
        <v>1063</v>
      </c>
      <c r="S630">
        <v>200</v>
      </c>
      <c r="T630">
        <v>0</v>
      </c>
      <c r="V630">
        <v>35000</v>
      </c>
      <c r="W630" s="21">
        <v>0</v>
      </c>
      <c r="X630">
        <v>3195</v>
      </c>
      <c r="Y630" s="21">
        <v>0</v>
      </c>
      <c r="AK630" t="s">
        <v>1293</v>
      </c>
    </row>
    <row r="631" spans="1:37" x14ac:dyDescent="0.25">
      <c r="A631">
        <f t="shared" si="9"/>
        <v>630</v>
      </c>
      <c r="E631" t="s">
        <v>1666</v>
      </c>
      <c r="F631" t="s">
        <v>1099</v>
      </c>
      <c r="G631" t="s">
        <v>1285</v>
      </c>
      <c r="M631">
        <v>0</v>
      </c>
      <c r="N631">
        <v>0</v>
      </c>
      <c r="O631" t="s">
        <v>1063</v>
      </c>
      <c r="S631">
        <v>0</v>
      </c>
      <c r="T631">
        <v>0</v>
      </c>
      <c r="V631">
        <v>0</v>
      </c>
      <c r="W631" s="21">
        <v>0</v>
      </c>
      <c r="X631">
        <v>0</v>
      </c>
      <c r="Y631" s="21">
        <v>0</v>
      </c>
      <c r="AK631" t="s">
        <v>1293</v>
      </c>
    </row>
    <row r="632" spans="1:37" x14ac:dyDescent="0.25">
      <c r="A632">
        <f t="shared" si="9"/>
        <v>631</v>
      </c>
      <c r="F632" t="s">
        <v>1656</v>
      </c>
      <c r="G632" t="s">
        <v>1285</v>
      </c>
      <c r="M632">
        <v>1960</v>
      </c>
      <c r="N632">
        <v>2002</v>
      </c>
      <c r="O632" t="s">
        <v>1063</v>
      </c>
      <c r="S632">
        <v>170</v>
      </c>
      <c r="T632">
        <v>0</v>
      </c>
      <c r="V632">
        <v>0</v>
      </c>
      <c r="W632" s="21">
        <v>0</v>
      </c>
      <c r="X632">
        <v>0</v>
      </c>
      <c r="Y632" s="21">
        <v>0</v>
      </c>
      <c r="AK632" t="s">
        <v>1293</v>
      </c>
    </row>
    <row r="633" spans="1:37" x14ac:dyDescent="0.25">
      <c r="A633">
        <f t="shared" si="9"/>
        <v>632</v>
      </c>
      <c r="G633" t="s">
        <v>1285</v>
      </c>
      <c r="M633">
        <v>0</v>
      </c>
      <c r="N633">
        <v>0</v>
      </c>
      <c r="S633">
        <v>0</v>
      </c>
      <c r="T633">
        <v>0</v>
      </c>
      <c r="V633">
        <v>0</v>
      </c>
      <c r="W633" s="21">
        <v>0</v>
      </c>
      <c r="X633">
        <v>0</v>
      </c>
      <c r="Y633" s="21">
        <v>0</v>
      </c>
      <c r="AK633" t="s">
        <v>1293</v>
      </c>
    </row>
    <row r="634" spans="1:37" x14ac:dyDescent="0.25">
      <c r="A634">
        <f t="shared" si="9"/>
        <v>633</v>
      </c>
      <c r="F634" t="s">
        <v>1656</v>
      </c>
      <c r="G634" t="s">
        <v>1285</v>
      </c>
      <c r="M634">
        <v>1967</v>
      </c>
      <c r="N634">
        <v>2002</v>
      </c>
      <c r="O634" t="s">
        <v>1063</v>
      </c>
      <c r="S634">
        <v>176</v>
      </c>
      <c r="T634">
        <v>0</v>
      </c>
      <c r="V634">
        <v>27972</v>
      </c>
      <c r="W634" s="21">
        <v>0</v>
      </c>
      <c r="X634">
        <v>5500</v>
      </c>
      <c r="Y634" s="21">
        <v>0</v>
      </c>
      <c r="AK634" t="s">
        <v>1293</v>
      </c>
    </row>
    <row r="635" spans="1:37" x14ac:dyDescent="0.25">
      <c r="A635">
        <f t="shared" si="9"/>
        <v>634</v>
      </c>
      <c r="F635" t="s">
        <v>1656</v>
      </c>
      <c r="G635" t="s">
        <v>1285</v>
      </c>
      <c r="M635">
        <v>0</v>
      </c>
      <c r="N635">
        <v>0</v>
      </c>
      <c r="O635" t="s">
        <v>1063</v>
      </c>
      <c r="S635">
        <v>0</v>
      </c>
      <c r="T635">
        <v>0</v>
      </c>
      <c r="V635">
        <v>0</v>
      </c>
      <c r="W635" s="21">
        <v>0</v>
      </c>
      <c r="X635">
        <v>0</v>
      </c>
      <c r="Y635" s="21">
        <v>0</v>
      </c>
      <c r="AK635" t="s">
        <v>1293</v>
      </c>
    </row>
    <row r="636" spans="1:37" x14ac:dyDescent="0.25">
      <c r="A636">
        <f t="shared" si="9"/>
        <v>635</v>
      </c>
      <c r="G636" t="s">
        <v>1285</v>
      </c>
      <c r="M636">
        <v>0</v>
      </c>
      <c r="N636">
        <v>0</v>
      </c>
      <c r="S636">
        <v>0</v>
      </c>
      <c r="T636">
        <v>0</v>
      </c>
      <c r="V636">
        <v>0</v>
      </c>
      <c r="W636" s="21">
        <v>0</v>
      </c>
      <c r="X636">
        <v>0</v>
      </c>
      <c r="Y636" s="21">
        <v>0</v>
      </c>
      <c r="AK636" t="s">
        <v>1293</v>
      </c>
    </row>
    <row r="637" spans="1:37" x14ac:dyDescent="0.25">
      <c r="A637">
        <f t="shared" si="9"/>
        <v>636</v>
      </c>
      <c r="F637" t="s">
        <v>1656</v>
      </c>
      <c r="G637" t="s">
        <v>1285</v>
      </c>
      <c r="M637">
        <v>0</v>
      </c>
      <c r="N637">
        <v>0</v>
      </c>
      <c r="O637" t="s">
        <v>1063</v>
      </c>
      <c r="S637">
        <v>0</v>
      </c>
      <c r="T637">
        <v>0</v>
      </c>
      <c r="V637">
        <v>0</v>
      </c>
      <c r="W637" s="21">
        <v>0</v>
      </c>
      <c r="X637">
        <v>0</v>
      </c>
      <c r="Y637" s="21">
        <v>0</v>
      </c>
      <c r="AK637" t="s">
        <v>1293</v>
      </c>
    </row>
    <row r="638" spans="1:37" x14ac:dyDescent="0.25">
      <c r="A638">
        <f t="shared" si="9"/>
        <v>637</v>
      </c>
      <c r="F638" t="s">
        <v>1656</v>
      </c>
      <c r="G638" t="s">
        <v>1285</v>
      </c>
      <c r="M638">
        <v>0</v>
      </c>
      <c r="N638">
        <v>0</v>
      </c>
      <c r="O638" t="s">
        <v>1063</v>
      </c>
      <c r="S638">
        <v>0</v>
      </c>
      <c r="T638">
        <v>0</v>
      </c>
      <c r="V638">
        <v>0</v>
      </c>
      <c r="W638" s="21">
        <v>0</v>
      </c>
      <c r="X638">
        <v>0</v>
      </c>
      <c r="Y638" s="21">
        <v>0</v>
      </c>
      <c r="AK638" t="s">
        <v>1293</v>
      </c>
    </row>
    <row r="639" spans="1:37" x14ac:dyDescent="0.25">
      <c r="A639">
        <f t="shared" si="9"/>
        <v>638</v>
      </c>
      <c r="E639" t="s">
        <v>1667</v>
      </c>
      <c r="F639" t="s">
        <v>1668</v>
      </c>
      <c r="G639" t="s">
        <v>1285</v>
      </c>
      <c r="M639">
        <v>0</v>
      </c>
      <c r="N639">
        <v>0</v>
      </c>
      <c r="O639" t="s">
        <v>1295</v>
      </c>
      <c r="Q639" t="s">
        <v>1090</v>
      </c>
      <c r="S639">
        <v>0</v>
      </c>
      <c r="T639">
        <v>0</v>
      </c>
      <c r="V639">
        <v>0</v>
      </c>
      <c r="W639" s="21">
        <v>0</v>
      </c>
      <c r="X639">
        <v>0</v>
      </c>
      <c r="Y639" s="21">
        <v>0</v>
      </c>
      <c r="AK639" t="s">
        <v>1293</v>
      </c>
    </row>
    <row r="640" spans="1:37" x14ac:dyDescent="0.25">
      <c r="A640">
        <f t="shared" si="9"/>
        <v>639</v>
      </c>
      <c r="F640" t="s">
        <v>1658</v>
      </c>
      <c r="G640" t="s">
        <v>1285</v>
      </c>
      <c r="M640">
        <v>0</v>
      </c>
      <c r="N640">
        <v>0</v>
      </c>
      <c r="O640" t="s">
        <v>1292</v>
      </c>
      <c r="S640">
        <v>0</v>
      </c>
      <c r="T640">
        <v>0</v>
      </c>
      <c r="V640">
        <v>0</v>
      </c>
      <c r="W640" s="21">
        <v>0</v>
      </c>
      <c r="X640">
        <v>0</v>
      </c>
      <c r="Y640" s="21">
        <v>0</v>
      </c>
      <c r="AK640" t="s">
        <v>1293</v>
      </c>
    </row>
    <row r="641" spans="1:37" x14ac:dyDescent="0.25">
      <c r="A641">
        <f t="shared" si="9"/>
        <v>640</v>
      </c>
      <c r="E641" t="s">
        <v>1631</v>
      </c>
      <c r="F641" t="s">
        <v>1631</v>
      </c>
      <c r="G641" t="s">
        <v>1285</v>
      </c>
      <c r="M641">
        <v>0</v>
      </c>
      <c r="N641">
        <v>2002</v>
      </c>
      <c r="O641" t="s">
        <v>1063</v>
      </c>
      <c r="S641">
        <v>285</v>
      </c>
      <c r="T641">
        <v>0</v>
      </c>
      <c r="V641">
        <v>22792</v>
      </c>
      <c r="W641" s="21">
        <v>0</v>
      </c>
      <c r="X641">
        <v>2258</v>
      </c>
      <c r="Y641" s="21">
        <v>0</v>
      </c>
      <c r="AK641" t="s">
        <v>1293</v>
      </c>
    </row>
    <row r="642" spans="1:37" x14ac:dyDescent="0.25">
      <c r="A642">
        <f t="shared" ref="A642:A705" si="10">ROW(A642)-1</f>
        <v>641</v>
      </c>
      <c r="F642" t="s">
        <v>1658</v>
      </c>
      <c r="G642" t="s">
        <v>1285</v>
      </c>
      <c r="M642">
        <v>0</v>
      </c>
      <c r="N642">
        <v>0</v>
      </c>
      <c r="O642" t="s">
        <v>1292</v>
      </c>
      <c r="S642">
        <v>0</v>
      </c>
      <c r="T642">
        <v>0</v>
      </c>
      <c r="V642">
        <v>0</v>
      </c>
      <c r="W642" s="21">
        <v>0</v>
      </c>
      <c r="X642">
        <v>0</v>
      </c>
      <c r="Y642" s="21">
        <v>0</v>
      </c>
      <c r="AK642" t="s">
        <v>1293</v>
      </c>
    </row>
    <row r="643" spans="1:37" x14ac:dyDescent="0.25">
      <c r="A643">
        <f t="shared" si="10"/>
        <v>642</v>
      </c>
      <c r="F643" t="s">
        <v>1658</v>
      </c>
      <c r="G643" t="s">
        <v>1285</v>
      </c>
      <c r="M643">
        <v>0</v>
      </c>
      <c r="N643">
        <v>0</v>
      </c>
      <c r="O643" t="s">
        <v>1292</v>
      </c>
      <c r="S643">
        <v>0</v>
      </c>
      <c r="T643">
        <v>0</v>
      </c>
      <c r="V643">
        <v>0</v>
      </c>
      <c r="W643" s="21">
        <v>0</v>
      </c>
      <c r="X643">
        <v>0</v>
      </c>
      <c r="Y643" s="21">
        <v>0</v>
      </c>
      <c r="AK643" t="s">
        <v>1293</v>
      </c>
    </row>
    <row r="644" spans="1:37" x14ac:dyDescent="0.25">
      <c r="A644">
        <f t="shared" si="10"/>
        <v>643</v>
      </c>
      <c r="F644" t="s">
        <v>1656</v>
      </c>
      <c r="G644" t="s">
        <v>1285</v>
      </c>
      <c r="M644">
        <v>0</v>
      </c>
      <c r="N644">
        <v>0</v>
      </c>
      <c r="O644" t="s">
        <v>1063</v>
      </c>
      <c r="S644">
        <v>0</v>
      </c>
      <c r="T644">
        <v>0</v>
      </c>
      <c r="V644">
        <v>0</v>
      </c>
      <c r="W644" s="21">
        <v>0</v>
      </c>
      <c r="X644">
        <v>0</v>
      </c>
      <c r="Y644" s="21">
        <v>0</v>
      </c>
      <c r="AK644" t="s">
        <v>1293</v>
      </c>
    </row>
    <row r="645" spans="1:37" x14ac:dyDescent="0.25">
      <c r="A645">
        <f t="shared" si="10"/>
        <v>644</v>
      </c>
      <c r="F645" t="s">
        <v>1669</v>
      </c>
      <c r="G645" t="s">
        <v>1285</v>
      </c>
      <c r="M645">
        <v>0</v>
      </c>
      <c r="N645">
        <v>0</v>
      </c>
      <c r="O645" t="s">
        <v>1292</v>
      </c>
      <c r="S645">
        <v>0</v>
      </c>
      <c r="T645">
        <v>0</v>
      </c>
      <c r="V645">
        <v>0</v>
      </c>
      <c r="W645" s="21">
        <v>0</v>
      </c>
      <c r="X645">
        <v>0</v>
      </c>
      <c r="Y645" s="21">
        <v>0</v>
      </c>
      <c r="AK645" t="s">
        <v>1293</v>
      </c>
    </row>
    <row r="646" spans="1:37" x14ac:dyDescent="0.25">
      <c r="A646">
        <f t="shared" si="10"/>
        <v>645</v>
      </c>
      <c r="F646" t="s">
        <v>1656</v>
      </c>
      <c r="G646" t="s">
        <v>1285</v>
      </c>
      <c r="M646">
        <v>0</v>
      </c>
      <c r="N646">
        <v>0</v>
      </c>
      <c r="O646" t="s">
        <v>1063</v>
      </c>
      <c r="S646">
        <v>0</v>
      </c>
      <c r="T646">
        <v>0</v>
      </c>
      <c r="V646">
        <v>0</v>
      </c>
      <c r="W646" s="21">
        <v>0</v>
      </c>
      <c r="X646">
        <v>0</v>
      </c>
      <c r="Y646" s="21">
        <v>0</v>
      </c>
      <c r="AK646" t="s">
        <v>1293</v>
      </c>
    </row>
    <row r="647" spans="1:37" x14ac:dyDescent="0.25">
      <c r="A647">
        <f t="shared" si="10"/>
        <v>646</v>
      </c>
      <c r="F647" t="s">
        <v>1656</v>
      </c>
      <c r="G647" t="s">
        <v>1285</v>
      </c>
      <c r="M647">
        <v>0</v>
      </c>
      <c r="N647">
        <v>0</v>
      </c>
      <c r="O647" t="s">
        <v>1063</v>
      </c>
      <c r="S647">
        <v>0</v>
      </c>
      <c r="T647">
        <v>0</v>
      </c>
      <c r="V647">
        <v>0</v>
      </c>
      <c r="W647" s="21">
        <v>0</v>
      </c>
      <c r="X647">
        <v>0</v>
      </c>
      <c r="Y647" s="21">
        <v>0</v>
      </c>
      <c r="AK647" t="s">
        <v>1293</v>
      </c>
    </row>
    <row r="648" spans="1:37" x14ac:dyDescent="0.25">
      <c r="A648">
        <f t="shared" si="10"/>
        <v>647</v>
      </c>
      <c r="F648" t="s">
        <v>1658</v>
      </c>
      <c r="G648" t="s">
        <v>1285</v>
      </c>
      <c r="M648">
        <v>0</v>
      </c>
      <c r="N648">
        <v>0</v>
      </c>
      <c r="O648" t="s">
        <v>1292</v>
      </c>
      <c r="S648">
        <v>0</v>
      </c>
      <c r="T648">
        <v>0</v>
      </c>
      <c r="V648">
        <v>0</v>
      </c>
      <c r="W648" s="21">
        <v>0</v>
      </c>
      <c r="X648">
        <v>0</v>
      </c>
      <c r="Y648" s="21">
        <v>0</v>
      </c>
      <c r="AK648" t="s">
        <v>1293</v>
      </c>
    </row>
    <row r="649" spans="1:37" x14ac:dyDescent="0.25">
      <c r="A649">
        <f t="shared" si="10"/>
        <v>648</v>
      </c>
      <c r="F649" t="s">
        <v>1658</v>
      </c>
      <c r="G649" t="s">
        <v>1285</v>
      </c>
      <c r="M649">
        <v>0</v>
      </c>
      <c r="N649">
        <v>0</v>
      </c>
      <c r="O649" t="s">
        <v>1292</v>
      </c>
      <c r="S649">
        <v>0</v>
      </c>
      <c r="T649">
        <v>0</v>
      </c>
      <c r="V649">
        <v>0</v>
      </c>
      <c r="W649" s="21">
        <v>0</v>
      </c>
      <c r="X649">
        <v>0</v>
      </c>
      <c r="Y649" s="21">
        <v>0</v>
      </c>
      <c r="AK649" t="s">
        <v>1293</v>
      </c>
    </row>
    <row r="650" spans="1:37" x14ac:dyDescent="0.25">
      <c r="A650">
        <f t="shared" si="10"/>
        <v>649</v>
      </c>
      <c r="F650" t="s">
        <v>1656</v>
      </c>
      <c r="G650" t="s">
        <v>1285</v>
      </c>
      <c r="M650">
        <v>1970</v>
      </c>
      <c r="N650">
        <v>2002</v>
      </c>
      <c r="S650">
        <v>200</v>
      </c>
      <c r="T650">
        <v>0</v>
      </c>
      <c r="V650">
        <v>31080</v>
      </c>
      <c r="W650" s="21">
        <v>0</v>
      </c>
      <c r="X650">
        <v>0</v>
      </c>
      <c r="Y650" s="21">
        <v>0</v>
      </c>
      <c r="AK650" t="s">
        <v>1293</v>
      </c>
    </row>
    <row r="651" spans="1:37" x14ac:dyDescent="0.25">
      <c r="A651">
        <f t="shared" si="10"/>
        <v>650</v>
      </c>
      <c r="F651" t="s">
        <v>1670</v>
      </c>
      <c r="G651" t="s">
        <v>1285</v>
      </c>
      <c r="M651">
        <v>1900</v>
      </c>
      <c r="N651">
        <v>2002</v>
      </c>
      <c r="O651" t="s">
        <v>1082</v>
      </c>
      <c r="S651">
        <v>220</v>
      </c>
      <c r="T651">
        <v>0</v>
      </c>
      <c r="V651">
        <v>0</v>
      </c>
      <c r="W651" s="21">
        <v>0</v>
      </c>
      <c r="X651">
        <v>0</v>
      </c>
      <c r="Y651" s="21">
        <v>0</v>
      </c>
      <c r="AK651" t="s">
        <v>1293</v>
      </c>
    </row>
    <row r="652" spans="1:37" x14ac:dyDescent="0.25">
      <c r="A652">
        <f t="shared" si="10"/>
        <v>651</v>
      </c>
      <c r="F652" t="s">
        <v>1658</v>
      </c>
      <c r="G652" t="s">
        <v>1285</v>
      </c>
      <c r="M652">
        <v>0</v>
      </c>
      <c r="N652">
        <v>0</v>
      </c>
      <c r="S652">
        <v>0</v>
      </c>
      <c r="T652">
        <v>0</v>
      </c>
      <c r="V652">
        <v>0</v>
      </c>
      <c r="W652" s="21">
        <v>0</v>
      </c>
      <c r="X652">
        <v>0</v>
      </c>
      <c r="Y652" s="21">
        <v>0</v>
      </c>
      <c r="AK652" t="s">
        <v>1293</v>
      </c>
    </row>
    <row r="653" spans="1:37" x14ac:dyDescent="0.25">
      <c r="A653">
        <f t="shared" si="10"/>
        <v>652</v>
      </c>
      <c r="F653" t="s">
        <v>1656</v>
      </c>
      <c r="G653" t="s">
        <v>1285</v>
      </c>
      <c r="M653">
        <v>0</v>
      </c>
      <c r="N653">
        <v>0</v>
      </c>
      <c r="O653" t="s">
        <v>1063</v>
      </c>
      <c r="S653">
        <v>0</v>
      </c>
      <c r="T653">
        <v>0</v>
      </c>
      <c r="V653">
        <v>0</v>
      </c>
      <c r="W653" s="21">
        <v>0</v>
      </c>
      <c r="X653">
        <v>0</v>
      </c>
      <c r="Y653" s="21">
        <v>0</v>
      </c>
    </row>
    <row r="654" spans="1:37" x14ac:dyDescent="0.25">
      <c r="A654">
        <f t="shared" si="10"/>
        <v>653</v>
      </c>
      <c r="F654" t="s">
        <v>1658</v>
      </c>
      <c r="G654" t="s">
        <v>1285</v>
      </c>
      <c r="M654">
        <v>0</v>
      </c>
      <c r="N654">
        <v>0</v>
      </c>
      <c r="O654" t="s">
        <v>1292</v>
      </c>
      <c r="S654">
        <v>0</v>
      </c>
      <c r="T654">
        <v>0</v>
      </c>
      <c r="V654">
        <v>0</v>
      </c>
      <c r="W654" s="21">
        <v>0</v>
      </c>
      <c r="X654">
        <v>0</v>
      </c>
      <c r="Y654" s="21">
        <v>0</v>
      </c>
      <c r="AK654" t="s">
        <v>1293</v>
      </c>
    </row>
    <row r="655" spans="1:37" x14ac:dyDescent="0.25">
      <c r="A655">
        <f t="shared" si="10"/>
        <v>654</v>
      </c>
      <c r="E655" t="s">
        <v>1004</v>
      </c>
      <c r="F655" t="s">
        <v>1176</v>
      </c>
      <c r="G655" t="s">
        <v>1285</v>
      </c>
      <c r="M655">
        <v>0</v>
      </c>
      <c r="N655">
        <v>0</v>
      </c>
      <c r="O655" t="s">
        <v>1082</v>
      </c>
      <c r="S655">
        <v>0</v>
      </c>
      <c r="T655">
        <v>0</v>
      </c>
      <c r="V655">
        <v>0</v>
      </c>
      <c r="W655" s="21">
        <v>0</v>
      </c>
      <c r="X655">
        <v>0</v>
      </c>
      <c r="Y655" s="21">
        <v>0</v>
      </c>
      <c r="AK655" t="s">
        <v>1293</v>
      </c>
    </row>
    <row r="656" spans="1:37" x14ac:dyDescent="0.25">
      <c r="A656">
        <f t="shared" si="10"/>
        <v>655</v>
      </c>
      <c r="E656" t="s">
        <v>1005</v>
      </c>
      <c r="F656" t="s">
        <v>1177</v>
      </c>
      <c r="G656" t="s">
        <v>1285</v>
      </c>
      <c r="M656">
        <v>1961</v>
      </c>
      <c r="N656">
        <v>2002</v>
      </c>
      <c r="O656" t="s">
        <v>1295</v>
      </c>
      <c r="S656">
        <v>1300</v>
      </c>
      <c r="T656">
        <v>0</v>
      </c>
      <c r="V656">
        <v>267000</v>
      </c>
      <c r="W656" s="21">
        <v>0</v>
      </c>
      <c r="X656">
        <v>28000</v>
      </c>
      <c r="Y656" s="21">
        <v>0</v>
      </c>
      <c r="AK656" t="s">
        <v>1293</v>
      </c>
    </row>
    <row r="657" spans="1:37" x14ac:dyDescent="0.25">
      <c r="A657">
        <f t="shared" si="10"/>
        <v>656</v>
      </c>
      <c r="F657" t="s">
        <v>1656</v>
      </c>
      <c r="G657" t="s">
        <v>1285</v>
      </c>
      <c r="M657">
        <v>1810</v>
      </c>
      <c r="N657">
        <v>2002</v>
      </c>
      <c r="O657" t="s">
        <v>1063</v>
      </c>
      <c r="S657">
        <v>40</v>
      </c>
      <c r="T657">
        <v>0</v>
      </c>
      <c r="V657">
        <v>8000</v>
      </c>
      <c r="W657" s="21">
        <v>0</v>
      </c>
      <c r="X657">
        <v>2000</v>
      </c>
      <c r="Y657" s="21">
        <v>0</v>
      </c>
      <c r="AK657" t="s">
        <v>1293</v>
      </c>
    </row>
    <row r="658" spans="1:37" x14ac:dyDescent="0.25">
      <c r="A658">
        <f t="shared" si="10"/>
        <v>657</v>
      </c>
      <c r="E658" t="s">
        <v>1671</v>
      </c>
      <c r="F658" t="s">
        <v>1672</v>
      </c>
      <c r="G658" t="s">
        <v>1285</v>
      </c>
      <c r="M658">
        <v>1967</v>
      </c>
      <c r="N658">
        <v>2002</v>
      </c>
      <c r="O658" t="s">
        <v>1082</v>
      </c>
      <c r="S658">
        <v>0</v>
      </c>
      <c r="T658">
        <v>6490</v>
      </c>
      <c r="V658">
        <v>477429</v>
      </c>
      <c r="W658" s="21">
        <v>0</v>
      </c>
      <c r="X658">
        <v>78049</v>
      </c>
      <c r="Y658" s="21">
        <v>0</v>
      </c>
      <c r="AK658" t="s">
        <v>1293</v>
      </c>
    </row>
    <row r="659" spans="1:37" x14ac:dyDescent="0.25">
      <c r="A659">
        <f t="shared" si="10"/>
        <v>658</v>
      </c>
      <c r="F659" t="s">
        <v>1658</v>
      </c>
      <c r="G659" t="s">
        <v>1285</v>
      </c>
      <c r="M659">
        <v>2020</v>
      </c>
      <c r="N659">
        <v>0</v>
      </c>
      <c r="O659" t="s">
        <v>1292</v>
      </c>
      <c r="S659">
        <v>0</v>
      </c>
      <c r="T659">
        <v>0</v>
      </c>
      <c r="V659">
        <v>0</v>
      </c>
      <c r="W659" s="21">
        <v>0</v>
      </c>
      <c r="X659">
        <v>0</v>
      </c>
      <c r="Y659" s="21">
        <v>0</v>
      </c>
      <c r="AK659" t="s">
        <v>1293</v>
      </c>
    </row>
    <row r="660" spans="1:37" x14ac:dyDescent="0.25">
      <c r="A660">
        <f t="shared" si="10"/>
        <v>659</v>
      </c>
      <c r="F660" t="s">
        <v>1658</v>
      </c>
      <c r="G660" t="s">
        <v>1285</v>
      </c>
      <c r="M660">
        <v>1900</v>
      </c>
      <c r="N660">
        <v>2002</v>
      </c>
      <c r="O660" t="s">
        <v>1292</v>
      </c>
      <c r="S660">
        <v>304</v>
      </c>
      <c r="T660">
        <v>0</v>
      </c>
      <c r="V660">
        <v>61290</v>
      </c>
      <c r="W660" s="21">
        <v>0</v>
      </c>
      <c r="X660">
        <v>5586</v>
      </c>
      <c r="Y660" s="21">
        <v>0</v>
      </c>
      <c r="AK660" t="s">
        <v>1293</v>
      </c>
    </row>
    <row r="661" spans="1:37" x14ac:dyDescent="0.25">
      <c r="A661">
        <f t="shared" si="10"/>
        <v>660</v>
      </c>
      <c r="F661" t="s">
        <v>1656</v>
      </c>
      <c r="G661" t="s">
        <v>1285</v>
      </c>
      <c r="M661">
        <v>0</v>
      </c>
      <c r="N661">
        <v>0</v>
      </c>
      <c r="O661" t="s">
        <v>1063</v>
      </c>
      <c r="S661">
        <v>0</v>
      </c>
      <c r="T661">
        <v>0</v>
      </c>
      <c r="V661">
        <v>0</v>
      </c>
      <c r="W661" s="21">
        <v>0</v>
      </c>
      <c r="X661">
        <v>0</v>
      </c>
      <c r="Y661" s="21">
        <v>0</v>
      </c>
      <c r="AK661" t="s">
        <v>1293</v>
      </c>
    </row>
    <row r="662" spans="1:37" x14ac:dyDescent="0.25">
      <c r="A662">
        <f t="shared" si="10"/>
        <v>661</v>
      </c>
      <c r="F662" t="s">
        <v>1658</v>
      </c>
      <c r="G662" t="s">
        <v>1285</v>
      </c>
      <c r="M662">
        <v>1900</v>
      </c>
      <c r="N662">
        <v>2002</v>
      </c>
      <c r="O662" t="s">
        <v>1292</v>
      </c>
      <c r="S662">
        <v>350</v>
      </c>
      <c r="T662">
        <v>0</v>
      </c>
      <c r="V662">
        <v>60000</v>
      </c>
      <c r="W662" s="21">
        <v>0</v>
      </c>
      <c r="X662">
        <v>13407</v>
      </c>
      <c r="Y662" s="21">
        <v>0</v>
      </c>
      <c r="AK662" t="s">
        <v>1293</v>
      </c>
    </row>
    <row r="663" spans="1:37" x14ac:dyDescent="0.25">
      <c r="A663">
        <f t="shared" si="10"/>
        <v>662</v>
      </c>
      <c r="G663" t="s">
        <v>1285</v>
      </c>
      <c r="M663">
        <v>0</v>
      </c>
      <c r="N663">
        <v>0</v>
      </c>
      <c r="S663">
        <v>0</v>
      </c>
      <c r="T663">
        <v>0</v>
      </c>
      <c r="V663">
        <v>0</v>
      </c>
      <c r="W663" s="21">
        <v>0</v>
      </c>
      <c r="X663">
        <v>0</v>
      </c>
      <c r="Y663" s="21">
        <v>0</v>
      </c>
      <c r="AK663" t="s">
        <v>1293</v>
      </c>
    </row>
    <row r="664" spans="1:37" x14ac:dyDescent="0.25">
      <c r="A664">
        <f t="shared" si="10"/>
        <v>663</v>
      </c>
      <c r="F664" t="s">
        <v>1656</v>
      </c>
      <c r="G664" t="s">
        <v>1285</v>
      </c>
      <c r="M664">
        <v>1904</v>
      </c>
      <c r="N664">
        <v>2002</v>
      </c>
      <c r="O664" t="s">
        <v>1063</v>
      </c>
      <c r="S664">
        <v>210</v>
      </c>
      <c r="T664">
        <v>0</v>
      </c>
      <c r="V664">
        <v>40000</v>
      </c>
      <c r="W664" s="21">
        <v>0</v>
      </c>
      <c r="X664">
        <v>4022</v>
      </c>
      <c r="Y664" s="21">
        <v>0</v>
      </c>
      <c r="AK664" t="s">
        <v>1293</v>
      </c>
    </row>
    <row r="665" spans="1:37" x14ac:dyDescent="0.25">
      <c r="A665">
        <f t="shared" si="10"/>
        <v>664</v>
      </c>
      <c r="G665" t="s">
        <v>1285</v>
      </c>
      <c r="M665">
        <v>0</v>
      </c>
      <c r="N665">
        <v>0</v>
      </c>
      <c r="S665">
        <v>0</v>
      </c>
      <c r="T665">
        <v>0</v>
      </c>
      <c r="V665">
        <v>0</v>
      </c>
      <c r="W665" s="21">
        <v>0</v>
      </c>
      <c r="X665">
        <v>0</v>
      </c>
      <c r="Y665" s="21">
        <v>0</v>
      </c>
      <c r="AK665" t="s">
        <v>1293</v>
      </c>
    </row>
    <row r="666" spans="1:37" x14ac:dyDescent="0.25">
      <c r="A666">
        <f t="shared" si="10"/>
        <v>665</v>
      </c>
      <c r="F666" t="s">
        <v>1656</v>
      </c>
      <c r="G666" t="s">
        <v>1285</v>
      </c>
      <c r="M666">
        <v>0</v>
      </c>
      <c r="N666">
        <v>0</v>
      </c>
      <c r="O666" t="s">
        <v>1063</v>
      </c>
      <c r="S666">
        <v>0</v>
      </c>
      <c r="T666">
        <v>0</v>
      </c>
      <c r="V666">
        <v>0</v>
      </c>
      <c r="W666" s="21">
        <v>0</v>
      </c>
      <c r="X666">
        <v>0</v>
      </c>
      <c r="Y666" s="21">
        <v>0</v>
      </c>
      <c r="AK666" t="s">
        <v>1293</v>
      </c>
    </row>
    <row r="667" spans="1:37" x14ac:dyDescent="0.25">
      <c r="A667">
        <f t="shared" si="10"/>
        <v>666</v>
      </c>
      <c r="G667" t="s">
        <v>1285</v>
      </c>
      <c r="M667">
        <v>0</v>
      </c>
      <c r="N667">
        <v>0</v>
      </c>
      <c r="S667">
        <v>0</v>
      </c>
      <c r="T667">
        <v>0</v>
      </c>
      <c r="V667">
        <v>0</v>
      </c>
      <c r="W667" s="21">
        <v>0</v>
      </c>
      <c r="X667">
        <v>0</v>
      </c>
      <c r="Y667" s="21">
        <v>0</v>
      </c>
      <c r="AK667" t="s">
        <v>1293</v>
      </c>
    </row>
    <row r="668" spans="1:37" x14ac:dyDescent="0.25">
      <c r="A668">
        <f t="shared" si="10"/>
        <v>667</v>
      </c>
      <c r="F668" t="s">
        <v>1658</v>
      </c>
      <c r="G668" t="s">
        <v>1285</v>
      </c>
      <c r="M668">
        <v>1900</v>
      </c>
      <c r="N668">
        <v>2002</v>
      </c>
      <c r="O668" t="s">
        <v>1292</v>
      </c>
      <c r="S668">
        <v>192</v>
      </c>
      <c r="T668">
        <v>0</v>
      </c>
      <c r="V668">
        <v>28000</v>
      </c>
      <c r="W668" s="21">
        <v>0</v>
      </c>
      <c r="X668">
        <v>1005</v>
      </c>
      <c r="Y668" s="21">
        <v>0</v>
      </c>
      <c r="AK668" t="s">
        <v>1293</v>
      </c>
    </row>
    <row r="669" spans="1:37" x14ac:dyDescent="0.25">
      <c r="A669">
        <f t="shared" si="10"/>
        <v>668</v>
      </c>
      <c r="G669" t="s">
        <v>1285</v>
      </c>
      <c r="M669">
        <v>0</v>
      </c>
      <c r="N669">
        <v>0</v>
      </c>
      <c r="S669">
        <v>0</v>
      </c>
      <c r="T669">
        <v>0</v>
      </c>
      <c r="V669">
        <v>0</v>
      </c>
      <c r="W669" s="21">
        <v>0</v>
      </c>
      <c r="X669">
        <v>0</v>
      </c>
      <c r="Y669" s="21">
        <v>0</v>
      </c>
      <c r="AK669" t="s">
        <v>1293</v>
      </c>
    </row>
    <row r="670" spans="1:37" x14ac:dyDescent="0.25">
      <c r="A670">
        <f t="shared" si="10"/>
        <v>669</v>
      </c>
      <c r="F670" t="s">
        <v>1658</v>
      </c>
      <c r="G670" t="s">
        <v>1285</v>
      </c>
      <c r="M670">
        <v>1900</v>
      </c>
      <c r="N670">
        <v>2002</v>
      </c>
      <c r="O670" t="s">
        <v>1292</v>
      </c>
      <c r="S670">
        <v>240</v>
      </c>
      <c r="T670">
        <v>0</v>
      </c>
      <c r="V670">
        <v>30831</v>
      </c>
      <c r="W670" s="21">
        <v>0</v>
      </c>
      <c r="X670">
        <v>8938</v>
      </c>
      <c r="Y670" s="21">
        <v>0</v>
      </c>
      <c r="AK670" t="s">
        <v>1293</v>
      </c>
    </row>
    <row r="671" spans="1:37" x14ac:dyDescent="0.25">
      <c r="A671">
        <f t="shared" si="10"/>
        <v>670</v>
      </c>
      <c r="E671" t="s">
        <v>1673</v>
      </c>
      <c r="F671" t="s">
        <v>1674</v>
      </c>
      <c r="G671" t="s">
        <v>1285</v>
      </c>
      <c r="M671">
        <v>1905</v>
      </c>
      <c r="N671">
        <v>2002</v>
      </c>
      <c r="O671" t="s">
        <v>1292</v>
      </c>
      <c r="S671">
        <v>262</v>
      </c>
      <c r="T671">
        <v>0</v>
      </c>
      <c r="V671">
        <v>37773</v>
      </c>
      <c r="W671" s="21">
        <v>0</v>
      </c>
      <c r="X671">
        <v>12012</v>
      </c>
      <c r="Y671" s="21">
        <v>0</v>
      </c>
      <c r="AK671" t="s">
        <v>1293</v>
      </c>
    </row>
    <row r="672" spans="1:37" x14ac:dyDescent="0.25">
      <c r="A672">
        <f t="shared" si="10"/>
        <v>671</v>
      </c>
      <c r="F672" t="s">
        <v>1656</v>
      </c>
      <c r="G672" t="s">
        <v>1285</v>
      </c>
      <c r="M672">
        <v>1954</v>
      </c>
      <c r="N672">
        <v>2002</v>
      </c>
      <c r="S672">
        <v>270</v>
      </c>
      <c r="T672">
        <v>0</v>
      </c>
      <c r="V672">
        <v>30000</v>
      </c>
      <c r="W672" s="21">
        <v>0</v>
      </c>
      <c r="X672">
        <v>0</v>
      </c>
      <c r="Y672" s="21">
        <v>0</v>
      </c>
      <c r="AK672" t="s">
        <v>1293</v>
      </c>
    </row>
    <row r="673" spans="1:37" x14ac:dyDescent="0.25">
      <c r="A673">
        <f t="shared" si="10"/>
        <v>672</v>
      </c>
      <c r="F673" t="s">
        <v>1675</v>
      </c>
      <c r="G673" t="s">
        <v>1285</v>
      </c>
      <c r="M673">
        <v>0</v>
      </c>
      <c r="N673">
        <v>0</v>
      </c>
      <c r="S673">
        <v>0</v>
      </c>
      <c r="T673">
        <v>0</v>
      </c>
      <c r="V673">
        <v>0</v>
      </c>
      <c r="W673" s="21">
        <v>0</v>
      </c>
      <c r="X673">
        <v>0</v>
      </c>
      <c r="Y673" s="21">
        <v>0</v>
      </c>
      <c r="AK673" t="s">
        <v>1293</v>
      </c>
    </row>
    <row r="674" spans="1:37" x14ac:dyDescent="0.25">
      <c r="A674">
        <f t="shared" si="10"/>
        <v>673</v>
      </c>
      <c r="F674" t="s">
        <v>1656</v>
      </c>
      <c r="G674" t="s">
        <v>1285</v>
      </c>
      <c r="M674">
        <v>0</v>
      </c>
      <c r="N674">
        <v>0</v>
      </c>
      <c r="S674">
        <v>0</v>
      </c>
      <c r="T674">
        <v>0</v>
      </c>
      <c r="V674">
        <v>0</v>
      </c>
      <c r="W674" s="21">
        <v>0</v>
      </c>
      <c r="X674">
        <v>0</v>
      </c>
      <c r="Y674" s="21">
        <v>0</v>
      </c>
      <c r="AK674" t="s">
        <v>1293</v>
      </c>
    </row>
    <row r="675" spans="1:37" x14ac:dyDescent="0.25">
      <c r="A675">
        <f t="shared" si="10"/>
        <v>674</v>
      </c>
      <c r="F675" t="s">
        <v>1656</v>
      </c>
      <c r="G675" t="s">
        <v>1285</v>
      </c>
      <c r="M675">
        <v>1905</v>
      </c>
      <c r="N675">
        <v>2002</v>
      </c>
      <c r="O675" t="s">
        <v>1063</v>
      </c>
      <c r="S675">
        <v>195</v>
      </c>
      <c r="T675">
        <v>0</v>
      </c>
      <c r="V675">
        <v>45000</v>
      </c>
      <c r="W675" s="21">
        <v>0</v>
      </c>
      <c r="X675">
        <v>12400</v>
      </c>
      <c r="Y675" s="21">
        <v>0</v>
      </c>
      <c r="AK675" t="s">
        <v>1293</v>
      </c>
    </row>
    <row r="676" spans="1:37" x14ac:dyDescent="0.25">
      <c r="A676">
        <f t="shared" si="10"/>
        <v>675</v>
      </c>
      <c r="F676" t="s">
        <v>1656</v>
      </c>
      <c r="G676" t="s">
        <v>1285</v>
      </c>
      <c r="M676">
        <v>0</v>
      </c>
      <c r="N676">
        <v>0</v>
      </c>
      <c r="O676" t="s">
        <v>1063</v>
      </c>
      <c r="S676">
        <v>0</v>
      </c>
      <c r="T676">
        <v>0</v>
      </c>
      <c r="V676">
        <v>0</v>
      </c>
      <c r="W676" s="21">
        <v>0</v>
      </c>
      <c r="X676">
        <v>0</v>
      </c>
      <c r="Y676" s="21">
        <v>0</v>
      </c>
      <c r="AK676" t="s">
        <v>1293</v>
      </c>
    </row>
    <row r="677" spans="1:37" x14ac:dyDescent="0.25">
      <c r="A677">
        <f t="shared" si="10"/>
        <v>676</v>
      </c>
      <c r="F677" t="s">
        <v>1656</v>
      </c>
      <c r="G677" t="s">
        <v>1285</v>
      </c>
      <c r="M677">
        <v>0</v>
      </c>
      <c r="N677">
        <v>2002</v>
      </c>
      <c r="S677">
        <v>132</v>
      </c>
      <c r="T677">
        <v>1913</v>
      </c>
      <c r="V677">
        <v>32651</v>
      </c>
      <c r="W677" s="21">
        <v>0</v>
      </c>
      <c r="X677">
        <v>4150</v>
      </c>
      <c r="Y677" s="21">
        <v>0</v>
      </c>
      <c r="AK677" t="s">
        <v>1293</v>
      </c>
    </row>
    <row r="678" spans="1:37" x14ac:dyDescent="0.25">
      <c r="A678">
        <f t="shared" si="10"/>
        <v>677</v>
      </c>
      <c r="E678" t="s">
        <v>1676</v>
      </c>
      <c r="F678" t="s">
        <v>1656</v>
      </c>
      <c r="G678" t="s">
        <v>1285</v>
      </c>
      <c r="M678">
        <v>1911</v>
      </c>
      <c r="N678">
        <v>2002</v>
      </c>
      <c r="O678" t="s">
        <v>1063</v>
      </c>
      <c r="S678">
        <v>204</v>
      </c>
      <c r="T678">
        <v>0</v>
      </c>
      <c r="V678">
        <v>24667</v>
      </c>
      <c r="W678" s="21">
        <v>0</v>
      </c>
      <c r="X678">
        <v>4470</v>
      </c>
      <c r="Y678" s="21">
        <v>0</v>
      </c>
      <c r="AK678" t="s">
        <v>1293</v>
      </c>
    </row>
    <row r="679" spans="1:37" x14ac:dyDescent="0.25">
      <c r="A679">
        <f t="shared" si="10"/>
        <v>678</v>
      </c>
      <c r="F679" t="s">
        <v>1656</v>
      </c>
      <c r="G679" t="s">
        <v>1285</v>
      </c>
      <c r="M679">
        <v>1911</v>
      </c>
      <c r="N679">
        <v>2002</v>
      </c>
      <c r="O679" t="s">
        <v>1063</v>
      </c>
      <c r="S679">
        <v>168</v>
      </c>
      <c r="T679">
        <v>0</v>
      </c>
      <c r="V679">
        <v>32841</v>
      </c>
      <c r="W679" s="21">
        <v>0</v>
      </c>
      <c r="X679">
        <v>3900</v>
      </c>
      <c r="Y679" s="21">
        <v>0</v>
      </c>
      <c r="AK679" t="s">
        <v>1293</v>
      </c>
    </row>
    <row r="680" spans="1:37" x14ac:dyDescent="0.25">
      <c r="A680">
        <f t="shared" si="10"/>
        <v>679</v>
      </c>
      <c r="F680" t="s">
        <v>1656</v>
      </c>
      <c r="G680" t="s">
        <v>1285</v>
      </c>
      <c r="M680">
        <v>1913</v>
      </c>
      <c r="N680">
        <v>2002</v>
      </c>
      <c r="S680">
        <v>0</v>
      </c>
      <c r="T680">
        <v>0</v>
      </c>
      <c r="V680">
        <v>0</v>
      </c>
      <c r="W680" s="21">
        <v>0</v>
      </c>
      <c r="X680">
        <v>0</v>
      </c>
      <c r="Y680" s="21">
        <v>0</v>
      </c>
      <c r="AK680" t="s">
        <v>1293</v>
      </c>
    </row>
    <row r="681" spans="1:37" x14ac:dyDescent="0.25">
      <c r="A681">
        <f t="shared" si="10"/>
        <v>680</v>
      </c>
      <c r="E681" t="s">
        <v>1677</v>
      </c>
      <c r="F681" t="s">
        <v>1670</v>
      </c>
      <c r="G681" t="s">
        <v>1285</v>
      </c>
      <c r="M681">
        <v>1930</v>
      </c>
      <c r="N681">
        <v>2002</v>
      </c>
      <c r="O681" t="s">
        <v>1337</v>
      </c>
      <c r="S681">
        <v>2650</v>
      </c>
      <c r="T681">
        <v>0</v>
      </c>
      <c r="V681">
        <v>248640</v>
      </c>
      <c r="W681" s="21">
        <v>0</v>
      </c>
      <c r="X681">
        <v>39000</v>
      </c>
      <c r="Y681" s="21">
        <v>0</v>
      </c>
      <c r="AK681" t="s">
        <v>1293</v>
      </c>
    </row>
    <row r="682" spans="1:37" x14ac:dyDescent="0.25">
      <c r="A682">
        <f t="shared" si="10"/>
        <v>681</v>
      </c>
      <c r="E682" t="s">
        <v>1678</v>
      </c>
      <c r="F682" t="s">
        <v>1670</v>
      </c>
      <c r="G682" t="s">
        <v>1285</v>
      </c>
      <c r="M682">
        <v>0</v>
      </c>
      <c r="N682">
        <v>2002</v>
      </c>
      <c r="S682">
        <v>500</v>
      </c>
      <c r="T682">
        <v>0</v>
      </c>
      <c r="V682">
        <v>7616</v>
      </c>
      <c r="W682" s="21">
        <v>0</v>
      </c>
      <c r="X682">
        <v>16337</v>
      </c>
      <c r="Y682" s="21">
        <v>0</v>
      </c>
      <c r="AK682" t="s">
        <v>1293</v>
      </c>
    </row>
    <row r="683" spans="1:37" x14ac:dyDescent="0.25">
      <c r="A683">
        <f t="shared" si="10"/>
        <v>682</v>
      </c>
      <c r="G683" t="s">
        <v>1285</v>
      </c>
      <c r="M683">
        <v>1903</v>
      </c>
      <c r="N683">
        <v>2002</v>
      </c>
      <c r="S683">
        <v>240</v>
      </c>
      <c r="T683">
        <v>0</v>
      </c>
      <c r="V683">
        <v>50000</v>
      </c>
      <c r="W683" s="21">
        <v>0</v>
      </c>
      <c r="X683">
        <v>8223</v>
      </c>
      <c r="Y683" s="21">
        <v>0</v>
      </c>
      <c r="AK683" t="s">
        <v>1293</v>
      </c>
    </row>
    <row r="684" spans="1:37" x14ac:dyDescent="0.25">
      <c r="A684">
        <f t="shared" si="10"/>
        <v>683</v>
      </c>
      <c r="G684" t="s">
        <v>1285</v>
      </c>
      <c r="M684">
        <v>1900</v>
      </c>
      <c r="N684">
        <v>2002</v>
      </c>
      <c r="O684" t="s">
        <v>1063</v>
      </c>
      <c r="S684">
        <v>156</v>
      </c>
      <c r="T684">
        <v>0</v>
      </c>
      <c r="V684">
        <v>33991</v>
      </c>
      <c r="W684" s="21">
        <v>0</v>
      </c>
      <c r="X684">
        <v>1093</v>
      </c>
      <c r="Y684" s="21">
        <v>0</v>
      </c>
      <c r="AK684" t="s">
        <v>1293</v>
      </c>
    </row>
    <row r="685" spans="1:37" x14ac:dyDescent="0.25">
      <c r="A685">
        <f t="shared" si="10"/>
        <v>684</v>
      </c>
      <c r="F685" t="s">
        <v>1658</v>
      </c>
      <c r="G685" t="s">
        <v>1285</v>
      </c>
      <c r="M685">
        <v>0</v>
      </c>
      <c r="N685">
        <v>2002</v>
      </c>
      <c r="O685" t="s">
        <v>1292</v>
      </c>
      <c r="S685">
        <v>0</v>
      </c>
      <c r="T685">
        <v>0</v>
      </c>
      <c r="V685">
        <v>0</v>
      </c>
      <c r="W685" s="21">
        <v>0</v>
      </c>
      <c r="X685">
        <v>0</v>
      </c>
      <c r="Y685" s="21">
        <v>0</v>
      </c>
      <c r="AK685" t="s">
        <v>1293</v>
      </c>
    </row>
    <row r="686" spans="1:37" x14ac:dyDescent="0.25">
      <c r="A686">
        <f t="shared" si="10"/>
        <v>685</v>
      </c>
      <c r="G686" t="s">
        <v>1285</v>
      </c>
      <c r="M686">
        <v>0</v>
      </c>
      <c r="N686">
        <v>0</v>
      </c>
      <c r="S686">
        <v>0</v>
      </c>
      <c r="T686">
        <v>0</v>
      </c>
      <c r="V686">
        <v>0</v>
      </c>
      <c r="W686" s="21">
        <v>0</v>
      </c>
      <c r="X686">
        <v>0</v>
      </c>
      <c r="Y686" s="21">
        <v>0</v>
      </c>
      <c r="AK686" t="s">
        <v>1293</v>
      </c>
    </row>
    <row r="687" spans="1:37" x14ac:dyDescent="0.25">
      <c r="A687">
        <f t="shared" si="10"/>
        <v>686</v>
      </c>
      <c r="F687" t="s">
        <v>1658</v>
      </c>
      <c r="G687" t="s">
        <v>1285</v>
      </c>
      <c r="M687">
        <v>0</v>
      </c>
      <c r="N687">
        <v>2002</v>
      </c>
      <c r="O687" t="s">
        <v>1292</v>
      </c>
      <c r="S687">
        <v>105</v>
      </c>
      <c r="T687">
        <v>0</v>
      </c>
      <c r="V687">
        <v>0</v>
      </c>
      <c r="W687" s="21">
        <v>0</v>
      </c>
      <c r="X687">
        <v>0</v>
      </c>
      <c r="Y687" s="21">
        <v>0</v>
      </c>
      <c r="AK687" t="s">
        <v>1293</v>
      </c>
    </row>
    <row r="688" spans="1:37" x14ac:dyDescent="0.25">
      <c r="A688">
        <f t="shared" si="10"/>
        <v>687</v>
      </c>
      <c r="F688" t="s">
        <v>1656</v>
      </c>
      <c r="G688" t="s">
        <v>1285</v>
      </c>
      <c r="M688">
        <v>1910</v>
      </c>
      <c r="N688">
        <v>2002</v>
      </c>
      <c r="O688" t="s">
        <v>1063</v>
      </c>
      <c r="S688">
        <v>150</v>
      </c>
      <c r="T688">
        <v>0</v>
      </c>
      <c r="V688">
        <v>30000</v>
      </c>
      <c r="W688" s="21">
        <v>0</v>
      </c>
      <c r="X688">
        <v>1787</v>
      </c>
      <c r="Y688" s="21">
        <v>0</v>
      </c>
      <c r="AK688" t="s">
        <v>1293</v>
      </c>
    </row>
    <row r="689" spans="1:37" x14ac:dyDescent="0.25">
      <c r="A689">
        <f t="shared" si="10"/>
        <v>688</v>
      </c>
      <c r="F689" t="s">
        <v>1656</v>
      </c>
      <c r="G689" t="s">
        <v>1285</v>
      </c>
      <c r="M689">
        <v>0</v>
      </c>
      <c r="N689">
        <v>0</v>
      </c>
      <c r="S689">
        <v>0</v>
      </c>
      <c r="T689">
        <v>0</v>
      </c>
      <c r="V689">
        <v>0</v>
      </c>
      <c r="W689" s="21">
        <v>0</v>
      </c>
      <c r="X689">
        <v>0</v>
      </c>
      <c r="Y689" s="21">
        <v>0</v>
      </c>
      <c r="AK689" t="s">
        <v>1293</v>
      </c>
    </row>
    <row r="690" spans="1:37" x14ac:dyDescent="0.25">
      <c r="A690">
        <f t="shared" si="10"/>
        <v>689</v>
      </c>
      <c r="E690" t="s">
        <v>1679</v>
      </c>
      <c r="F690" t="s">
        <v>1175</v>
      </c>
      <c r="G690" t="s">
        <v>1285</v>
      </c>
      <c r="M690">
        <v>1902</v>
      </c>
      <c r="N690">
        <v>2002</v>
      </c>
      <c r="O690" t="s">
        <v>1082</v>
      </c>
      <c r="S690">
        <v>633</v>
      </c>
      <c r="T690">
        <v>0</v>
      </c>
      <c r="V690">
        <v>110250</v>
      </c>
      <c r="W690" s="21">
        <v>0</v>
      </c>
      <c r="X690">
        <v>9899</v>
      </c>
      <c r="Y690" s="21">
        <v>0</v>
      </c>
      <c r="AK690" t="s">
        <v>1293</v>
      </c>
    </row>
    <row r="691" spans="1:37" x14ac:dyDescent="0.25">
      <c r="A691">
        <f t="shared" si="10"/>
        <v>690</v>
      </c>
      <c r="F691" t="s">
        <v>1656</v>
      </c>
      <c r="G691" t="s">
        <v>1285</v>
      </c>
      <c r="M691">
        <v>0</v>
      </c>
      <c r="N691">
        <v>0</v>
      </c>
      <c r="O691" t="s">
        <v>1063</v>
      </c>
      <c r="S691">
        <v>0</v>
      </c>
      <c r="T691">
        <v>0</v>
      </c>
      <c r="V691">
        <v>0</v>
      </c>
      <c r="W691" s="21">
        <v>0</v>
      </c>
      <c r="X691">
        <v>0</v>
      </c>
      <c r="Y691" s="21">
        <v>0</v>
      </c>
      <c r="AK691" t="s">
        <v>1293</v>
      </c>
    </row>
    <row r="692" spans="1:37" x14ac:dyDescent="0.25">
      <c r="A692">
        <f t="shared" si="10"/>
        <v>691</v>
      </c>
      <c r="F692" t="s">
        <v>1656</v>
      </c>
      <c r="G692" t="s">
        <v>1285</v>
      </c>
      <c r="M692">
        <v>1900</v>
      </c>
      <c r="N692">
        <v>2002</v>
      </c>
      <c r="O692" t="s">
        <v>1063</v>
      </c>
      <c r="S692">
        <v>160</v>
      </c>
      <c r="T692">
        <v>0</v>
      </c>
      <c r="V692">
        <v>15126</v>
      </c>
      <c r="W692" s="21">
        <v>0</v>
      </c>
      <c r="X692">
        <v>4301</v>
      </c>
      <c r="Y692" s="21">
        <v>0</v>
      </c>
      <c r="AK692" t="s">
        <v>1293</v>
      </c>
    </row>
    <row r="693" spans="1:37" x14ac:dyDescent="0.25">
      <c r="A693">
        <f t="shared" si="10"/>
        <v>692</v>
      </c>
      <c r="F693" t="s">
        <v>1656</v>
      </c>
      <c r="G693" t="s">
        <v>1285</v>
      </c>
      <c r="M693">
        <v>1906</v>
      </c>
      <c r="N693">
        <v>2002</v>
      </c>
      <c r="S693">
        <v>200</v>
      </c>
      <c r="T693">
        <v>0</v>
      </c>
      <c r="V693">
        <v>16258</v>
      </c>
      <c r="W693" s="21">
        <v>0</v>
      </c>
      <c r="X693">
        <v>0</v>
      </c>
      <c r="Y693" s="21">
        <v>0</v>
      </c>
      <c r="AK693" t="s">
        <v>1293</v>
      </c>
    </row>
    <row r="694" spans="1:37" x14ac:dyDescent="0.25">
      <c r="A694">
        <f t="shared" si="10"/>
        <v>693</v>
      </c>
      <c r="F694" t="s">
        <v>1680</v>
      </c>
      <c r="G694" t="s">
        <v>1285</v>
      </c>
      <c r="M694">
        <v>0</v>
      </c>
      <c r="N694">
        <v>0</v>
      </c>
      <c r="O694" t="s">
        <v>1063</v>
      </c>
      <c r="S694">
        <v>0</v>
      </c>
      <c r="T694">
        <v>0</v>
      </c>
      <c r="V694">
        <v>0</v>
      </c>
      <c r="W694" s="21">
        <v>0</v>
      </c>
      <c r="X694">
        <v>0</v>
      </c>
      <c r="Y694" s="21">
        <v>0</v>
      </c>
      <c r="AK694" t="s">
        <v>1293</v>
      </c>
    </row>
    <row r="695" spans="1:37" x14ac:dyDescent="0.25">
      <c r="A695">
        <f t="shared" si="10"/>
        <v>694</v>
      </c>
      <c r="F695" t="s">
        <v>1656</v>
      </c>
      <c r="G695" t="s">
        <v>1285</v>
      </c>
      <c r="M695">
        <v>0</v>
      </c>
      <c r="N695">
        <v>0</v>
      </c>
      <c r="O695" t="s">
        <v>1063</v>
      </c>
      <c r="S695">
        <v>0</v>
      </c>
      <c r="T695">
        <v>0</v>
      </c>
      <c r="V695">
        <v>0</v>
      </c>
      <c r="W695" s="21">
        <v>0</v>
      </c>
      <c r="X695">
        <v>0</v>
      </c>
      <c r="Y695" s="21">
        <v>0</v>
      </c>
      <c r="AK695" t="s">
        <v>1293</v>
      </c>
    </row>
    <row r="696" spans="1:37" x14ac:dyDescent="0.25">
      <c r="A696">
        <f t="shared" si="10"/>
        <v>695</v>
      </c>
      <c r="F696" t="s">
        <v>1658</v>
      </c>
      <c r="G696" t="s">
        <v>1285</v>
      </c>
      <c r="M696">
        <v>0</v>
      </c>
      <c r="N696">
        <v>2002</v>
      </c>
      <c r="O696" t="s">
        <v>1292</v>
      </c>
      <c r="S696">
        <v>0</v>
      </c>
      <c r="T696">
        <v>0</v>
      </c>
      <c r="V696">
        <v>0</v>
      </c>
      <c r="W696" s="21">
        <v>0</v>
      </c>
      <c r="X696">
        <v>0</v>
      </c>
      <c r="Y696" s="21">
        <v>0</v>
      </c>
      <c r="AK696" t="s">
        <v>1293</v>
      </c>
    </row>
    <row r="697" spans="1:37" x14ac:dyDescent="0.25">
      <c r="A697">
        <f t="shared" si="10"/>
        <v>696</v>
      </c>
      <c r="E697" t="s">
        <v>1681</v>
      </c>
      <c r="F697" t="s">
        <v>1682</v>
      </c>
      <c r="G697" t="s">
        <v>1285</v>
      </c>
      <c r="M697">
        <v>0</v>
      </c>
      <c r="N697">
        <v>2002</v>
      </c>
      <c r="O697" t="s">
        <v>1292</v>
      </c>
      <c r="S697">
        <v>0</v>
      </c>
      <c r="T697">
        <v>0</v>
      </c>
      <c r="V697">
        <v>0</v>
      </c>
      <c r="W697" s="21">
        <v>0</v>
      </c>
      <c r="X697">
        <v>0</v>
      </c>
      <c r="Y697" s="21">
        <v>0</v>
      </c>
      <c r="AK697" t="s">
        <v>1293</v>
      </c>
    </row>
    <row r="698" spans="1:37" x14ac:dyDescent="0.25">
      <c r="A698">
        <f t="shared" si="10"/>
        <v>697</v>
      </c>
      <c r="F698" t="s">
        <v>1656</v>
      </c>
      <c r="G698" t="s">
        <v>1285</v>
      </c>
      <c r="M698">
        <v>0</v>
      </c>
      <c r="N698">
        <v>0</v>
      </c>
      <c r="O698" t="s">
        <v>1063</v>
      </c>
      <c r="S698">
        <v>0</v>
      </c>
      <c r="T698">
        <v>0</v>
      </c>
      <c r="V698">
        <v>0</v>
      </c>
      <c r="W698" s="21">
        <v>0</v>
      </c>
      <c r="X698">
        <v>0</v>
      </c>
      <c r="Y698" s="21">
        <v>0</v>
      </c>
      <c r="AK698" t="s">
        <v>1293</v>
      </c>
    </row>
    <row r="699" spans="1:37" x14ac:dyDescent="0.25">
      <c r="A699">
        <f t="shared" si="10"/>
        <v>698</v>
      </c>
      <c r="F699" t="s">
        <v>1656</v>
      </c>
      <c r="G699" t="s">
        <v>1285</v>
      </c>
      <c r="M699">
        <v>0</v>
      </c>
      <c r="N699">
        <v>0</v>
      </c>
      <c r="O699" t="s">
        <v>1063</v>
      </c>
      <c r="S699">
        <v>0</v>
      </c>
      <c r="T699">
        <v>0</v>
      </c>
      <c r="V699">
        <v>0</v>
      </c>
      <c r="W699" s="21">
        <v>0</v>
      </c>
      <c r="X699">
        <v>0</v>
      </c>
      <c r="Y699" s="21">
        <v>0</v>
      </c>
      <c r="AK699" t="s">
        <v>1293</v>
      </c>
    </row>
    <row r="700" spans="1:37" x14ac:dyDescent="0.25">
      <c r="A700">
        <f t="shared" si="10"/>
        <v>699</v>
      </c>
      <c r="F700" t="s">
        <v>1656</v>
      </c>
      <c r="G700" t="s">
        <v>1285</v>
      </c>
      <c r="M700">
        <v>0</v>
      </c>
      <c r="N700">
        <v>0</v>
      </c>
      <c r="O700" t="s">
        <v>1063</v>
      </c>
      <c r="S700">
        <v>0</v>
      </c>
      <c r="T700">
        <v>0</v>
      </c>
      <c r="V700">
        <v>0</v>
      </c>
      <c r="W700" s="21">
        <v>0</v>
      </c>
      <c r="X700">
        <v>0</v>
      </c>
      <c r="Y700" s="21">
        <v>0</v>
      </c>
      <c r="AK700" t="s">
        <v>1293</v>
      </c>
    </row>
    <row r="701" spans="1:37" x14ac:dyDescent="0.25">
      <c r="A701">
        <f t="shared" si="10"/>
        <v>700</v>
      </c>
      <c r="F701" t="s">
        <v>1658</v>
      </c>
      <c r="G701" t="s">
        <v>1285</v>
      </c>
      <c r="M701">
        <v>1935</v>
      </c>
      <c r="N701">
        <v>2002</v>
      </c>
      <c r="O701" t="s">
        <v>1292</v>
      </c>
      <c r="S701">
        <v>350</v>
      </c>
      <c r="T701">
        <v>0</v>
      </c>
      <c r="V701">
        <v>62160</v>
      </c>
      <c r="W701" s="21">
        <v>0</v>
      </c>
      <c r="X701">
        <v>7262</v>
      </c>
      <c r="Y701" s="21">
        <v>0</v>
      </c>
      <c r="AK701" t="s">
        <v>1293</v>
      </c>
    </row>
    <row r="702" spans="1:37" x14ac:dyDescent="0.25">
      <c r="A702">
        <f t="shared" si="10"/>
        <v>701</v>
      </c>
      <c r="F702" t="s">
        <v>1656</v>
      </c>
      <c r="G702" t="s">
        <v>1285</v>
      </c>
      <c r="M702">
        <v>0</v>
      </c>
      <c r="N702">
        <v>0</v>
      </c>
      <c r="O702" t="s">
        <v>1063</v>
      </c>
      <c r="S702">
        <v>0</v>
      </c>
      <c r="T702">
        <v>0</v>
      </c>
      <c r="V702">
        <v>0</v>
      </c>
      <c r="W702" s="21">
        <v>0</v>
      </c>
      <c r="X702">
        <v>0</v>
      </c>
      <c r="Y702" s="21">
        <v>0</v>
      </c>
      <c r="AK702" t="s">
        <v>1293</v>
      </c>
    </row>
    <row r="703" spans="1:37" x14ac:dyDescent="0.25">
      <c r="A703">
        <f t="shared" si="10"/>
        <v>702</v>
      </c>
      <c r="F703" t="s">
        <v>1656</v>
      </c>
      <c r="G703" t="s">
        <v>1285</v>
      </c>
      <c r="M703">
        <v>1968</v>
      </c>
      <c r="N703">
        <v>2002</v>
      </c>
      <c r="O703" t="s">
        <v>1063</v>
      </c>
      <c r="S703">
        <v>110</v>
      </c>
      <c r="T703">
        <v>0</v>
      </c>
      <c r="V703">
        <v>30000</v>
      </c>
      <c r="W703" s="21">
        <v>0</v>
      </c>
      <c r="X703">
        <v>1524</v>
      </c>
      <c r="Y703" s="21">
        <v>0</v>
      </c>
      <c r="AK703" t="s">
        <v>1293</v>
      </c>
    </row>
    <row r="704" spans="1:37" x14ac:dyDescent="0.25">
      <c r="A704">
        <f t="shared" si="10"/>
        <v>703</v>
      </c>
      <c r="F704" t="s">
        <v>1683</v>
      </c>
      <c r="G704" t="s">
        <v>1285</v>
      </c>
      <c r="M704">
        <v>0</v>
      </c>
      <c r="N704">
        <v>0</v>
      </c>
      <c r="O704" t="s">
        <v>1063</v>
      </c>
      <c r="S704">
        <v>0</v>
      </c>
      <c r="T704">
        <v>0</v>
      </c>
      <c r="V704">
        <v>0</v>
      </c>
      <c r="W704" s="21">
        <v>0</v>
      </c>
      <c r="X704">
        <v>0</v>
      </c>
      <c r="Y704" s="21">
        <v>0</v>
      </c>
      <c r="AK704" t="s">
        <v>1293</v>
      </c>
    </row>
    <row r="705" spans="1:37" x14ac:dyDescent="0.25">
      <c r="A705">
        <f t="shared" si="10"/>
        <v>704</v>
      </c>
      <c r="F705" t="s">
        <v>1656</v>
      </c>
      <c r="G705" t="s">
        <v>1285</v>
      </c>
      <c r="M705">
        <v>1963</v>
      </c>
      <c r="N705">
        <v>2002</v>
      </c>
      <c r="O705" t="s">
        <v>1063</v>
      </c>
      <c r="S705">
        <v>135</v>
      </c>
      <c r="T705">
        <v>0</v>
      </c>
      <c r="V705">
        <v>39000</v>
      </c>
      <c r="W705" s="21">
        <v>0</v>
      </c>
      <c r="X705">
        <v>6000</v>
      </c>
      <c r="Y705" s="21">
        <v>0</v>
      </c>
      <c r="AK705" t="s">
        <v>1293</v>
      </c>
    </row>
    <row r="706" spans="1:37" x14ac:dyDescent="0.25">
      <c r="A706">
        <f t="shared" ref="A706:A769" si="11">ROW(A706)-1</f>
        <v>705</v>
      </c>
      <c r="F706" t="s">
        <v>1656</v>
      </c>
      <c r="G706" t="s">
        <v>1285</v>
      </c>
      <c r="M706">
        <v>1937</v>
      </c>
      <c r="N706">
        <v>2002</v>
      </c>
      <c r="O706" t="s">
        <v>1063</v>
      </c>
      <c r="S706">
        <v>150</v>
      </c>
      <c r="T706">
        <v>0</v>
      </c>
      <c r="V706">
        <v>23000</v>
      </c>
      <c r="W706" s="21">
        <v>0</v>
      </c>
      <c r="X706">
        <v>1229</v>
      </c>
      <c r="Y706" s="21">
        <v>0</v>
      </c>
      <c r="AK706" t="s">
        <v>1293</v>
      </c>
    </row>
    <row r="707" spans="1:37" x14ac:dyDescent="0.25">
      <c r="A707">
        <f t="shared" si="11"/>
        <v>706</v>
      </c>
      <c r="F707" t="s">
        <v>1656</v>
      </c>
      <c r="G707" t="s">
        <v>1285</v>
      </c>
      <c r="M707">
        <v>1937</v>
      </c>
      <c r="N707">
        <v>2002</v>
      </c>
      <c r="O707" t="s">
        <v>1063</v>
      </c>
      <c r="S707">
        <v>141</v>
      </c>
      <c r="T707">
        <v>0</v>
      </c>
      <c r="V707">
        <v>31080</v>
      </c>
      <c r="W707" s="21">
        <v>0</v>
      </c>
      <c r="X707">
        <v>4500</v>
      </c>
      <c r="Y707" s="21">
        <v>0</v>
      </c>
      <c r="AK707" t="s">
        <v>1293</v>
      </c>
    </row>
    <row r="708" spans="1:37" x14ac:dyDescent="0.25">
      <c r="A708">
        <f t="shared" si="11"/>
        <v>707</v>
      </c>
      <c r="F708" t="s">
        <v>1658</v>
      </c>
      <c r="G708" t="s">
        <v>1285</v>
      </c>
      <c r="M708">
        <v>0</v>
      </c>
      <c r="N708">
        <v>0</v>
      </c>
      <c r="O708" t="s">
        <v>1292</v>
      </c>
      <c r="S708">
        <v>0</v>
      </c>
      <c r="T708">
        <v>0</v>
      </c>
      <c r="V708">
        <v>0</v>
      </c>
      <c r="W708" s="21">
        <v>0</v>
      </c>
      <c r="X708">
        <v>0</v>
      </c>
      <c r="Y708" s="21">
        <v>0</v>
      </c>
      <c r="AK708" t="s">
        <v>1293</v>
      </c>
    </row>
    <row r="709" spans="1:37" x14ac:dyDescent="0.25">
      <c r="A709">
        <f t="shared" si="11"/>
        <v>708</v>
      </c>
      <c r="F709" t="s">
        <v>1656</v>
      </c>
      <c r="G709" t="s">
        <v>1285</v>
      </c>
      <c r="M709">
        <v>1936</v>
      </c>
      <c r="N709">
        <v>2002</v>
      </c>
      <c r="O709" t="s">
        <v>1063</v>
      </c>
      <c r="S709">
        <v>112</v>
      </c>
      <c r="T709">
        <v>0</v>
      </c>
      <c r="V709">
        <v>23828</v>
      </c>
      <c r="W709" s="21">
        <v>0</v>
      </c>
      <c r="X709">
        <v>1587</v>
      </c>
      <c r="Y709" s="21">
        <v>0</v>
      </c>
      <c r="AK709" t="s">
        <v>1293</v>
      </c>
    </row>
    <row r="710" spans="1:37" x14ac:dyDescent="0.25">
      <c r="A710">
        <f t="shared" si="11"/>
        <v>709</v>
      </c>
      <c r="F710" t="s">
        <v>1658</v>
      </c>
      <c r="G710" t="s">
        <v>1285</v>
      </c>
      <c r="M710">
        <v>1936</v>
      </c>
      <c r="N710">
        <v>2002</v>
      </c>
      <c r="O710" t="s">
        <v>1292</v>
      </c>
      <c r="S710">
        <v>230</v>
      </c>
      <c r="T710">
        <v>0</v>
      </c>
      <c r="V710">
        <v>23828</v>
      </c>
      <c r="W710" s="21">
        <v>0</v>
      </c>
      <c r="X710">
        <v>1587</v>
      </c>
      <c r="Y710" s="21">
        <v>0</v>
      </c>
      <c r="AK710" t="s">
        <v>1293</v>
      </c>
    </row>
    <row r="711" spans="1:37" x14ac:dyDescent="0.25">
      <c r="A711">
        <f t="shared" si="11"/>
        <v>710</v>
      </c>
      <c r="F711" t="s">
        <v>1658</v>
      </c>
      <c r="G711" t="s">
        <v>1285</v>
      </c>
      <c r="M711">
        <v>0</v>
      </c>
      <c r="N711">
        <v>0</v>
      </c>
      <c r="O711" t="s">
        <v>1292</v>
      </c>
      <c r="S711">
        <v>0</v>
      </c>
      <c r="T711">
        <v>0</v>
      </c>
      <c r="V711">
        <v>0</v>
      </c>
      <c r="W711" s="21">
        <v>0</v>
      </c>
      <c r="X711">
        <v>0</v>
      </c>
      <c r="Y711" s="21">
        <v>0</v>
      </c>
      <c r="AK711" t="s">
        <v>1293</v>
      </c>
    </row>
    <row r="712" spans="1:37" x14ac:dyDescent="0.25">
      <c r="A712">
        <f t="shared" si="11"/>
        <v>711</v>
      </c>
      <c r="F712" t="s">
        <v>1656</v>
      </c>
      <c r="G712" t="s">
        <v>1285</v>
      </c>
      <c r="M712">
        <v>0</v>
      </c>
      <c r="N712">
        <v>0</v>
      </c>
      <c r="O712" t="s">
        <v>1063</v>
      </c>
      <c r="S712">
        <v>0</v>
      </c>
      <c r="T712">
        <v>0</v>
      </c>
      <c r="V712">
        <v>0</v>
      </c>
      <c r="W712" s="21">
        <v>0</v>
      </c>
      <c r="X712">
        <v>0</v>
      </c>
      <c r="Y712" s="21">
        <v>0</v>
      </c>
      <c r="AK712" t="s">
        <v>1293</v>
      </c>
    </row>
    <row r="713" spans="1:37" x14ac:dyDescent="0.25">
      <c r="A713">
        <f t="shared" si="11"/>
        <v>712</v>
      </c>
      <c r="F713" t="s">
        <v>1684</v>
      </c>
      <c r="G713" t="s">
        <v>1285</v>
      </c>
      <c r="M713">
        <v>0</v>
      </c>
      <c r="N713">
        <v>0</v>
      </c>
      <c r="O713" t="s">
        <v>1063</v>
      </c>
      <c r="S713">
        <v>0</v>
      </c>
      <c r="T713">
        <v>0</v>
      </c>
      <c r="V713">
        <v>0</v>
      </c>
      <c r="W713" s="21">
        <v>0</v>
      </c>
      <c r="X713">
        <v>0</v>
      </c>
      <c r="Y713" s="21">
        <v>0</v>
      </c>
      <c r="AK713" t="s">
        <v>1293</v>
      </c>
    </row>
    <row r="714" spans="1:37" x14ac:dyDescent="0.25">
      <c r="A714">
        <f t="shared" si="11"/>
        <v>713</v>
      </c>
      <c r="E714" t="s">
        <v>1685</v>
      </c>
      <c r="F714" t="s">
        <v>1686</v>
      </c>
      <c r="G714" t="s">
        <v>1285</v>
      </c>
      <c r="M714">
        <v>1988</v>
      </c>
      <c r="N714">
        <v>2002</v>
      </c>
      <c r="O714" t="s">
        <v>1063</v>
      </c>
      <c r="S714">
        <v>400</v>
      </c>
      <c r="T714">
        <v>0</v>
      </c>
      <c r="V714">
        <v>53395</v>
      </c>
      <c r="W714" s="21">
        <v>0</v>
      </c>
      <c r="X714">
        <v>25889</v>
      </c>
      <c r="Y714" s="21">
        <v>0</v>
      </c>
      <c r="AK714" t="s">
        <v>1293</v>
      </c>
    </row>
    <row r="715" spans="1:37" x14ac:dyDescent="0.25">
      <c r="A715">
        <f t="shared" si="11"/>
        <v>714</v>
      </c>
      <c r="F715" t="s">
        <v>1687</v>
      </c>
      <c r="G715" t="s">
        <v>1285</v>
      </c>
      <c r="M715">
        <v>1934</v>
      </c>
      <c r="N715">
        <v>2002</v>
      </c>
      <c r="O715" t="s">
        <v>1292</v>
      </c>
      <c r="S715">
        <v>38</v>
      </c>
      <c r="T715">
        <v>0</v>
      </c>
      <c r="V715">
        <v>3000</v>
      </c>
      <c r="W715" s="21">
        <v>0</v>
      </c>
      <c r="X715">
        <v>838</v>
      </c>
      <c r="Y715" s="21">
        <v>0</v>
      </c>
      <c r="AK715" t="s">
        <v>1293</v>
      </c>
    </row>
    <row r="716" spans="1:37" x14ac:dyDescent="0.25">
      <c r="A716">
        <f t="shared" si="11"/>
        <v>715</v>
      </c>
      <c r="F716" t="s">
        <v>1687</v>
      </c>
      <c r="G716" t="s">
        <v>1285</v>
      </c>
      <c r="M716">
        <v>1933</v>
      </c>
      <c r="N716">
        <v>2002</v>
      </c>
      <c r="O716" t="s">
        <v>1292</v>
      </c>
      <c r="S716">
        <v>300</v>
      </c>
      <c r="T716">
        <v>0</v>
      </c>
      <c r="V716">
        <v>81492</v>
      </c>
      <c r="W716" s="21">
        <v>0</v>
      </c>
      <c r="X716">
        <v>4300</v>
      </c>
      <c r="Y716" s="21">
        <v>0</v>
      </c>
      <c r="AK716" t="s">
        <v>1293</v>
      </c>
    </row>
    <row r="717" spans="1:37" x14ac:dyDescent="0.25">
      <c r="A717">
        <f t="shared" si="11"/>
        <v>716</v>
      </c>
      <c r="F717" t="s">
        <v>1658</v>
      </c>
      <c r="G717" t="s">
        <v>1285</v>
      </c>
      <c r="M717">
        <v>1914</v>
      </c>
      <c r="N717">
        <v>2002</v>
      </c>
      <c r="O717" t="s">
        <v>1292</v>
      </c>
      <c r="S717">
        <v>210</v>
      </c>
      <c r="T717">
        <v>0</v>
      </c>
      <c r="V717">
        <v>13105</v>
      </c>
      <c r="W717" s="21">
        <v>0</v>
      </c>
      <c r="X717">
        <v>3600</v>
      </c>
      <c r="Y717" s="21">
        <v>0</v>
      </c>
      <c r="AK717" t="s">
        <v>1293</v>
      </c>
    </row>
    <row r="718" spans="1:37" x14ac:dyDescent="0.25">
      <c r="A718">
        <f t="shared" si="11"/>
        <v>717</v>
      </c>
      <c r="E718" t="s">
        <v>1688</v>
      </c>
      <c r="F718" t="s">
        <v>1670</v>
      </c>
      <c r="G718" t="s">
        <v>1285</v>
      </c>
      <c r="M718">
        <v>1900</v>
      </c>
      <c r="N718">
        <v>2002</v>
      </c>
      <c r="S718">
        <v>500</v>
      </c>
      <c r="T718">
        <v>0</v>
      </c>
      <c r="V718">
        <v>110000</v>
      </c>
      <c r="W718" s="21">
        <v>0</v>
      </c>
      <c r="X718">
        <v>25000</v>
      </c>
      <c r="Y718" s="21">
        <v>0</v>
      </c>
      <c r="AK718" t="s">
        <v>1293</v>
      </c>
    </row>
    <row r="719" spans="1:37" x14ac:dyDescent="0.25">
      <c r="A719">
        <f t="shared" si="11"/>
        <v>718</v>
      </c>
      <c r="F719" t="s">
        <v>1656</v>
      </c>
      <c r="G719" t="s">
        <v>1285</v>
      </c>
      <c r="M719">
        <v>0</v>
      </c>
      <c r="N719">
        <v>0</v>
      </c>
      <c r="O719" t="s">
        <v>1063</v>
      </c>
      <c r="S719">
        <v>0</v>
      </c>
      <c r="T719">
        <v>0</v>
      </c>
      <c r="V719">
        <v>0</v>
      </c>
      <c r="W719" s="21">
        <v>0</v>
      </c>
      <c r="X719">
        <v>0</v>
      </c>
      <c r="Y719" s="21">
        <v>0</v>
      </c>
      <c r="AK719" t="s">
        <v>1293</v>
      </c>
    </row>
    <row r="720" spans="1:37" x14ac:dyDescent="0.25">
      <c r="A720">
        <f t="shared" si="11"/>
        <v>719</v>
      </c>
      <c r="F720" t="s">
        <v>1656</v>
      </c>
      <c r="G720" t="s">
        <v>1285</v>
      </c>
      <c r="M720">
        <v>0</v>
      </c>
      <c r="N720">
        <v>0</v>
      </c>
      <c r="O720" t="s">
        <v>1063</v>
      </c>
      <c r="S720">
        <v>0</v>
      </c>
      <c r="T720">
        <v>0</v>
      </c>
      <c r="V720">
        <v>0</v>
      </c>
      <c r="W720" s="21">
        <v>0</v>
      </c>
      <c r="X720">
        <v>0</v>
      </c>
      <c r="Y720" s="21">
        <v>0</v>
      </c>
      <c r="AK720" t="s">
        <v>1293</v>
      </c>
    </row>
    <row r="721" spans="1:37" x14ac:dyDescent="0.25">
      <c r="A721">
        <f t="shared" si="11"/>
        <v>720</v>
      </c>
      <c r="F721" t="s">
        <v>1656</v>
      </c>
      <c r="G721" t="s">
        <v>1285</v>
      </c>
      <c r="M721">
        <v>0</v>
      </c>
      <c r="N721">
        <v>2002</v>
      </c>
      <c r="O721" t="s">
        <v>1063</v>
      </c>
      <c r="S721">
        <v>250</v>
      </c>
      <c r="T721">
        <v>0</v>
      </c>
      <c r="V721">
        <v>60000</v>
      </c>
      <c r="W721" s="21">
        <v>0</v>
      </c>
      <c r="X721">
        <v>8000</v>
      </c>
      <c r="Y721" s="21">
        <v>0</v>
      </c>
      <c r="AK721" t="s">
        <v>1293</v>
      </c>
    </row>
    <row r="722" spans="1:37" x14ac:dyDescent="0.25">
      <c r="A722">
        <f t="shared" si="11"/>
        <v>721</v>
      </c>
      <c r="F722" t="s">
        <v>1689</v>
      </c>
      <c r="G722" t="s">
        <v>1285</v>
      </c>
      <c r="M722">
        <v>0</v>
      </c>
      <c r="N722">
        <v>2002</v>
      </c>
      <c r="O722" t="s">
        <v>1063</v>
      </c>
      <c r="S722">
        <v>0</v>
      </c>
      <c r="T722">
        <v>0</v>
      </c>
      <c r="V722">
        <v>0</v>
      </c>
      <c r="W722" s="21">
        <v>0</v>
      </c>
      <c r="X722">
        <v>0</v>
      </c>
      <c r="Y722" s="21">
        <v>0</v>
      </c>
      <c r="AK722" t="s">
        <v>1293</v>
      </c>
    </row>
    <row r="723" spans="1:37" x14ac:dyDescent="0.25">
      <c r="A723">
        <f t="shared" si="11"/>
        <v>722</v>
      </c>
      <c r="F723" t="s">
        <v>1658</v>
      </c>
      <c r="G723" t="s">
        <v>1285</v>
      </c>
      <c r="M723">
        <v>1960</v>
      </c>
      <c r="N723">
        <v>2002</v>
      </c>
      <c r="O723" t="s">
        <v>1292</v>
      </c>
      <c r="S723">
        <v>240</v>
      </c>
      <c r="T723">
        <v>0</v>
      </c>
      <c r="V723">
        <v>43201</v>
      </c>
      <c r="W723" s="21">
        <v>0</v>
      </c>
      <c r="X723">
        <v>5180</v>
      </c>
      <c r="Y723" s="21">
        <v>0</v>
      </c>
      <c r="AK723" t="s">
        <v>1293</v>
      </c>
    </row>
    <row r="724" spans="1:37" x14ac:dyDescent="0.25">
      <c r="A724">
        <f t="shared" si="11"/>
        <v>723</v>
      </c>
      <c r="F724" t="s">
        <v>1658</v>
      </c>
      <c r="G724" t="s">
        <v>1285</v>
      </c>
      <c r="M724">
        <v>0</v>
      </c>
      <c r="N724">
        <v>0</v>
      </c>
      <c r="O724" t="s">
        <v>1292</v>
      </c>
      <c r="S724">
        <v>0</v>
      </c>
      <c r="T724">
        <v>0</v>
      </c>
      <c r="V724">
        <v>0</v>
      </c>
      <c r="W724" s="21">
        <v>0</v>
      </c>
      <c r="X724">
        <v>0</v>
      </c>
      <c r="Y724" s="21">
        <v>0</v>
      </c>
      <c r="AK724" t="s">
        <v>1293</v>
      </c>
    </row>
    <row r="725" spans="1:37" x14ac:dyDescent="0.25">
      <c r="A725">
        <f t="shared" si="11"/>
        <v>724</v>
      </c>
      <c r="F725" t="s">
        <v>1658</v>
      </c>
      <c r="G725" t="s">
        <v>1285</v>
      </c>
      <c r="M725">
        <v>0</v>
      </c>
      <c r="N725">
        <v>0</v>
      </c>
      <c r="O725" t="s">
        <v>1292</v>
      </c>
      <c r="S725">
        <v>0</v>
      </c>
      <c r="T725">
        <v>0</v>
      </c>
      <c r="V725">
        <v>0</v>
      </c>
      <c r="W725" s="21">
        <v>0</v>
      </c>
      <c r="X725">
        <v>0</v>
      </c>
      <c r="Y725" s="21">
        <v>0</v>
      </c>
      <c r="AK725" t="s">
        <v>1293</v>
      </c>
    </row>
    <row r="726" spans="1:37" x14ac:dyDescent="0.25">
      <c r="A726">
        <f t="shared" si="11"/>
        <v>725</v>
      </c>
      <c r="F726" t="s">
        <v>1656</v>
      </c>
      <c r="G726" t="s">
        <v>1285</v>
      </c>
      <c r="M726">
        <v>0</v>
      </c>
      <c r="N726">
        <v>0</v>
      </c>
      <c r="O726" t="s">
        <v>1063</v>
      </c>
      <c r="S726">
        <v>0</v>
      </c>
      <c r="T726">
        <v>0</v>
      </c>
      <c r="V726">
        <v>0</v>
      </c>
      <c r="W726" s="21">
        <v>0</v>
      </c>
      <c r="X726">
        <v>0</v>
      </c>
      <c r="Y726" s="21">
        <v>0</v>
      </c>
      <c r="AK726" t="s">
        <v>1293</v>
      </c>
    </row>
    <row r="727" spans="1:37" x14ac:dyDescent="0.25">
      <c r="A727">
        <f t="shared" si="11"/>
        <v>726</v>
      </c>
      <c r="E727" t="s">
        <v>1006</v>
      </c>
      <c r="F727" t="s">
        <v>1178</v>
      </c>
      <c r="G727" t="s">
        <v>1285</v>
      </c>
      <c r="M727">
        <v>2017</v>
      </c>
      <c r="N727">
        <v>2018</v>
      </c>
      <c r="O727" t="s">
        <v>1292</v>
      </c>
      <c r="S727">
        <v>970</v>
      </c>
      <c r="T727">
        <v>0</v>
      </c>
      <c r="W727" s="21">
        <v>0</v>
      </c>
      <c r="X727">
        <v>12900</v>
      </c>
      <c r="Y727" s="21">
        <v>0</v>
      </c>
      <c r="AK727" t="s">
        <v>1293</v>
      </c>
    </row>
    <row r="728" spans="1:37" x14ac:dyDescent="0.25">
      <c r="A728">
        <f t="shared" si="11"/>
        <v>727</v>
      </c>
      <c r="G728" t="s">
        <v>1285</v>
      </c>
      <c r="M728">
        <v>0</v>
      </c>
      <c r="N728">
        <v>2002</v>
      </c>
      <c r="S728">
        <v>112</v>
      </c>
      <c r="T728">
        <v>0</v>
      </c>
      <c r="V728">
        <v>0</v>
      </c>
      <c r="W728" s="21">
        <v>0</v>
      </c>
      <c r="X728">
        <v>0</v>
      </c>
      <c r="Y728" s="21">
        <v>0</v>
      </c>
      <c r="AK728" t="s">
        <v>1293</v>
      </c>
    </row>
    <row r="729" spans="1:37" x14ac:dyDescent="0.25">
      <c r="A729">
        <f t="shared" si="11"/>
        <v>728</v>
      </c>
      <c r="F729" t="s">
        <v>1658</v>
      </c>
      <c r="G729" t="s">
        <v>1285</v>
      </c>
      <c r="M729">
        <v>1950</v>
      </c>
      <c r="N729">
        <v>2002</v>
      </c>
      <c r="O729" t="s">
        <v>1292</v>
      </c>
      <c r="S729">
        <v>128</v>
      </c>
      <c r="T729">
        <v>0</v>
      </c>
      <c r="V729">
        <v>30831</v>
      </c>
      <c r="W729" s="21">
        <v>0</v>
      </c>
      <c r="X729">
        <v>4400</v>
      </c>
      <c r="Y729" s="21">
        <v>0</v>
      </c>
      <c r="AK729" t="s">
        <v>1293</v>
      </c>
    </row>
    <row r="730" spans="1:37" x14ac:dyDescent="0.25">
      <c r="A730">
        <f t="shared" si="11"/>
        <v>729</v>
      </c>
      <c r="G730" t="s">
        <v>1285</v>
      </c>
      <c r="M730">
        <v>0</v>
      </c>
      <c r="N730">
        <v>0</v>
      </c>
      <c r="S730">
        <v>0</v>
      </c>
      <c r="T730">
        <v>0</v>
      </c>
      <c r="V730">
        <v>0</v>
      </c>
      <c r="W730" s="21">
        <v>0</v>
      </c>
      <c r="X730">
        <v>0</v>
      </c>
      <c r="Y730" s="21">
        <v>0</v>
      </c>
      <c r="AK730" t="s">
        <v>1293</v>
      </c>
    </row>
    <row r="731" spans="1:37" x14ac:dyDescent="0.25">
      <c r="A731">
        <f t="shared" si="11"/>
        <v>730</v>
      </c>
      <c r="F731" t="s">
        <v>1656</v>
      </c>
      <c r="G731" t="s">
        <v>1285</v>
      </c>
      <c r="M731">
        <v>1955</v>
      </c>
      <c r="N731">
        <v>2002</v>
      </c>
      <c r="O731" t="s">
        <v>1063</v>
      </c>
      <c r="S731">
        <v>105</v>
      </c>
      <c r="T731">
        <v>0</v>
      </c>
      <c r="V731">
        <v>30000</v>
      </c>
      <c r="W731" s="21">
        <v>0</v>
      </c>
      <c r="X731">
        <v>2500</v>
      </c>
      <c r="Y731" s="21">
        <v>0</v>
      </c>
      <c r="AK731" t="s">
        <v>1293</v>
      </c>
    </row>
    <row r="732" spans="1:37" x14ac:dyDescent="0.25">
      <c r="A732">
        <f t="shared" si="11"/>
        <v>731</v>
      </c>
      <c r="F732" t="s">
        <v>1656</v>
      </c>
      <c r="G732" t="s">
        <v>1285</v>
      </c>
      <c r="M732">
        <v>1949</v>
      </c>
      <c r="N732">
        <v>2002</v>
      </c>
      <c r="O732" t="s">
        <v>1063</v>
      </c>
      <c r="S732">
        <v>128</v>
      </c>
      <c r="T732">
        <v>0</v>
      </c>
      <c r="V732">
        <v>23500</v>
      </c>
      <c r="W732" s="21">
        <v>0</v>
      </c>
      <c r="X732">
        <v>15900</v>
      </c>
      <c r="Y732" s="21">
        <v>0</v>
      </c>
      <c r="AK732" t="s">
        <v>1293</v>
      </c>
    </row>
    <row r="733" spans="1:37" x14ac:dyDescent="0.25">
      <c r="A733">
        <f t="shared" si="11"/>
        <v>732</v>
      </c>
      <c r="F733" t="s">
        <v>1658</v>
      </c>
      <c r="G733" t="s">
        <v>1285</v>
      </c>
      <c r="M733">
        <v>1950</v>
      </c>
      <c r="N733">
        <v>2002</v>
      </c>
      <c r="O733" t="s">
        <v>1292</v>
      </c>
      <c r="S733">
        <v>144</v>
      </c>
      <c r="T733">
        <v>0</v>
      </c>
      <c r="V733">
        <v>22000</v>
      </c>
      <c r="W733" s="21">
        <v>0</v>
      </c>
      <c r="X733">
        <v>9300</v>
      </c>
      <c r="Y733" s="21">
        <v>0</v>
      </c>
      <c r="AK733" t="s">
        <v>1293</v>
      </c>
    </row>
    <row r="734" spans="1:37" x14ac:dyDescent="0.25">
      <c r="A734">
        <f t="shared" si="11"/>
        <v>733</v>
      </c>
      <c r="G734" t="s">
        <v>1285</v>
      </c>
      <c r="M734">
        <v>2011</v>
      </c>
      <c r="S734">
        <v>0</v>
      </c>
      <c r="T734">
        <v>0</v>
      </c>
      <c r="V734">
        <v>4200</v>
      </c>
      <c r="W734" s="21">
        <v>0</v>
      </c>
      <c r="X734">
        <v>2000</v>
      </c>
      <c r="Y734" s="21">
        <v>0</v>
      </c>
      <c r="AK734" t="s">
        <v>1293</v>
      </c>
    </row>
    <row r="735" spans="1:37" x14ac:dyDescent="0.25">
      <c r="A735">
        <f t="shared" si="11"/>
        <v>734</v>
      </c>
      <c r="E735" t="s">
        <v>1007</v>
      </c>
      <c r="G735" t="s">
        <v>1285</v>
      </c>
      <c r="M735">
        <v>2011</v>
      </c>
      <c r="N735">
        <v>0</v>
      </c>
      <c r="S735">
        <v>0</v>
      </c>
      <c r="T735">
        <v>0</v>
      </c>
      <c r="V735">
        <v>15210</v>
      </c>
      <c r="W735" s="21">
        <v>0</v>
      </c>
      <c r="X735">
        <v>14872</v>
      </c>
      <c r="Y735" s="21">
        <v>0</v>
      </c>
      <c r="AK735" t="s">
        <v>1293</v>
      </c>
    </row>
    <row r="736" spans="1:37" x14ac:dyDescent="0.25">
      <c r="A736">
        <f t="shared" si="11"/>
        <v>735</v>
      </c>
      <c r="E736" t="s">
        <v>1008</v>
      </c>
      <c r="F736" t="s">
        <v>1179</v>
      </c>
      <c r="G736" t="s">
        <v>1285</v>
      </c>
      <c r="M736">
        <v>2012</v>
      </c>
      <c r="N736">
        <v>0</v>
      </c>
      <c r="S736">
        <v>0</v>
      </c>
      <c r="T736">
        <v>0</v>
      </c>
      <c r="V736">
        <v>0</v>
      </c>
      <c r="W736" s="21">
        <v>0</v>
      </c>
      <c r="X736">
        <v>74500</v>
      </c>
      <c r="Y736" s="21">
        <v>0</v>
      </c>
      <c r="AK736" t="s">
        <v>1293</v>
      </c>
    </row>
    <row r="737" spans="1:37" x14ac:dyDescent="0.25">
      <c r="A737">
        <f t="shared" si="11"/>
        <v>736</v>
      </c>
      <c r="G737" t="s">
        <v>1285</v>
      </c>
      <c r="M737">
        <v>2012</v>
      </c>
      <c r="N737">
        <v>0</v>
      </c>
      <c r="S737">
        <v>0</v>
      </c>
      <c r="T737">
        <v>0</v>
      </c>
      <c r="V737">
        <v>0</v>
      </c>
      <c r="W737" s="21">
        <v>0</v>
      </c>
      <c r="X737">
        <v>5000</v>
      </c>
      <c r="Y737" s="21">
        <v>0</v>
      </c>
      <c r="AK737" t="s">
        <v>1293</v>
      </c>
    </row>
    <row r="738" spans="1:37" x14ac:dyDescent="0.25">
      <c r="A738">
        <f t="shared" si="11"/>
        <v>737</v>
      </c>
      <c r="E738" t="s">
        <v>1690</v>
      </c>
      <c r="G738" t="s">
        <v>1285</v>
      </c>
      <c r="M738">
        <v>2013</v>
      </c>
      <c r="N738">
        <v>0</v>
      </c>
      <c r="S738">
        <v>0</v>
      </c>
      <c r="T738">
        <v>0</v>
      </c>
      <c r="V738">
        <v>0</v>
      </c>
      <c r="W738" s="21">
        <v>0</v>
      </c>
      <c r="X738">
        <v>0</v>
      </c>
      <c r="Y738" s="21">
        <v>0</v>
      </c>
      <c r="AK738" t="s">
        <v>1293</v>
      </c>
    </row>
    <row r="739" spans="1:37" x14ac:dyDescent="0.25">
      <c r="A739">
        <f t="shared" si="11"/>
        <v>738</v>
      </c>
      <c r="E739" t="s">
        <v>1691</v>
      </c>
      <c r="F739" t="s">
        <v>1692</v>
      </c>
      <c r="G739" t="s">
        <v>1285</v>
      </c>
      <c r="M739">
        <v>2016</v>
      </c>
      <c r="N739">
        <v>0</v>
      </c>
      <c r="O739" t="s">
        <v>1292</v>
      </c>
      <c r="S739">
        <v>0</v>
      </c>
      <c r="T739">
        <v>0</v>
      </c>
      <c r="V739">
        <v>0</v>
      </c>
      <c r="W739" s="21">
        <v>0</v>
      </c>
      <c r="X739">
        <v>5500</v>
      </c>
      <c r="Y739" s="21">
        <v>0</v>
      </c>
      <c r="AK739" t="s">
        <v>1293</v>
      </c>
    </row>
    <row r="740" spans="1:37" x14ac:dyDescent="0.25">
      <c r="A740">
        <f t="shared" si="11"/>
        <v>739</v>
      </c>
      <c r="G740" t="s">
        <v>1285</v>
      </c>
      <c r="M740">
        <v>2015</v>
      </c>
      <c r="N740">
        <v>0</v>
      </c>
      <c r="S740">
        <v>0</v>
      </c>
      <c r="T740">
        <v>0</v>
      </c>
      <c r="V740">
        <v>0</v>
      </c>
      <c r="W740" s="21">
        <v>0</v>
      </c>
      <c r="X740">
        <v>0</v>
      </c>
      <c r="Y740" s="21">
        <v>0</v>
      </c>
      <c r="AK740" t="s">
        <v>1293</v>
      </c>
    </row>
    <row r="741" spans="1:37" x14ac:dyDescent="0.25">
      <c r="A741">
        <f t="shared" si="11"/>
        <v>740</v>
      </c>
      <c r="E741" t="s">
        <v>1009</v>
      </c>
      <c r="G741" t="s">
        <v>1285</v>
      </c>
      <c r="M741">
        <v>2014</v>
      </c>
      <c r="N741">
        <v>0</v>
      </c>
      <c r="S741">
        <v>0</v>
      </c>
      <c r="T741">
        <v>0</v>
      </c>
      <c r="V741">
        <v>0</v>
      </c>
      <c r="W741" s="21">
        <v>0</v>
      </c>
      <c r="X741">
        <v>4625</v>
      </c>
      <c r="Y741" s="21">
        <v>0</v>
      </c>
      <c r="AK741" t="s">
        <v>1293</v>
      </c>
    </row>
    <row r="742" spans="1:37" x14ac:dyDescent="0.25">
      <c r="A742">
        <f t="shared" si="11"/>
        <v>741</v>
      </c>
      <c r="E742" t="s">
        <v>1010</v>
      </c>
      <c r="F742" t="s">
        <v>1180</v>
      </c>
      <c r="G742" t="s">
        <v>1285</v>
      </c>
      <c r="M742">
        <v>2015</v>
      </c>
      <c r="N742">
        <v>0</v>
      </c>
      <c r="O742" t="s">
        <v>1088</v>
      </c>
      <c r="S742">
        <v>0</v>
      </c>
      <c r="T742">
        <v>0</v>
      </c>
      <c r="V742">
        <v>0</v>
      </c>
      <c r="W742" s="21">
        <v>0</v>
      </c>
      <c r="X742">
        <v>11400</v>
      </c>
      <c r="Y742" s="21">
        <v>0</v>
      </c>
      <c r="AK742" t="s">
        <v>1293</v>
      </c>
    </row>
    <row r="743" spans="1:37" x14ac:dyDescent="0.25">
      <c r="A743">
        <f t="shared" si="11"/>
        <v>742</v>
      </c>
      <c r="G743" t="s">
        <v>1285</v>
      </c>
      <c r="M743">
        <v>2015</v>
      </c>
      <c r="N743">
        <v>0</v>
      </c>
      <c r="S743">
        <v>0</v>
      </c>
      <c r="T743">
        <v>0</v>
      </c>
      <c r="V743">
        <v>0</v>
      </c>
      <c r="W743" s="21">
        <v>0</v>
      </c>
      <c r="X743">
        <v>6045</v>
      </c>
      <c r="Y743" s="21">
        <v>0</v>
      </c>
      <c r="AK743" t="s">
        <v>1293</v>
      </c>
    </row>
    <row r="744" spans="1:37" x14ac:dyDescent="0.25">
      <c r="A744">
        <f t="shared" si="11"/>
        <v>743</v>
      </c>
      <c r="E744" t="s">
        <v>1011</v>
      </c>
      <c r="F744" t="s">
        <v>1181</v>
      </c>
      <c r="G744" t="s">
        <v>1285</v>
      </c>
      <c r="M744">
        <v>2015</v>
      </c>
      <c r="N744">
        <v>0</v>
      </c>
      <c r="O744" t="s">
        <v>1292</v>
      </c>
      <c r="S744">
        <v>0</v>
      </c>
      <c r="T744">
        <v>0</v>
      </c>
      <c r="V744">
        <v>0</v>
      </c>
      <c r="W744" s="21">
        <v>0</v>
      </c>
      <c r="X744">
        <v>253622</v>
      </c>
      <c r="Y744" s="21">
        <v>0</v>
      </c>
      <c r="AK744" t="s">
        <v>1293</v>
      </c>
    </row>
    <row r="745" spans="1:37" x14ac:dyDescent="0.25">
      <c r="A745">
        <f t="shared" si="11"/>
        <v>744</v>
      </c>
      <c r="G745" t="s">
        <v>1285</v>
      </c>
      <c r="M745">
        <v>0</v>
      </c>
      <c r="N745">
        <v>0</v>
      </c>
      <c r="S745">
        <v>0</v>
      </c>
      <c r="T745">
        <v>0</v>
      </c>
      <c r="V745">
        <v>0</v>
      </c>
      <c r="W745" s="21">
        <v>0</v>
      </c>
      <c r="X745">
        <v>0</v>
      </c>
      <c r="Y745" s="21">
        <v>0</v>
      </c>
      <c r="AK745" t="s">
        <v>1293</v>
      </c>
    </row>
    <row r="746" spans="1:37" x14ac:dyDescent="0.25">
      <c r="A746">
        <f t="shared" si="11"/>
        <v>745</v>
      </c>
      <c r="G746" t="s">
        <v>1285</v>
      </c>
      <c r="M746">
        <v>0</v>
      </c>
      <c r="N746">
        <v>0</v>
      </c>
      <c r="S746">
        <v>0</v>
      </c>
      <c r="T746">
        <v>0</v>
      </c>
      <c r="V746">
        <v>0</v>
      </c>
      <c r="W746" s="21">
        <v>0</v>
      </c>
      <c r="X746">
        <v>0</v>
      </c>
      <c r="Y746" s="21">
        <v>0</v>
      </c>
      <c r="AK746" t="s">
        <v>1293</v>
      </c>
    </row>
    <row r="747" spans="1:37" x14ac:dyDescent="0.25">
      <c r="A747">
        <f t="shared" si="11"/>
        <v>746</v>
      </c>
      <c r="G747" t="s">
        <v>1285</v>
      </c>
      <c r="M747">
        <v>0</v>
      </c>
      <c r="N747">
        <v>0</v>
      </c>
      <c r="S747">
        <v>0</v>
      </c>
      <c r="T747">
        <v>0</v>
      </c>
      <c r="V747">
        <v>0</v>
      </c>
      <c r="W747" s="21">
        <v>0</v>
      </c>
      <c r="X747">
        <v>0</v>
      </c>
      <c r="Y747" s="21">
        <v>0</v>
      </c>
      <c r="AK747" t="s">
        <v>1293</v>
      </c>
    </row>
    <row r="748" spans="1:37" x14ac:dyDescent="0.25">
      <c r="A748">
        <f t="shared" si="11"/>
        <v>747</v>
      </c>
      <c r="G748" t="s">
        <v>1285</v>
      </c>
      <c r="M748">
        <v>0</v>
      </c>
      <c r="N748">
        <v>0</v>
      </c>
      <c r="S748">
        <v>0</v>
      </c>
      <c r="T748">
        <v>0</v>
      </c>
      <c r="V748">
        <v>0</v>
      </c>
      <c r="W748" s="21">
        <v>0</v>
      </c>
      <c r="X748">
        <v>0</v>
      </c>
      <c r="Y748" s="21">
        <v>0</v>
      </c>
      <c r="AK748" t="s">
        <v>1293</v>
      </c>
    </row>
    <row r="749" spans="1:37" x14ac:dyDescent="0.25">
      <c r="A749">
        <f t="shared" si="11"/>
        <v>748</v>
      </c>
      <c r="G749" t="s">
        <v>1285</v>
      </c>
      <c r="M749">
        <v>0</v>
      </c>
      <c r="N749">
        <v>0</v>
      </c>
      <c r="S749">
        <v>0</v>
      </c>
      <c r="T749">
        <v>0</v>
      </c>
      <c r="V749">
        <v>0</v>
      </c>
      <c r="W749" s="21">
        <v>0</v>
      </c>
      <c r="X749">
        <v>0</v>
      </c>
      <c r="Y749" s="21">
        <v>0</v>
      </c>
      <c r="AK749" t="s">
        <v>1293</v>
      </c>
    </row>
    <row r="750" spans="1:37" x14ac:dyDescent="0.25">
      <c r="A750">
        <f t="shared" si="11"/>
        <v>749</v>
      </c>
      <c r="E750" t="s">
        <v>1693</v>
      </c>
      <c r="F750" t="s">
        <v>1694</v>
      </c>
      <c r="G750" t="s">
        <v>1285</v>
      </c>
      <c r="M750">
        <v>2019</v>
      </c>
      <c r="N750">
        <v>0</v>
      </c>
      <c r="O750" t="s">
        <v>1088</v>
      </c>
      <c r="Q750" t="s">
        <v>1114</v>
      </c>
      <c r="S750">
        <v>0</v>
      </c>
      <c r="T750">
        <v>0</v>
      </c>
      <c r="V750">
        <v>0</v>
      </c>
      <c r="W750" s="21">
        <v>0</v>
      </c>
      <c r="X750">
        <v>180460</v>
      </c>
      <c r="Y750" s="21">
        <v>0</v>
      </c>
      <c r="AK750" t="s">
        <v>1293</v>
      </c>
    </row>
    <row r="751" spans="1:37" x14ac:dyDescent="0.25">
      <c r="A751">
        <f t="shared" si="11"/>
        <v>750</v>
      </c>
      <c r="G751" t="s">
        <v>1285</v>
      </c>
      <c r="M751">
        <v>0</v>
      </c>
      <c r="N751">
        <v>0</v>
      </c>
      <c r="S751">
        <v>0</v>
      </c>
      <c r="T751">
        <v>0</v>
      </c>
      <c r="V751">
        <v>0</v>
      </c>
      <c r="W751" s="21">
        <v>0</v>
      </c>
      <c r="X751">
        <v>0</v>
      </c>
      <c r="Y751" s="21">
        <v>0</v>
      </c>
      <c r="AK751" t="s">
        <v>1293</v>
      </c>
    </row>
    <row r="752" spans="1:37" x14ac:dyDescent="0.25">
      <c r="A752">
        <f t="shared" si="11"/>
        <v>751</v>
      </c>
      <c r="E752" t="s">
        <v>1012</v>
      </c>
      <c r="F752" t="s">
        <v>1182</v>
      </c>
      <c r="G752" t="s">
        <v>1285</v>
      </c>
      <c r="M752">
        <v>0</v>
      </c>
      <c r="N752">
        <v>0</v>
      </c>
      <c r="O752" t="s">
        <v>1292</v>
      </c>
      <c r="S752">
        <v>0</v>
      </c>
      <c r="T752">
        <v>0</v>
      </c>
      <c r="V752">
        <v>0</v>
      </c>
      <c r="W752" s="21">
        <v>0</v>
      </c>
      <c r="X752">
        <v>45000</v>
      </c>
      <c r="Y752" s="21">
        <v>0</v>
      </c>
      <c r="AK752" t="s">
        <v>1293</v>
      </c>
    </row>
    <row r="753" spans="1:37" x14ac:dyDescent="0.25">
      <c r="A753">
        <f t="shared" si="11"/>
        <v>752</v>
      </c>
      <c r="G753" t="s">
        <v>1285</v>
      </c>
      <c r="M753">
        <v>0</v>
      </c>
      <c r="N753">
        <v>0</v>
      </c>
      <c r="S753">
        <v>0</v>
      </c>
      <c r="T753">
        <v>0</v>
      </c>
      <c r="V753">
        <v>0</v>
      </c>
      <c r="W753" s="21">
        <v>0</v>
      </c>
      <c r="X753">
        <v>0</v>
      </c>
      <c r="Y753" s="21">
        <v>0</v>
      </c>
      <c r="AK753" t="s">
        <v>1293</v>
      </c>
    </row>
    <row r="754" spans="1:37" x14ac:dyDescent="0.25">
      <c r="A754">
        <f t="shared" si="11"/>
        <v>753</v>
      </c>
      <c r="G754" t="s">
        <v>1285</v>
      </c>
      <c r="M754">
        <v>2017</v>
      </c>
      <c r="N754">
        <v>0</v>
      </c>
      <c r="S754">
        <v>0</v>
      </c>
      <c r="T754">
        <v>0</v>
      </c>
      <c r="V754">
        <v>0</v>
      </c>
      <c r="W754" s="21">
        <v>0</v>
      </c>
      <c r="X754">
        <v>0</v>
      </c>
      <c r="Y754" s="21">
        <v>0</v>
      </c>
      <c r="AK754" t="s">
        <v>1293</v>
      </c>
    </row>
    <row r="755" spans="1:37" x14ac:dyDescent="0.25">
      <c r="A755">
        <f t="shared" si="11"/>
        <v>754</v>
      </c>
      <c r="G755" t="s">
        <v>1285</v>
      </c>
      <c r="M755">
        <v>0</v>
      </c>
      <c r="N755">
        <v>0</v>
      </c>
      <c r="S755">
        <v>0</v>
      </c>
      <c r="T755">
        <v>0</v>
      </c>
      <c r="V755">
        <v>0</v>
      </c>
      <c r="W755" s="21">
        <v>0</v>
      </c>
      <c r="X755">
        <v>0</v>
      </c>
      <c r="Y755" s="21">
        <v>0</v>
      </c>
      <c r="AK755" t="s">
        <v>1293</v>
      </c>
    </row>
    <row r="756" spans="1:37" x14ac:dyDescent="0.25">
      <c r="A756">
        <f t="shared" si="11"/>
        <v>755</v>
      </c>
      <c r="E756" t="s">
        <v>1469</v>
      </c>
      <c r="F756" t="s">
        <v>1695</v>
      </c>
      <c r="G756" t="s">
        <v>1285</v>
      </c>
      <c r="M756">
        <v>2018</v>
      </c>
      <c r="N756">
        <v>0</v>
      </c>
      <c r="O756" t="s">
        <v>1301</v>
      </c>
      <c r="S756">
        <v>0</v>
      </c>
      <c r="T756">
        <v>0</v>
      </c>
      <c r="V756">
        <v>0</v>
      </c>
      <c r="W756" s="21">
        <v>0</v>
      </c>
      <c r="X756">
        <v>16187</v>
      </c>
      <c r="Y756" s="21">
        <v>0</v>
      </c>
      <c r="AK756" t="s">
        <v>1696</v>
      </c>
    </row>
    <row r="757" spans="1:37" x14ac:dyDescent="0.25">
      <c r="A757">
        <f t="shared" si="11"/>
        <v>756</v>
      </c>
      <c r="G757" t="s">
        <v>1285</v>
      </c>
      <c r="M757">
        <v>0</v>
      </c>
      <c r="N757">
        <v>0</v>
      </c>
      <c r="S757">
        <v>0</v>
      </c>
      <c r="T757">
        <v>0</v>
      </c>
      <c r="V757">
        <v>0</v>
      </c>
      <c r="W757" s="21">
        <v>0</v>
      </c>
      <c r="X757">
        <v>0</v>
      </c>
      <c r="Y757" s="21">
        <v>0</v>
      </c>
    </row>
    <row r="758" spans="1:37" x14ac:dyDescent="0.25">
      <c r="A758">
        <f t="shared" si="11"/>
        <v>757</v>
      </c>
      <c r="E758" t="s">
        <v>1697</v>
      </c>
      <c r="G758" t="s">
        <v>1285</v>
      </c>
      <c r="M758">
        <v>0</v>
      </c>
      <c r="N758">
        <v>0</v>
      </c>
      <c r="S758">
        <v>0</v>
      </c>
      <c r="T758">
        <v>0</v>
      </c>
      <c r="V758">
        <v>0</v>
      </c>
      <c r="W758" s="21">
        <v>0</v>
      </c>
      <c r="X758">
        <v>0</v>
      </c>
      <c r="Y758" s="21">
        <v>0</v>
      </c>
      <c r="AK758" t="s">
        <v>1293</v>
      </c>
    </row>
    <row r="759" spans="1:37" x14ac:dyDescent="0.25">
      <c r="A759">
        <f t="shared" si="11"/>
        <v>758</v>
      </c>
      <c r="E759" t="s">
        <v>1014</v>
      </c>
      <c r="F759" t="s">
        <v>1085</v>
      </c>
      <c r="G759" t="s">
        <v>1285</v>
      </c>
      <c r="M759">
        <v>2022</v>
      </c>
      <c r="N759">
        <v>0</v>
      </c>
      <c r="O759" t="s">
        <v>1063</v>
      </c>
      <c r="S759">
        <v>0</v>
      </c>
      <c r="T759">
        <v>0</v>
      </c>
      <c r="V759">
        <v>0</v>
      </c>
      <c r="W759" s="21">
        <v>0</v>
      </c>
      <c r="X759">
        <v>0</v>
      </c>
      <c r="Y759" s="21">
        <v>0</v>
      </c>
      <c r="AK759" t="s">
        <v>1293</v>
      </c>
    </row>
    <row r="760" spans="1:37" x14ac:dyDescent="0.25">
      <c r="A760">
        <f t="shared" si="11"/>
        <v>759</v>
      </c>
      <c r="E760" t="s">
        <v>1698</v>
      </c>
      <c r="F760" t="s">
        <v>1699</v>
      </c>
      <c r="G760" t="s">
        <v>1285</v>
      </c>
      <c r="M760">
        <v>0</v>
      </c>
      <c r="N760">
        <v>2022</v>
      </c>
      <c r="S760">
        <v>2567</v>
      </c>
      <c r="T760">
        <v>0</v>
      </c>
      <c r="V760">
        <v>0</v>
      </c>
      <c r="W760" s="21">
        <v>0</v>
      </c>
      <c r="X760">
        <v>0</v>
      </c>
      <c r="Y760" s="21">
        <v>0</v>
      </c>
      <c r="AK760" t="s">
        <v>1293</v>
      </c>
    </row>
    <row r="761" spans="1:37" x14ac:dyDescent="0.25">
      <c r="A761">
        <f t="shared" si="11"/>
        <v>760</v>
      </c>
      <c r="E761" t="s">
        <v>1700</v>
      </c>
      <c r="F761" t="s">
        <v>1701</v>
      </c>
      <c r="G761" t="s">
        <v>1285</v>
      </c>
      <c r="M761">
        <v>0</v>
      </c>
      <c r="N761">
        <v>2022</v>
      </c>
      <c r="S761">
        <v>0</v>
      </c>
      <c r="T761">
        <v>0</v>
      </c>
      <c r="V761">
        <v>3500</v>
      </c>
      <c r="W761" s="21">
        <v>0</v>
      </c>
      <c r="X761">
        <v>2000</v>
      </c>
      <c r="Y761" s="21">
        <v>0</v>
      </c>
      <c r="AK761" t="s">
        <v>1293</v>
      </c>
    </row>
    <row r="762" spans="1:37" x14ac:dyDescent="0.25">
      <c r="A762">
        <f t="shared" si="11"/>
        <v>761</v>
      </c>
      <c r="E762" t="s">
        <v>1700</v>
      </c>
      <c r="F762" t="s">
        <v>1702</v>
      </c>
      <c r="G762" t="s">
        <v>1285</v>
      </c>
      <c r="M762">
        <v>0</v>
      </c>
      <c r="N762">
        <v>2022</v>
      </c>
      <c r="S762">
        <v>75</v>
      </c>
      <c r="T762">
        <v>0</v>
      </c>
      <c r="V762">
        <v>6000</v>
      </c>
      <c r="W762" s="21">
        <v>0</v>
      </c>
      <c r="X762">
        <v>1156</v>
      </c>
      <c r="Y762" s="21">
        <v>0</v>
      </c>
      <c r="AK762" t="s">
        <v>1293</v>
      </c>
    </row>
    <row r="763" spans="1:37" x14ac:dyDescent="0.25">
      <c r="A763">
        <f t="shared" si="11"/>
        <v>762</v>
      </c>
      <c r="E763" t="s">
        <v>1700</v>
      </c>
      <c r="F763" t="s">
        <v>1702</v>
      </c>
      <c r="G763" t="s">
        <v>1285</v>
      </c>
      <c r="M763">
        <v>0</v>
      </c>
      <c r="N763">
        <v>2022</v>
      </c>
      <c r="S763">
        <v>120</v>
      </c>
      <c r="T763">
        <v>0</v>
      </c>
      <c r="V763">
        <v>4000</v>
      </c>
      <c r="W763" s="21">
        <v>0</v>
      </c>
      <c r="X763">
        <v>1467</v>
      </c>
      <c r="Y763" s="21">
        <v>0</v>
      </c>
      <c r="AK763" t="s">
        <v>1293</v>
      </c>
    </row>
    <row r="764" spans="1:37" x14ac:dyDescent="0.25">
      <c r="A764">
        <f t="shared" si="11"/>
        <v>763</v>
      </c>
      <c r="E764" t="s">
        <v>1700</v>
      </c>
      <c r="F764" t="s">
        <v>1702</v>
      </c>
      <c r="G764" t="s">
        <v>1285</v>
      </c>
      <c r="M764">
        <v>0</v>
      </c>
      <c r="N764">
        <v>2022</v>
      </c>
      <c r="S764">
        <v>82</v>
      </c>
      <c r="T764">
        <v>0</v>
      </c>
      <c r="V764">
        <v>0</v>
      </c>
      <c r="W764" s="21">
        <v>0</v>
      </c>
      <c r="X764">
        <v>0</v>
      </c>
      <c r="Y764" s="21">
        <v>0</v>
      </c>
      <c r="AK764" t="s">
        <v>1293</v>
      </c>
    </row>
    <row r="765" spans="1:37" x14ac:dyDescent="0.25">
      <c r="A765">
        <f t="shared" si="11"/>
        <v>764</v>
      </c>
      <c r="E765" t="s">
        <v>1700</v>
      </c>
      <c r="F765" t="s">
        <v>1701</v>
      </c>
      <c r="G765" t="s">
        <v>1285</v>
      </c>
      <c r="M765">
        <v>0</v>
      </c>
      <c r="N765">
        <v>2022</v>
      </c>
      <c r="S765">
        <v>0</v>
      </c>
      <c r="T765">
        <v>0</v>
      </c>
      <c r="V765">
        <v>0</v>
      </c>
      <c r="W765" s="21">
        <v>0</v>
      </c>
      <c r="X765">
        <v>0</v>
      </c>
      <c r="Y765" s="21">
        <v>0</v>
      </c>
      <c r="AK765" t="s">
        <v>1293</v>
      </c>
    </row>
    <row r="766" spans="1:37" x14ac:dyDescent="0.25">
      <c r="A766">
        <f t="shared" si="11"/>
        <v>765</v>
      </c>
      <c r="E766" t="s">
        <v>1703</v>
      </c>
      <c r="F766" t="s">
        <v>1704</v>
      </c>
      <c r="G766" t="s">
        <v>1285</v>
      </c>
      <c r="M766">
        <v>0</v>
      </c>
      <c r="N766">
        <v>2022</v>
      </c>
      <c r="S766">
        <v>100</v>
      </c>
      <c r="T766">
        <v>0</v>
      </c>
      <c r="V766">
        <v>9000</v>
      </c>
      <c r="W766" s="21">
        <v>0</v>
      </c>
      <c r="X766">
        <v>1500</v>
      </c>
      <c r="Y766" s="21">
        <v>0</v>
      </c>
      <c r="AK766" t="s">
        <v>1293</v>
      </c>
    </row>
    <row r="767" spans="1:37" x14ac:dyDescent="0.25">
      <c r="A767">
        <f t="shared" si="11"/>
        <v>766</v>
      </c>
      <c r="E767" t="s">
        <v>1698</v>
      </c>
      <c r="F767" t="s">
        <v>1705</v>
      </c>
      <c r="G767" t="s">
        <v>1285</v>
      </c>
      <c r="M767">
        <v>0</v>
      </c>
      <c r="N767">
        <v>2022</v>
      </c>
      <c r="S767">
        <v>2400</v>
      </c>
      <c r="T767">
        <v>0</v>
      </c>
      <c r="V767">
        <v>0</v>
      </c>
      <c r="W767" s="21">
        <v>0</v>
      </c>
      <c r="X767">
        <v>0</v>
      </c>
      <c r="Y767" s="21">
        <v>0</v>
      </c>
      <c r="AK767" t="s">
        <v>1293</v>
      </c>
    </row>
    <row r="768" spans="1:37" x14ac:dyDescent="0.25">
      <c r="A768">
        <f t="shared" si="11"/>
        <v>767</v>
      </c>
      <c r="E768" t="s">
        <v>1706</v>
      </c>
      <c r="F768" t="s">
        <v>1702</v>
      </c>
      <c r="G768" t="s">
        <v>1285</v>
      </c>
      <c r="M768">
        <v>0</v>
      </c>
      <c r="N768">
        <v>2022</v>
      </c>
      <c r="S768">
        <v>0</v>
      </c>
      <c r="T768">
        <v>0</v>
      </c>
      <c r="V768">
        <v>4500</v>
      </c>
      <c r="W768" s="21">
        <v>0</v>
      </c>
      <c r="X768">
        <v>6000</v>
      </c>
      <c r="Y768" s="21">
        <v>0</v>
      </c>
      <c r="AK768" t="s">
        <v>1293</v>
      </c>
    </row>
    <row r="769" spans="1:37" x14ac:dyDescent="0.25">
      <c r="A769">
        <f t="shared" si="11"/>
        <v>768</v>
      </c>
      <c r="E769" t="s">
        <v>1700</v>
      </c>
      <c r="F769" t="s">
        <v>1702</v>
      </c>
      <c r="G769" t="s">
        <v>1285</v>
      </c>
      <c r="M769">
        <v>0</v>
      </c>
      <c r="N769">
        <v>2022</v>
      </c>
      <c r="S769">
        <v>57</v>
      </c>
      <c r="T769">
        <v>0</v>
      </c>
      <c r="V769">
        <v>8500</v>
      </c>
      <c r="W769" s="21">
        <v>0</v>
      </c>
      <c r="X769">
        <v>1500</v>
      </c>
      <c r="Y769" s="21">
        <v>0</v>
      </c>
      <c r="AK769" t="s">
        <v>1293</v>
      </c>
    </row>
    <row r="770" spans="1:37" x14ac:dyDescent="0.25">
      <c r="A770">
        <f t="shared" ref="A770:A833" si="12">ROW(A770)-1</f>
        <v>769</v>
      </c>
      <c r="E770" t="s">
        <v>1700</v>
      </c>
      <c r="F770" t="s">
        <v>1702</v>
      </c>
      <c r="G770" t="s">
        <v>1285</v>
      </c>
      <c r="M770">
        <v>0</v>
      </c>
      <c r="N770">
        <v>2022</v>
      </c>
      <c r="S770">
        <v>77</v>
      </c>
      <c r="T770">
        <v>0</v>
      </c>
      <c r="V770">
        <v>8500</v>
      </c>
      <c r="W770" s="21">
        <v>0</v>
      </c>
      <c r="X770">
        <v>2000</v>
      </c>
      <c r="Y770" s="21">
        <v>0</v>
      </c>
      <c r="AK770" t="s">
        <v>1293</v>
      </c>
    </row>
    <row r="771" spans="1:37" x14ac:dyDescent="0.25">
      <c r="A771">
        <f t="shared" si="12"/>
        <v>770</v>
      </c>
      <c r="E771" t="s">
        <v>1700</v>
      </c>
      <c r="F771" t="s">
        <v>1702</v>
      </c>
      <c r="G771" t="s">
        <v>1285</v>
      </c>
      <c r="M771">
        <v>0</v>
      </c>
      <c r="N771">
        <v>2022</v>
      </c>
      <c r="S771">
        <v>77</v>
      </c>
      <c r="T771">
        <v>0</v>
      </c>
      <c r="V771">
        <v>5800</v>
      </c>
      <c r="W771" s="21">
        <v>0</v>
      </c>
      <c r="X771">
        <v>1700</v>
      </c>
      <c r="Y771" s="21">
        <v>0</v>
      </c>
      <c r="AK771" t="s">
        <v>1293</v>
      </c>
    </row>
    <row r="772" spans="1:37" x14ac:dyDescent="0.25">
      <c r="A772">
        <f t="shared" si="12"/>
        <v>771</v>
      </c>
      <c r="E772" t="s">
        <v>1700</v>
      </c>
      <c r="F772" t="s">
        <v>1702</v>
      </c>
      <c r="G772" t="s">
        <v>1285</v>
      </c>
      <c r="M772">
        <v>0</v>
      </c>
      <c r="N772">
        <v>2022</v>
      </c>
      <c r="S772">
        <v>47</v>
      </c>
      <c r="T772">
        <v>0</v>
      </c>
      <c r="V772">
        <v>0</v>
      </c>
      <c r="W772" s="21">
        <v>0</v>
      </c>
      <c r="X772">
        <v>0</v>
      </c>
      <c r="Y772" s="21">
        <v>0</v>
      </c>
      <c r="AK772" t="s">
        <v>1293</v>
      </c>
    </row>
    <row r="773" spans="1:37" x14ac:dyDescent="0.25">
      <c r="A773">
        <f t="shared" si="12"/>
        <v>772</v>
      </c>
      <c r="E773" t="s">
        <v>1700</v>
      </c>
      <c r="F773" t="s">
        <v>1702</v>
      </c>
      <c r="G773" t="s">
        <v>1285</v>
      </c>
      <c r="M773">
        <v>0</v>
      </c>
      <c r="N773">
        <v>2022</v>
      </c>
      <c r="S773">
        <v>78</v>
      </c>
      <c r="T773">
        <v>0</v>
      </c>
      <c r="V773">
        <v>10276</v>
      </c>
      <c r="W773" s="21">
        <v>0</v>
      </c>
      <c r="X773">
        <v>1830</v>
      </c>
      <c r="Y773" s="21">
        <v>0</v>
      </c>
      <c r="AK773" t="s">
        <v>1293</v>
      </c>
    </row>
    <row r="774" spans="1:37" x14ac:dyDescent="0.25">
      <c r="A774">
        <f t="shared" si="12"/>
        <v>773</v>
      </c>
      <c r="E774" t="s">
        <v>1700</v>
      </c>
      <c r="F774" t="s">
        <v>1702</v>
      </c>
      <c r="G774" t="s">
        <v>1285</v>
      </c>
      <c r="M774">
        <v>0</v>
      </c>
      <c r="N774">
        <v>2022</v>
      </c>
      <c r="S774">
        <v>47</v>
      </c>
      <c r="T774">
        <v>0</v>
      </c>
      <c r="V774">
        <v>8169</v>
      </c>
      <c r="W774" s="21">
        <v>0</v>
      </c>
      <c r="X774">
        <v>1638</v>
      </c>
      <c r="Y774" s="21">
        <v>0</v>
      </c>
      <c r="AK774" t="s">
        <v>1293</v>
      </c>
    </row>
    <row r="775" spans="1:37" x14ac:dyDescent="0.25">
      <c r="A775">
        <f t="shared" si="12"/>
        <v>774</v>
      </c>
      <c r="E775" t="s">
        <v>1700</v>
      </c>
      <c r="F775" t="s">
        <v>1702</v>
      </c>
      <c r="G775" t="s">
        <v>1285</v>
      </c>
      <c r="M775">
        <v>0</v>
      </c>
      <c r="N775">
        <v>2022</v>
      </c>
      <c r="S775">
        <v>76</v>
      </c>
      <c r="T775">
        <v>0</v>
      </c>
      <c r="V775">
        <v>9811</v>
      </c>
      <c r="W775" s="21">
        <v>0</v>
      </c>
      <c r="X775">
        <v>2532</v>
      </c>
      <c r="Y775" s="21">
        <v>0</v>
      </c>
      <c r="AK775" t="s">
        <v>1293</v>
      </c>
    </row>
    <row r="776" spans="1:37" x14ac:dyDescent="0.25">
      <c r="A776">
        <f t="shared" si="12"/>
        <v>775</v>
      </c>
      <c r="E776" t="s">
        <v>1700</v>
      </c>
      <c r="F776" t="s">
        <v>1702</v>
      </c>
      <c r="G776" t="s">
        <v>1285</v>
      </c>
      <c r="M776">
        <v>0</v>
      </c>
      <c r="N776">
        <v>2022</v>
      </c>
      <c r="S776">
        <v>76</v>
      </c>
      <c r="T776">
        <v>0</v>
      </c>
      <c r="V776">
        <v>12472</v>
      </c>
      <c r="W776" s="21">
        <v>0</v>
      </c>
      <c r="X776">
        <v>1780</v>
      </c>
      <c r="Y776" s="21">
        <v>0</v>
      </c>
      <c r="AK776" t="s">
        <v>1293</v>
      </c>
    </row>
    <row r="777" spans="1:37" x14ac:dyDescent="0.25">
      <c r="A777">
        <f t="shared" si="12"/>
        <v>776</v>
      </c>
      <c r="E777" t="s">
        <v>1700</v>
      </c>
      <c r="F777" t="s">
        <v>1702</v>
      </c>
      <c r="G777" t="s">
        <v>1285</v>
      </c>
      <c r="M777">
        <v>0</v>
      </c>
      <c r="N777">
        <v>2022</v>
      </c>
      <c r="S777">
        <v>75</v>
      </c>
      <c r="T777">
        <v>0</v>
      </c>
      <c r="V777">
        <v>0</v>
      </c>
      <c r="W777" s="21">
        <v>0</v>
      </c>
      <c r="X777">
        <v>0</v>
      </c>
      <c r="Y777" s="21">
        <v>0</v>
      </c>
      <c r="AK777" t="s">
        <v>1293</v>
      </c>
    </row>
    <row r="778" spans="1:37" x14ac:dyDescent="0.25">
      <c r="A778">
        <f t="shared" si="12"/>
        <v>777</v>
      </c>
      <c r="E778" t="s">
        <v>1700</v>
      </c>
      <c r="F778" t="s">
        <v>1702</v>
      </c>
      <c r="G778" t="s">
        <v>1285</v>
      </c>
      <c r="M778">
        <v>0</v>
      </c>
      <c r="N778">
        <v>2022</v>
      </c>
      <c r="S778">
        <v>92</v>
      </c>
      <c r="T778">
        <v>0</v>
      </c>
      <c r="V778">
        <v>16870</v>
      </c>
      <c r="W778" s="21">
        <v>0</v>
      </c>
      <c r="X778">
        <v>2919</v>
      </c>
      <c r="Y778" s="21">
        <v>0</v>
      </c>
      <c r="AK778" t="s">
        <v>1293</v>
      </c>
    </row>
    <row r="779" spans="1:37" x14ac:dyDescent="0.25">
      <c r="A779">
        <f t="shared" si="12"/>
        <v>778</v>
      </c>
      <c r="E779" t="s">
        <v>1700</v>
      </c>
      <c r="F779" t="s">
        <v>1702</v>
      </c>
      <c r="G779" t="s">
        <v>1285</v>
      </c>
      <c r="M779">
        <v>0</v>
      </c>
      <c r="N779">
        <v>2022</v>
      </c>
      <c r="S779">
        <v>78</v>
      </c>
      <c r="T779">
        <v>0</v>
      </c>
      <c r="W779" s="21">
        <v>0</v>
      </c>
      <c r="Y779" s="21">
        <v>0</v>
      </c>
      <c r="AK779" t="s">
        <v>1293</v>
      </c>
    </row>
    <row r="780" spans="1:37" x14ac:dyDescent="0.25">
      <c r="A780">
        <f t="shared" si="12"/>
        <v>779</v>
      </c>
      <c r="E780" t="s">
        <v>1700</v>
      </c>
      <c r="F780" t="s">
        <v>1702</v>
      </c>
      <c r="G780" t="s">
        <v>1285</v>
      </c>
      <c r="M780">
        <v>0</v>
      </c>
      <c r="N780">
        <v>2022</v>
      </c>
      <c r="S780">
        <v>78</v>
      </c>
      <c r="T780">
        <v>0</v>
      </c>
      <c r="V780">
        <v>10754</v>
      </c>
      <c r="W780" s="21">
        <v>0</v>
      </c>
      <c r="X780">
        <v>1806</v>
      </c>
      <c r="Y780" s="21">
        <v>0</v>
      </c>
      <c r="AK780" t="s">
        <v>1293</v>
      </c>
    </row>
    <row r="781" spans="1:37" x14ac:dyDescent="0.25">
      <c r="A781">
        <f t="shared" si="12"/>
        <v>780</v>
      </c>
      <c r="E781" t="s">
        <v>1698</v>
      </c>
      <c r="F781" t="s">
        <v>1699</v>
      </c>
      <c r="G781" t="s">
        <v>1285</v>
      </c>
      <c r="M781">
        <v>0</v>
      </c>
      <c r="N781">
        <v>2022</v>
      </c>
      <c r="S781">
        <v>2580</v>
      </c>
      <c r="T781">
        <v>0</v>
      </c>
      <c r="V781">
        <v>0</v>
      </c>
      <c r="W781" s="21">
        <v>0</v>
      </c>
      <c r="X781">
        <v>0</v>
      </c>
      <c r="Y781" s="21">
        <v>0</v>
      </c>
      <c r="AK781" t="s">
        <v>1293</v>
      </c>
    </row>
    <row r="782" spans="1:37" x14ac:dyDescent="0.25">
      <c r="A782">
        <f t="shared" si="12"/>
        <v>781</v>
      </c>
      <c r="E782" t="s">
        <v>1700</v>
      </c>
      <c r="F782" t="s">
        <v>1702</v>
      </c>
      <c r="G782" t="s">
        <v>1285</v>
      </c>
      <c r="M782">
        <v>0</v>
      </c>
      <c r="N782">
        <v>2022</v>
      </c>
      <c r="S782">
        <v>0</v>
      </c>
      <c r="T782">
        <v>0</v>
      </c>
      <c r="V782">
        <v>0</v>
      </c>
      <c r="W782" s="21">
        <v>0</v>
      </c>
      <c r="X782">
        <v>0</v>
      </c>
      <c r="Y782" s="21">
        <v>0</v>
      </c>
      <c r="AK782" t="s">
        <v>1293</v>
      </c>
    </row>
    <row r="783" spans="1:37" x14ac:dyDescent="0.25">
      <c r="A783">
        <f t="shared" si="12"/>
        <v>782</v>
      </c>
      <c r="E783" t="s">
        <v>1700</v>
      </c>
      <c r="F783" t="s">
        <v>1702</v>
      </c>
      <c r="G783" t="s">
        <v>1285</v>
      </c>
      <c r="M783">
        <v>0</v>
      </c>
      <c r="N783">
        <v>2022</v>
      </c>
      <c r="S783">
        <v>104</v>
      </c>
      <c r="T783">
        <v>0</v>
      </c>
      <c r="V783">
        <v>0</v>
      </c>
      <c r="W783" s="21">
        <v>0</v>
      </c>
      <c r="X783">
        <v>3732</v>
      </c>
      <c r="Y783" s="21">
        <v>0</v>
      </c>
      <c r="AK783" t="s">
        <v>1293</v>
      </c>
    </row>
    <row r="784" spans="1:37" x14ac:dyDescent="0.25">
      <c r="A784">
        <f t="shared" si="12"/>
        <v>783</v>
      </c>
      <c r="E784" t="s">
        <v>1700</v>
      </c>
      <c r="F784" t="s">
        <v>1702</v>
      </c>
      <c r="G784" t="s">
        <v>1285</v>
      </c>
      <c r="M784">
        <v>0</v>
      </c>
      <c r="N784">
        <v>2022</v>
      </c>
      <c r="S784">
        <v>0</v>
      </c>
      <c r="T784">
        <v>0</v>
      </c>
      <c r="V784">
        <v>4000</v>
      </c>
      <c r="W784" s="21">
        <v>0</v>
      </c>
      <c r="X784">
        <v>1257</v>
      </c>
      <c r="Y784" s="21">
        <v>0</v>
      </c>
      <c r="AK784" t="s">
        <v>1293</v>
      </c>
    </row>
    <row r="785" spans="1:37" x14ac:dyDescent="0.25">
      <c r="A785">
        <f t="shared" si="12"/>
        <v>784</v>
      </c>
      <c r="E785" t="s">
        <v>1700</v>
      </c>
      <c r="F785" t="s">
        <v>1702</v>
      </c>
      <c r="G785" t="s">
        <v>1285</v>
      </c>
      <c r="M785">
        <v>0</v>
      </c>
      <c r="N785">
        <v>2022</v>
      </c>
      <c r="S785">
        <v>65</v>
      </c>
      <c r="T785">
        <v>0</v>
      </c>
      <c r="V785">
        <v>1251</v>
      </c>
      <c r="W785" s="21">
        <v>0</v>
      </c>
      <c r="X785">
        <v>1200</v>
      </c>
      <c r="Y785" s="21">
        <v>0</v>
      </c>
      <c r="AK785" t="s">
        <v>1293</v>
      </c>
    </row>
    <row r="786" spans="1:37" x14ac:dyDescent="0.25">
      <c r="A786">
        <f t="shared" si="12"/>
        <v>785</v>
      </c>
      <c r="E786" t="s">
        <v>1700</v>
      </c>
      <c r="F786" t="s">
        <v>1702</v>
      </c>
      <c r="G786" t="s">
        <v>1285</v>
      </c>
      <c r="M786">
        <v>0</v>
      </c>
      <c r="N786">
        <v>2022</v>
      </c>
      <c r="S786">
        <v>102</v>
      </c>
      <c r="T786">
        <v>0</v>
      </c>
      <c r="V786">
        <v>3000</v>
      </c>
      <c r="W786" s="21">
        <v>0</v>
      </c>
      <c r="X786">
        <v>1500</v>
      </c>
      <c r="Y786" s="21">
        <v>0</v>
      </c>
      <c r="AK786" t="s">
        <v>1293</v>
      </c>
    </row>
    <row r="787" spans="1:37" x14ac:dyDescent="0.25">
      <c r="A787">
        <f t="shared" si="12"/>
        <v>786</v>
      </c>
      <c r="E787" t="s">
        <v>1700</v>
      </c>
      <c r="F787" t="s">
        <v>1702</v>
      </c>
      <c r="G787" t="s">
        <v>1285</v>
      </c>
      <c r="M787">
        <v>0</v>
      </c>
      <c r="N787">
        <v>2022</v>
      </c>
      <c r="S787">
        <v>0</v>
      </c>
      <c r="T787">
        <v>0</v>
      </c>
      <c r="V787">
        <v>0</v>
      </c>
      <c r="W787" s="21">
        <v>0</v>
      </c>
      <c r="X787">
        <v>0</v>
      </c>
      <c r="Y787" s="21">
        <v>0</v>
      </c>
      <c r="AK787" t="s">
        <v>1293</v>
      </c>
    </row>
    <row r="788" spans="1:37" x14ac:dyDescent="0.25">
      <c r="A788">
        <f t="shared" si="12"/>
        <v>787</v>
      </c>
      <c r="E788" t="s">
        <v>1700</v>
      </c>
      <c r="F788" t="s">
        <v>1702</v>
      </c>
      <c r="G788" t="s">
        <v>1285</v>
      </c>
      <c r="M788">
        <v>0</v>
      </c>
      <c r="N788">
        <v>2022</v>
      </c>
      <c r="S788">
        <v>84</v>
      </c>
      <c r="T788">
        <v>0</v>
      </c>
      <c r="V788">
        <v>6500</v>
      </c>
      <c r="W788" s="21">
        <v>0</v>
      </c>
      <c r="X788">
        <v>1525</v>
      </c>
      <c r="Y788" s="21">
        <v>0</v>
      </c>
      <c r="AK788" t="s">
        <v>1293</v>
      </c>
    </row>
    <row r="789" spans="1:37" x14ac:dyDescent="0.25">
      <c r="A789">
        <f t="shared" si="12"/>
        <v>788</v>
      </c>
      <c r="E789" t="s">
        <v>1700</v>
      </c>
      <c r="F789" t="s">
        <v>1702</v>
      </c>
      <c r="G789" t="s">
        <v>1285</v>
      </c>
      <c r="M789">
        <v>0</v>
      </c>
      <c r="N789">
        <v>2022</v>
      </c>
      <c r="S789">
        <v>65</v>
      </c>
      <c r="T789">
        <v>0</v>
      </c>
      <c r="V789">
        <v>2100</v>
      </c>
      <c r="W789" s="21">
        <v>0</v>
      </c>
      <c r="X789">
        <v>1000</v>
      </c>
      <c r="Y789" s="21">
        <v>0</v>
      </c>
      <c r="AK789" t="s">
        <v>1293</v>
      </c>
    </row>
    <row r="790" spans="1:37" x14ac:dyDescent="0.25">
      <c r="A790">
        <f t="shared" si="12"/>
        <v>789</v>
      </c>
      <c r="E790" t="s">
        <v>1698</v>
      </c>
      <c r="F790" t="s">
        <v>1699</v>
      </c>
      <c r="G790" t="s">
        <v>1285</v>
      </c>
      <c r="M790">
        <v>0</v>
      </c>
      <c r="N790">
        <v>2022</v>
      </c>
      <c r="S790">
        <v>2567</v>
      </c>
      <c r="T790">
        <v>0</v>
      </c>
      <c r="V790">
        <v>0</v>
      </c>
      <c r="W790" s="21">
        <v>0</v>
      </c>
      <c r="X790">
        <v>0</v>
      </c>
      <c r="Y790" s="21">
        <v>0</v>
      </c>
      <c r="AK790" t="s">
        <v>1293</v>
      </c>
    </row>
    <row r="791" spans="1:37" x14ac:dyDescent="0.25">
      <c r="A791">
        <f t="shared" si="12"/>
        <v>790</v>
      </c>
      <c r="E791" t="s">
        <v>1700</v>
      </c>
      <c r="F791" t="s">
        <v>1702</v>
      </c>
      <c r="G791" t="s">
        <v>1285</v>
      </c>
      <c r="M791">
        <v>0</v>
      </c>
      <c r="N791">
        <v>2022</v>
      </c>
      <c r="S791">
        <v>88</v>
      </c>
      <c r="T791">
        <v>0</v>
      </c>
      <c r="V791">
        <v>10097</v>
      </c>
      <c r="W791" s="21">
        <v>0</v>
      </c>
      <c r="X791">
        <v>1121</v>
      </c>
      <c r="Y791" s="21">
        <v>0</v>
      </c>
      <c r="AK791" t="s">
        <v>1293</v>
      </c>
    </row>
    <row r="792" spans="1:37" x14ac:dyDescent="0.25">
      <c r="A792">
        <f t="shared" si="12"/>
        <v>791</v>
      </c>
      <c r="E792" t="s">
        <v>1700</v>
      </c>
      <c r="F792" t="s">
        <v>1702</v>
      </c>
      <c r="G792" t="s">
        <v>1285</v>
      </c>
      <c r="M792">
        <v>0</v>
      </c>
      <c r="N792">
        <v>2022</v>
      </c>
      <c r="S792">
        <v>73</v>
      </c>
      <c r="T792">
        <v>0</v>
      </c>
      <c r="V792">
        <v>7100</v>
      </c>
      <c r="W792" s="21">
        <v>0</v>
      </c>
      <c r="X792">
        <v>3000</v>
      </c>
      <c r="Y792" s="21">
        <v>0</v>
      </c>
      <c r="AK792" t="s">
        <v>1293</v>
      </c>
    </row>
    <row r="793" spans="1:37" x14ac:dyDescent="0.25">
      <c r="A793">
        <f t="shared" si="12"/>
        <v>792</v>
      </c>
      <c r="E793" t="s">
        <v>1700</v>
      </c>
      <c r="F793" t="s">
        <v>1702</v>
      </c>
      <c r="G793" t="s">
        <v>1285</v>
      </c>
      <c r="M793">
        <v>0</v>
      </c>
      <c r="N793">
        <v>2022</v>
      </c>
      <c r="S793">
        <v>80</v>
      </c>
      <c r="T793">
        <v>0</v>
      </c>
      <c r="V793">
        <v>0</v>
      </c>
      <c r="W793" s="21">
        <v>0</v>
      </c>
      <c r="X793">
        <v>0</v>
      </c>
      <c r="Y793" s="21">
        <v>0</v>
      </c>
      <c r="AK793" t="s">
        <v>1293</v>
      </c>
    </row>
    <row r="794" spans="1:37" x14ac:dyDescent="0.25">
      <c r="A794">
        <f t="shared" si="12"/>
        <v>793</v>
      </c>
      <c r="E794" t="s">
        <v>1700</v>
      </c>
      <c r="F794" t="s">
        <v>1707</v>
      </c>
      <c r="G794" t="s">
        <v>1285</v>
      </c>
      <c r="M794">
        <v>0</v>
      </c>
      <c r="N794">
        <v>2022</v>
      </c>
      <c r="S794">
        <v>80</v>
      </c>
      <c r="T794">
        <v>0</v>
      </c>
      <c r="V794">
        <v>6000</v>
      </c>
      <c r="W794" s="21">
        <v>0</v>
      </c>
      <c r="X794">
        <v>1980</v>
      </c>
      <c r="Y794" s="21">
        <v>0</v>
      </c>
      <c r="AK794" t="s">
        <v>1293</v>
      </c>
    </row>
    <row r="795" spans="1:37" x14ac:dyDescent="0.25">
      <c r="A795">
        <f t="shared" si="12"/>
        <v>794</v>
      </c>
      <c r="E795" t="s">
        <v>1700</v>
      </c>
      <c r="F795" t="s">
        <v>1702</v>
      </c>
      <c r="G795" t="s">
        <v>1285</v>
      </c>
      <c r="M795">
        <v>0</v>
      </c>
      <c r="N795">
        <v>2022</v>
      </c>
      <c r="S795">
        <v>70</v>
      </c>
      <c r="T795">
        <v>0</v>
      </c>
      <c r="V795">
        <v>9091</v>
      </c>
      <c r="W795" s="21">
        <v>0</v>
      </c>
      <c r="X795">
        <v>1185</v>
      </c>
      <c r="Y795" s="21">
        <v>0</v>
      </c>
      <c r="AK795" t="s">
        <v>1293</v>
      </c>
    </row>
    <row r="796" spans="1:37" x14ac:dyDescent="0.25">
      <c r="A796">
        <f t="shared" si="12"/>
        <v>795</v>
      </c>
      <c r="E796" t="s">
        <v>1700</v>
      </c>
      <c r="F796" t="s">
        <v>1702</v>
      </c>
      <c r="G796" t="s">
        <v>1285</v>
      </c>
      <c r="M796">
        <v>0</v>
      </c>
      <c r="N796">
        <v>2022</v>
      </c>
      <c r="S796">
        <v>75</v>
      </c>
      <c r="T796">
        <v>0</v>
      </c>
      <c r="V796">
        <v>6000</v>
      </c>
      <c r="W796" s="21">
        <v>0</v>
      </c>
      <c r="X796">
        <v>1600</v>
      </c>
      <c r="Y796" s="21">
        <v>0</v>
      </c>
      <c r="AK796" t="s">
        <v>1293</v>
      </c>
    </row>
    <row r="797" spans="1:37" x14ac:dyDescent="0.25">
      <c r="A797">
        <f t="shared" si="12"/>
        <v>796</v>
      </c>
      <c r="E797" t="s">
        <v>1700</v>
      </c>
      <c r="F797" t="s">
        <v>1702</v>
      </c>
      <c r="G797" t="s">
        <v>1285</v>
      </c>
      <c r="M797">
        <v>0</v>
      </c>
      <c r="N797">
        <v>2022</v>
      </c>
      <c r="S797">
        <v>76</v>
      </c>
      <c r="T797">
        <v>0</v>
      </c>
      <c r="V797">
        <v>10000</v>
      </c>
      <c r="W797" s="21">
        <v>0</v>
      </c>
      <c r="X797">
        <v>2100</v>
      </c>
      <c r="Y797" s="21">
        <v>0</v>
      </c>
      <c r="AK797" t="s">
        <v>1293</v>
      </c>
    </row>
    <row r="798" spans="1:37" x14ac:dyDescent="0.25">
      <c r="A798">
        <f t="shared" si="12"/>
        <v>797</v>
      </c>
      <c r="E798" t="s">
        <v>1700</v>
      </c>
      <c r="F798" t="s">
        <v>1708</v>
      </c>
      <c r="G798" t="s">
        <v>1285</v>
      </c>
      <c r="M798">
        <v>0</v>
      </c>
      <c r="N798">
        <v>2022</v>
      </c>
      <c r="S798">
        <v>0</v>
      </c>
      <c r="T798">
        <v>0</v>
      </c>
      <c r="V798">
        <v>7000</v>
      </c>
      <c r="W798" s="21">
        <v>0</v>
      </c>
      <c r="X798">
        <v>1500</v>
      </c>
      <c r="Y798" s="21">
        <v>0</v>
      </c>
      <c r="AK798" t="s">
        <v>1293</v>
      </c>
    </row>
    <row r="799" spans="1:37" x14ac:dyDescent="0.25">
      <c r="A799">
        <f t="shared" si="12"/>
        <v>798</v>
      </c>
      <c r="E799" t="s">
        <v>1700</v>
      </c>
      <c r="F799" t="s">
        <v>1702</v>
      </c>
      <c r="G799" t="s">
        <v>1285</v>
      </c>
      <c r="M799">
        <v>0</v>
      </c>
      <c r="N799">
        <v>2022</v>
      </c>
      <c r="S799">
        <v>76</v>
      </c>
      <c r="T799">
        <v>0</v>
      </c>
      <c r="V799">
        <v>4851</v>
      </c>
      <c r="W799" s="21">
        <v>0</v>
      </c>
      <c r="X799">
        <v>1719</v>
      </c>
      <c r="Y799" s="21">
        <v>0</v>
      </c>
      <c r="AK799" t="s">
        <v>1293</v>
      </c>
    </row>
    <row r="800" spans="1:37" x14ac:dyDescent="0.25">
      <c r="A800">
        <f t="shared" si="12"/>
        <v>799</v>
      </c>
      <c r="E800" t="s">
        <v>1700</v>
      </c>
      <c r="F800" t="s">
        <v>1702</v>
      </c>
      <c r="G800" t="s">
        <v>1285</v>
      </c>
      <c r="M800">
        <v>0</v>
      </c>
      <c r="N800">
        <v>2022</v>
      </c>
      <c r="S800">
        <v>76</v>
      </c>
      <c r="T800">
        <v>0</v>
      </c>
      <c r="V800">
        <v>6000</v>
      </c>
      <c r="W800" s="21">
        <v>0</v>
      </c>
      <c r="X800">
        <v>2000</v>
      </c>
      <c r="Y800" s="21">
        <v>0</v>
      </c>
      <c r="AK800" t="s">
        <v>1293</v>
      </c>
    </row>
    <row r="801" spans="1:37" x14ac:dyDescent="0.25">
      <c r="A801">
        <f t="shared" si="12"/>
        <v>800</v>
      </c>
      <c r="E801" t="s">
        <v>1700</v>
      </c>
      <c r="F801" t="s">
        <v>1702</v>
      </c>
      <c r="G801" t="s">
        <v>1285</v>
      </c>
      <c r="M801">
        <v>0</v>
      </c>
      <c r="N801">
        <v>2022</v>
      </c>
      <c r="S801">
        <v>95</v>
      </c>
      <c r="T801">
        <v>0</v>
      </c>
      <c r="V801">
        <v>1517</v>
      </c>
      <c r="W801" s="21">
        <v>0</v>
      </c>
      <c r="X801">
        <v>2051</v>
      </c>
      <c r="Y801" s="21">
        <v>0</v>
      </c>
      <c r="AK801" t="s">
        <v>1293</v>
      </c>
    </row>
    <row r="802" spans="1:37" x14ac:dyDescent="0.25">
      <c r="A802">
        <f t="shared" si="12"/>
        <v>801</v>
      </c>
      <c r="E802" t="s">
        <v>1700</v>
      </c>
      <c r="F802" t="s">
        <v>1702</v>
      </c>
      <c r="G802" t="s">
        <v>1285</v>
      </c>
      <c r="M802">
        <v>0</v>
      </c>
      <c r="N802">
        <v>2022</v>
      </c>
      <c r="S802">
        <v>71</v>
      </c>
      <c r="T802">
        <v>0</v>
      </c>
      <c r="V802">
        <v>0</v>
      </c>
      <c r="W802" s="21">
        <v>0</v>
      </c>
      <c r="X802">
        <v>0</v>
      </c>
      <c r="Y802" s="21">
        <v>0</v>
      </c>
      <c r="AK802" t="s">
        <v>1293</v>
      </c>
    </row>
    <row r="803" spans="1:37" x14ac:dyDescent="0.25">
      <c r="A803">
        <f t="shared" si="12"/>
        <v>802</v>
      </c>
      <c r="E803" t="s">
        <v>1698</v>
      </c>
      <c r="F803" t="s">
        <v>1699</v>
      </c>
      <c r="G803" t="s">
        <v>1285</v>
      </c>
      <c r="M803">
        <v>0</v>
      </c>
      <c r="N803">
        <v>2022</v>
      </c>
      <c r="S803">
        <v>2015</v>
      </c>
      <c r="T803">
        <v>0</v>
      </c>
      <c r="V803">
        <v>0</v>
      </c>
      <c r="W803" s="21">
        <v>0</v>
      </c>
      <c r="X803">
        <v>0</v>
      </c>
      <c r="Y803" s="21">
        <v>0</v>
      </c>
      <c r="AK803" t="s">
        <v>1293</v>
      </c>
    </row>
    <row r="804" spans="1:37" x14ac:dyDescent="0.25">
      <c r="A804">
        <f t="shared" si="12"/>
        <v>803</v>
      </c>
      <c r="E804" t="s">
        <v>1700</v>
      </c>
      <c r="F804" t="s">
        <v>1702</v>
      </c>
      <c r="G804" t="s">
        <v>1285</v>
      </c>
      <c r="M804">
        <v>0</v>
      </c>
      <c r="N804">
        <v>2022</v>
      </c>
      <c r="S804">
        <v>72</v>
      </c>
      <c r="T804">
        <v>2485</v>
      </c>
      <c r="V804">
        <v>0</v>
      </c>
      <c r="W804" s="21">
        <v>0</v>
      </c>
      <c r="X804">
        <v>861</v>
      </c>
      <c r="Y804" s="21">
        <v>0</v>
      </c>
      <c r="AK804" t="s">
        <v>1293</v>
      </c>
    </row>
    <row r="805" spans="1:37" x14ac:dyDescent="0.25">
      <c r="A805">
        <f t="shared" si="12"/>
        <v>804</v>
      </c>
      <c r="E805" t="s">
        <v>1700</v>
      </c>
      <c r="F805" t="s">
        <v>1702</v>
      </c>
      <c r="G805" t="s">
        <v>1285</v>
      </c>
      <c r="M805">
        <v>0</v>
      </c>
      <c r="N805">
        <v>2022</v>
      </c>
      <c r="S805">
        <v>85</v>
      </c>
      <c r="T805">
        <v>0</v>
      </c>
      <c r="V805">
        <v>1256</v>
      </c>
      <c r="W805" s="21">
        <v>0</v>
      </c>
      <c r="X805">
        <v>2253</v>
      </c>
      <c r="Y805" s="21">
        <v>0</v>
      </c>
      <c r="AK805" t="s">
        <v>1293</v>
      </c>
    </row>
    <row r="806" spans="1:37" x14ac:dyDescent="0.25">
      <c r="A806">
        <f t="shared" si="12"/>
        <v>805</v>
      </c>
      <c r="E806" t="s">
        <v>1700</v>
      </c>
      <c r="F806" t="s">
        <v>1702</v>
      </c>
      <c r="G806" t="s">
        <v>1285</v>
      </c>
      <c r="M806">
        <v>0</v>
      </c>
      <c r="N806">
        <v>2022</v>
      </c>
      <c r="S806">
        <v>72</v>
      </c>
      <c r="T806">
        <v>0</v>
      </c>
      <c r="V806">
        <v>270</v>
      </c>
      <c r="W806" s="21">
        <v>0</v>
      </c>
      <c r="X806">
        <v>91</v>
      </c>
      <c r="Y806" s="21">
        <v>0</v>
      </c>
      <c r="AK806" t="s">
        <v>1293</v>
      </c>
    </row>
    <row r="807" spans="1:37" x14ac:dyDescent="0.25">
      <c r="A807">
        <f t="shared" si="12"/>
        <v>806</v>
      </c>
      <c r="E807" t="s">
        <v>1700</v>
      </c>
      <c r="F807" t="s">
        <v>1702</v>
      </c>
      <c r="G807" t="s">
        <v>1285</v>
      </c>
      <c r="M807">
        <v>0</v>
      </c>
      <c r="N807">
        <v>2022</v>
      </c>
      <c r="S807">
        <v>0</v>
      </c>
      <c r="T807">
        <v>0</v>
      </c>
      <c r="V807">
        <v>7882</v>
      </c>
      <c r="W807" s="21">
        <v>0</v>
      </c>
      <c r="X807">
        <v>18010</v>
      </c>
      <c r="Y807" s="21">
        <v>0</v>
      </c>
      <c r="AK807" t="s">
        <v>1293</v>
      </c>
    </row>
    <row r="808" spans="1:37" x14ac:dyDescent="0.25">
      <c r="A808">
        <f t="shared" si="12"/>
        <v>807</v>
      </c>
      <c r="E808" t="s">
        <v>1700</v>
      </c>
      <c r="F808" t="s">
        <v>1702</v>
      </c>
      <c r="G808" t="s">
        <v>1285</v>
      </c>
      <c r="M808">
        <v>0</v>
      </c>
      <c r="N808">
        <v>2022</v>
      </c>
      <c r="S808">
        <v>70</v>
      </c>
      <c r="T808">
        <v>0</v>
      </c>
      <c r="V808">
        <v>10000</v>
      </c>
      <c r="W808" s="21">
        <v>0</v>
      </c>
      <c r="X808">
        <v>1000</v>
      </c>
      <c r="Y808" s="21">
        <v>0</v>
      </c>
      <c r="AK808" t="s">
        <v>1293</v>
      </c>
    </row>
    <row r="809" spans="1:37" x14ac:dyDescent="0.25">
      <c r="A809">
        <f t="shared" si="12"/>
        <v>808</v>
      </c>
      <c r="E809" t="s">
        <v>1700</v>
      </c>
      <c r="F809" t="s">
        <v>1702</v>
      </c>
      <c r="G809" t="s">
        <v>1285</v>
      </c>
      <c r="M809">
        <v>0</v>
      </c>
      <c r="N809">
        <v>2022</v>
      </c>
      <c r="S809">
        <v>70</v>
      </c>
      <c r="T809">
        <v>0</v>
      </c>
      <c r="V809">
        <v>700</v>
      </c>
      <c r="W809" s="21">
        <v>0</v>
      </c>
      <c r="X809">
        <v>950</v>
      </c>
      <c r="Y809" s="21">
        <v>0</v>
      </c>
      <c r="AK809" t="s">
        <v>1293</v>
      </c>
    </row>
    <row r="810" spans="1:37" x14ac:dyDescent="0.25">
      <c r="A810">
        <f t="shared" si="12"/>
        <v>809</v>
      </c>
      <c r="E810" t="s">
        <v>1700</v>
      </c>
      <c r="F810" t="s">
        <v>1702</v>
      </c>
      <c r="G810" t="s">
        <v>1285</v>
      </c>
      <c r="M810">
        <v>0</v>
      </c>
      <c r="N810">
        <v>2022</v>
      </c>
      <c r="S810">
        <v>50</v>
      </c>
      <c r="T810">
        <v>0</v>
      </c>
      <c r="V810">
        <v>8228</v>
      </c>
      <c r="W810" s="21">
        <v>0</v>
      </c>
      <c r="X810">
        <v>2129</v>
      </c>
      <c r="Y810" s="21">
        <v>0</v>
      </c>
      <c r="AK810" t="s">
        <v>1293</v>
      </c>
    </row>
    <row r="811" spans="1:37" x14ac:dyDescent="0.25">
      <c r="A811">
        <f t="shared" si="12"/>
        <v>810</v>
      </c>
      <c r="E811" t="s">
        <v>1700</v>
      </c>
      <c r="F811" t="s">
        <v>1702</v>
      </c>
      <c r="G811" t="s">
        <v>1285</v>
      </c>
      <c r="M811">
        <v>0</v>
      </c>
      <c r="N811">
        <v>2022</v>
      </c>
      <c r="S811">
        <v>71</v>
      </c>
      <c r="T811">
        <v>0</v>
      </c>
      <c r="V811">
        <v>5300</v>
      </c>
      <c r="W811" s="21">
        <v>0</v>
      </c>
      <c r="X811">
        <v>1900</v>
      </c>
      <c r="Y811" s="21">
        <v>0</v>
      </c>
      <c r="AK811" t="s">
        <v>1293</v>
      </c>
    </row>
    <row r="812" spans="1:37" x14ac:dyDescent="0.25">
      <c r="A812">
        <f t="shared" si="12"/>
        <v>811</v>
      </c>
      <c r="E812" t="s">
        <v>1700</v>
      </c>
      <c r="F812" t="s">
        <v>1702</v>
      </c>
      <c r="G812" t="s">
        <v>1285</v>
      </c>
      <c r="M812">
        <v>0</v>
      </c>
      <c r="N812">
        <v>2022</v>
      </c>
      <c r="S812">
        <v>51</v>
      </c>
      <c r="T812">
        <v>0</v>
      </c>
      <c r="V812">
        <v>0</v>
      </c>
      <c r="W812" s="21">
        <v>0</v>
      </c>
      <c r="X812">
        <v>1800</v>
      </c>
      <c r="Y812" s="21">
        <v>0</v>
      </c>
      <c r="AK812" t="s">
        <v>1293</v>
      </c>
    </row>
    <row r="813" spans="1:37" x14ac:dyDescent="0.25">
      <c r="A813">
        <f t="shared" si="12"/>
        <v>812</v>
      </c>
      <c r="E813" t="s">
        <v>1700</v>
      </c>
      <c r="F813" t="s">
        <v>1702</v>
      </c>
      <c r="G813" t="s">
        <v>1285</v>
      </c>
      <c r="M813">
        <v>0</v>
      </c>
      <c r="N813">
        <v>2022</v>
      </c>
      <c r="S813">
        <v>24</v>
      </c>
      <c r="T813">
        <v>0</v>
      </c>
      <c r="V813">
        <v>900</v>
      </c>
      <c r="W813" s="21">
        <v>0</v>
      </c>
      <c r="X813">
        <v>2000</v>
      </c>
      <c r="Y813" s="21">
        <v>0</v>
      </c>
      <c r="AK813" t="s">
        <v>1293</v>
      </c>
    </row>
    <row r="814" spans="1:37" x14ac:dyDescent="0.25">
      <c r="A814">
        <f t="shared" si="12"/>
        <v>813</v>
      </c>
      <c r="E814" t="s">
        <v>1700</v>
      </c>
      <c r="F814" t="s">
        <v>1702</v>
      </c>
      <c r="G814" t="s">
        <v>1285</v>
      </c>
      <c r="M814">
        <v>0</v>
      </c>
      <c r="N814">
        <v>2022</v>
      </c>
      <c r="S814">
        <v>70</v>
      </c>
      <c r="T814">
        <v>0</v>
      </c>
      <c r="V814">
        <v>5900</v>
      </c>
      <c r="W814" s="21">
        <v>0</v>
      </c>
      <c r="X814">
        <v>3100</v>
      </c>
      <c r="Y814" s="21">
        <v>0</v>
      </c>
      <c r="AK814" t="s">
        <v>1293</v>
      </c>
    </row>
    <row r="815" spans="1:37" x14ac:dyDescent="0.25">
      <c r="A815">
        <f t="shared" si="12"/>
        <v>814</v>
      </c>
      <c r="E815" t="s">
        <v>1700</v>
      </c>
      <c r="F815" t="s">
        <v>1702</v>
      </c>
      <c r="G815" t="s">
        <v>1285</v>
      </c>
      <c r="M815">
        <v>0</v>
      </c>
      <c r="N815">
        <v>2022</v>
      </c>
      <c r="S815">
        <v>70</v>
      </c>
      <c r="T815">
        <v>0</v>
      </c>
      <c r="V815">
        <v>2500</v>
      </c>
      <c r="W815" s="21">
        <v>0</v>
      </c>
      <c r="X815">
        <v>1500</v>
      </c>
      <c r="Y815" s="21">
        <v>0</v>
      </c>
      <c r="AK815" t="s">
        <v>1293</v>
      </c>
    </row>
    <row r="816" spans="1:37" x14ac:dyDescent="0.25">
      <c r="A816">
        <f t="shared" si="12"/>
        <v>815</v>
      </c>
      <c r="E816" t="s">
        <v>1709</v>
      </c>
      <c r="F816" t="s">
        <v>1699</v>
      </c>
      <c r="G816" t="s">
        <v>1285</v>
      </c>
      <c r="M816">
        <v>0</v>
      </c>
      <c r="N816">
        <v>0</v>
      </c>
      <c r="S816">
        <v>0</v>
      </c>
      <c r="T816">
        <v>0</v>
      </c>
      <c r="V816">
        <v>0</v>
      </c>
      <c r="W816" s="21">
        <v>0</v>
      </c>
      <c r="X816">
        <v>0</v>
      </c>
      <c r="Y816" s="21">
        <v>0</v>
      </c>
      <c r="AK816" t="s">
        <v>1293</v>
      </c>
    </row>
    <row r="817" spans="1:37" x14ac:dyDescent="0.25">
      <c r="A817">
        <f t="shared" si="12"/>
        <v>816</v>
      </c>
      <c r="E817" t="s">
        <v>1700</v>
      </c>
      <c r="F817" t="s">
        <v>1702</v>
      </c>
      <c r="G817" t="s">
        <v>1285</v>
      </c>
      <c r="M817">
        <v>0</v>
      </c>
      <c r="N817">
        <v>2022</v>
      </c>
      <c r="S817">
        <v>90</v>
      </c>
      <c r="T817">
        <v>0</v>
      </c>
      <c r="V817">
        <v>6000</v>
      </c>
      <c r="W817" s="21">
        <v>0</v>
      </c>
      <c r="X817">
        <v>3000</v>
      </c>
      <c r="Y817" s="21">
        <v>0</v>
      </c>
      <c r="AK817" t="s">
        <v>1293</v>
      </c>
    </row>
    <row r="818" spans="1:37" x14ac:dyDescent="0.25">
      <c r="A818">
        <f t="shared" si="12"/>
        <v>817</v>
      </c>
      <c r="E818" t="s">
        <v>1700</v>
      </c>
      <c r="F818" t="s">
        <v>1702</v>
      </c>
      <c r="G818" t="s">
        <v>1285</v>
      </c>
      <c r="M818">
        <v>0</v>
      </c>
      <c r="N818">
        <v>2022</v>
      </c>
      <c r="S818">
        <v>51</v>
      </c>
      <c r="T818">
        <v>0</v>
      </c>
      <c r="V818">
        <v>1000</v>
      </c>
      <c r="W818" s="21">
        <v>0</v>
      </c>
      <c r="X818">
        <v>300</v>
      </c>
      <c r="Y818" s="21">
        <v>0</v>
      </c>
      <c r="AK818" t="s">
        <v>1293</v>
      </c>
    </row>
    <row r="819" spans="1:37" x14ac:dyDescent="0.25">
      <c r="A819">
        <f t="shared" si="12"/>
        <v>818</v>
      </c>
      <c r="E819" t="s">
        <v>1700</v>
      </c>
      <c r="F819" t="s">
        <v>1702</v>
      </c>
      <c r="G819" t="s">
        <v>1285</v>
      </c>
      <c r="M819">
        <v>0</v>
      </c>
      <c r="N819">
        <v>2022</v>
      </c>
      <c r="S819">
        <v>50</v>
      </c>
      <c r="T819">
        <v>0</v>
      </c>
      <c r="V819">
        <v>3000</v>
      </c>
      <c r="W819" s="21">
        <v>0</v>
      </c>
      <c r="X819">
        <v>1558</v>
      </c>
      <c r="Y819" s="21">
        <v>0</v>
      </c>
      <c r="AK819" t="s">
        <v>1293</v>
      </c>
    </row>
    <row r="820" spans="1:37" x14ac:dyDescent="0.25">
      <c r="A820">
        <f t="shared" si="12"/>
        <v>819</v>
      </c>
      <c r="E820" t="s">
        <v>1700</v>
      </c>
      <c r="F820" t="s">
        <v>1702</v>
      </c>
      <c r="G820" t="s">
        <v>1285</v>
      </c>
      <c r="M820">
        <v>0</v>
      </c>
      <c r="N820">
        <v>2022</v>
      </c>
      <c r="S820">
        <v>38</v>
      </c>
      <c r="T820">
        <v>0</v>
      </c>
      <c r="V820">
        <v>2500</v>
      </c>
      <c r="W820" s="21">
        <v>0</v>
      </c>
      <c r="X820">
        <v>2400</v>
      </c>
      <c r="Y820" s="21">
        <v>0</v>
      </c>
      <c r="AK820" t="s">
        <v>1293</v>
      </c>
    </row>
    <row r="821" spans="1:37" x14ac:dyDescent="0.25">
      <c r="A821">
        <f t="shared" si="12"/>
        <v>820</v>
      </c>
      <c r="E821" t="s">
        <v>1700</v>
      </c>
      <c r="F821" t="s">
        <v>1702</v>
      </c>
      <c r="G821" t="s">
        <v>1285</v>
      </c>
      <c r="M821">
        <v>0</v>
      </c>
      <c r="N821">
        <v>2022</v>
      </c>
      <c r="S821">
        <v>74</v>
      </c>
      <c r="T821">
        <v>0</v>
      </c>
      <c r="V821">
        <v>16000</v>
      </c>
      <c r="W821" s="21">
        <v>0</v>
      </c>
      <c r="X821">
        <v>2950</v>
      </c>
      <c r="Y821" s="21">
        <v>0</v>
      </c>
      <c r="AK821" t="s">
        <v>1293</v>
      </c>
    </row>
    <row r="822" spans="1:37" x14ac:dyDescent="0.25">
      <c r="A822">
        <f t="shared" si="12"/>
        <v>821</v>
      </c>
      <c r="E822" t="s">
        <v>1700</v>
      </c>
      <c r="F822" t="s">
        <v>1702</v>
      </c>
      <c r="G822" t="s">
        <v>1285</v>
      </c>
      <c r="M822">
        <v>0</v>
      </c>
      <c r="N822">
        <v>2022</v>
      </c>
      <c r="S822">
        <v>73</v>
      </c>
      <c r="T822">
        <v>0</v>
      </c>
      <c r="V822">
        <v>22347</v>
      </c>
      <c r="W822" s="21">
        <v>0</v>
      </c>
      <c r="X822">
        <v>2041</v>
      </c>
      <c r="Y822" s="21">
        <v>0</v>
      </c>
      <c r="AK822" t="s">
        <v>1293</v>
      </c>
    </row>
    <row r="823" spans="1:37" x14ac:dyDescent="0.25">
      <c r="A823">
        <f t="shared" si="12"/>
        <v>822</v>
      </c>
      <c r="E823" t="s">
        <v>1700</v>
      </c>
      <c r="F823" t="s">
        <v>1702</v>
      </c>
      <c r="G823" t="s">
        <v>1285</v>
      </c>
      <c r="M823">
        <v>0</v>
      </c>
      <c r="N823">
        <v>2022</v>
      </c>
      <c r="S823">
        <v>60</v>
      </c>
      <c r="T823">
        <v>0</v>
      </c>
      <c r="V823">
        <v>18849</v>
      </c>
      <c r="W823" s="21">
        <v>0</v>
      </c>
      <c r="X823">
        <v>0</v>
      </c>
      <c r="Y823" s="21">
        <v>0</v>
      </c>
      <c r="AK823" t="s">
        <v>1293</v>
      </c>
    </row>
    <row r="824" spans="1:37" x14ac:dyDescent="0.25">
      <c r="A824">
        <f t="shared" si="12"/>
        <v>823</v>
      </c>
      <c r="E824" t="s">
        <v>1700</v>
      </c>
      <c r="F824" t="s">
        <v>1702</v>
      </c>
      <c r="G824" t="s">
        <v>1285</v>
      </c>
      <c r="M824">
        <v>0</v>
      </c>
      <c r="N824">
        <v>2022</v>
      </c>
      <c r="S824">
        <v>70</v>
      </c>
      <c r="T824">
        <v>0</v>
      </c>
      <c r="V824">
        <v>0</v>
      </c>
      <c r="W824" s="21">
        <v>0</v>
      </c>
      <c r="X824">
        <v>0</v>
      </c>
      <c r="Y824" s="21">
        <v>0</v>
      </c>
      <c r="AK824" t="s">
        <v>1293</v>
      </c>
    </row>
    <row r="825" spans="1:37" x14ac:dyDescent="0.25">
      <c r="A825">
        <f t="shared" si="12"/>
        <v>824</v>
      </c>
      <c r="E825" t="s">
        <v>1709</v>
      </c>
      <c r="F825" t="s">
        <v>1699</v>
      </c>
      <c r="G825" t="s">
        <v>1285</v>
      </c>
      <c r="M825">
        <v>0</v>
      </c>
      <c r="N825">
        <v>2022</v>
      </c>
      <c r="S825">
        <v>0</v>
      </c>
      <c r="T825">
        <v>0</v>
      </c>
      <c r="V825">
        <v>0</v>
      </c>
      <c r="W825" s="21">
        <v>0</v>
      </c>
      <c r="X825">
        <v>0</v>
      </c>
      <c r="Y825" s="21">
        <v>0</v>
      </c>
      <c r="AK825" t="s">
        <v>1293</v>
      </c>
    </row>
    <row r="826" spans="1:37" x14ac:dyDescent="0.25">
      <c r="A826">
        <f t="shared" si="12"/>
        <v>825</v>
      </c>
      <c r="E826" t="s">
        <v>1700</v>
      </c>
      <c r="F826" t="s">
        <v>1702</v>
      </c>
      <c r="G826" t="s">
        <v>1285</v>
      </c>
      <c r="M826">
        <v>0</v>
      </c>
      <c r="N826">
        <v>2022</v>
      </c>
      <c r="S826">
        <v>75</v>
      </c>
      <c r="T826">
        <v>0</v>
      </c>
      <c r="V826">
        <v>2272</v>
      </c>
      <c r="W826" s="21">
        <v>0</v>
      </c>
      <c r="X826">
        <v>6447</v>
      </c>
      <c r="Y826" s="21">
        <v>0</v>
      </c>
      <c r="AK826" t="s">
        <v>1293</v>
      </c>
    </row>
    <row r="827" spans="1:37" x14ac:dyDescent="0.25">
      <c r="A827">
        <f t="shared" si="12"/>
        <v>826</v>
      </c>
      <c r="E827" t="s">
        <v>1700</v>
      </c>
      <c r="F827" t="s">
        <v>1702</v>
      </c>
      <c r="G827" t="s">
        <v>1285</v>
      </c>
      <c r="M827">
        <v>0</v>
      </c>
      <c r="N827">
        <v>2022</v>
      </c>
      <c r="S827">
        <v>56</v>
      </c>
      <c r="T827">
        <v>0</v>
      </c>
      <c r="V827">
        <v>0</v>
      </c>
      <c r="W827" s="21">
        <v>0</v>
      </c>
      <c r="X827">
        <v>531</v>
      </c>
      <c r="Y827" s="21">
        <v>0</v>
      </c>
      <c r="AK827" t="s">
        <v>1293</v>
      </c>
    </row>
    <row r="828" spans="1:37" x14ac:dyDescent="0.25">
      <c r="A828">
        <f t="shared" si="12"/>
        <v>827</v>
      </c>
      <c r="F828" t="s">
        <v>1710</v>
      </c>
      <c r="G828" t="s">
        <v>1285</v>
      </c>
      <c r="M828">
        <v>0</v>
      </c>
      <c r="N828">
        <v>0</v>
      </c>
      <c r="O828" t="s">
        <v>1063</v>
      </c>
      <c r="S828">
        <v>230</v>
      </c>
      <c r="T828">
        <v>0</v>
      </c>
      <c r="V828">
        <v>0</v>
      </c>
      <c r="W828" s="21">
        <v>0</v>
      </c>
      <c r="X828">
        <v>0</v>
      </c>
      <c r="Y828" s="21">
        <v>0</v>
      </c>
    </row>
    <row r="829" spans="1:37" x14ac:dyDescent="0.25">
      <c r="A829">
        <f t="shared" si="12"/>
        <v>828</v>
      </c>
      <c r="E829" t="s">
        <v>1015</v>
      </c>
      <c r="F829" t="s">
        <v>1183</v>
      </c>
      <c r="G829" t="s">
        <v>1285</v>
      </c>
      <c r="M829">
        <v>0</v>
      </c>
      <c r="N829">
        <v>0</v>
      </c>
      <c r="O829" t="s">
        <v>1063</v>
      </c>
      <c r="S829">
        <v>1591</v>
      </c>
      <c r="T829">
        <v>0</v>
      </c>
      <c r="V829">
        <v>0</v>
      </c>
      <c r="W829" s="21">
        <v>0</v>
      </c>
      <c r="X829">
        <v>0</v>
      </c>
      <c r="Y829" s="21">
        <v>0</v>
      </c>
    </row>
    <row r="830" spans="1:37" x14ac:dyDescent="0.25">
      <c r="A830">
        <f t="shared" si="12"/>
        <v>829</v>
      </c>
      <c r="E830" t="s">
        <v>1016</v>
      </c>
      <c r="F830" t="s">
        <v>1055</v>
      </c>
      <c r="G830" t="s">
        <v>1285</v>
      </c>
      <c r="H830" t="s">
        <v>1081</v>
      </c>
      <c r="I830" t="s">
        <v>1184</v>
      </c>
      <c r="J830" t="s">
        <v>486</v>
      </c>
      <c r="K830" t="s">
        <v>1088</v>
      </c>
      <c r="M830">
        <v>0</v>
      </c>
      <c r="N830">
        <v>0</v>
      </c>
      <c r="O830" t="s">
        <v>1082</v>
      </c>
      <c r="S830">
        <v>564</v>
      </c>
      <c r="T830">
        <v>0</v>
      </c>
      <c r="V830">
        <v>0</v>
      </c>
      <c r="W830" s="21">
        <v>0</v>
      </c>
      <c r="X830">
        <v>0</v>
      </c>
      <c r="Y830" s="21">
        <v>0</v>
      </c>
    </row>
    <row r="831" spans="1:37" x14ac:dyDescent="0.25">
      <c r="A831">
        <f t="shared" si="12"/>
        <v>830</v>
      </c>
      <c r="E831" t="s">
        <v>1016</v>
      </c>
      <c r="F831" t="s">
        <v>1055</v>
      </c>
      <c r="G831" t="s">
        <v>1285</v>
      </c>
      <c r="H831" t="s">
        <v>1081</v>
      </c>
      <c r="I831" t="s">
        <v>275</v>
      </c>
      <c r="J831" t="s">
        <v>1185</v>
      </c>
      <c r="K831" t="s">
        <v>1154</v>
      </c>
      <c r="M831">
        <v>0</v>
      </c>
      <c r="N831">
        <v>0</v>
      </c>
      <c r="O831" t="s">
        <v>1082</v>
      </c>
      <c r="S831">
        <v>348</v>
      </c>
      <c r="T831">
        <v>0</v>
      </c>
      <c r="V831">
        <v>0</v>
      </c>
      <c r="W831" s="21">
        <v>0</v>
      </c>
      <c r="X831">
        <v>0</v>
      </c>
      <c r="Y831" s="21">
        <v>0</v>
      </c>
    </row>
    <row r="832" spans="1:37" x14ac:dyDescent="0.25">
      <c r="A832">
        <f t="shared" si="12"/>
        <v>831</v>
      </c>
      <c r="E832" t="s">
        <v>1017</v>
      </c>
      <c r="F832" t="s">
        <v>1186</v>
      </c>
      <c r="G832" t="s">
        <v>1285</v>
      </c>
      <c r="H832" t="s">
        <v>1081</v>
      </c>
      <c r="I832" t="s">
        <v>572</v>
      </c>
      <c r="J832" t="s">
        <v>1187</v>
      </c>
      <c r="K832" t="s">
        <v>1046</v>
      </c>
      <c r="M832">
        <v>0</v>
      </c>
      <c r="N832">
        <v>0</v>
      </c>
      <c r="O832" t="s">
        <v>1063</v>
      </c>
      <c r="S832">
        <v>447</v>
      </c>
      <c r="T832">
        <v>0</v>
      </c>
      <c r="V832">
        <v>0</v>
      </c>
      <c r="W832" s="21">
        <v>0</v>
      </c>
      <c r="X832">
        <v>0</v>
      </c>
      <c r="Y832" s="21">
        <v>0</v>
      </c>
    </row>
    <row r="833" spans="1:25" x14ac:dyDescent="0.25">
      <c r="A833">
        <f t="shared" si="12"/>
        <v>832</v>
      </c>
      <c r="E833" t="s">
        <v>1018</v>
      </c>
      <c r="F833" t="s">
        <v>1188</v>
      </c>
      <c r="G833" t="s">
        <v>1285</v>
      </c>
      <c r="H833" t="s">
        <v>1081</v>
      </c>
      <c r="I833" t="s">
        <v>572</v>
      </c>
      <c r="J833" t="s">
        <v>1189</v>
      </c>
      <c r="K833" t="s">
        <v>1155</v>
      </c>
      <c r="M833">
        <v>0</v>
      </c>
      <c r="N833">
        <v>0</v>
      </c>
      <c r="O833" t="s">
        <v>1082</v>
      </c>
      <c r="S833">
        <v>393</v>
      </c>
      <c r="T833">
        <v>0</v>
      </c>
      <c r="V833">
        <v>0</v>
      </c>
      <c r="W833" s="21">
        <v>0</v>
      </c>
      <c r="X833">
        <v>0</v>
      </c>
      <c r="Y833" s="21">
        <v>0</v>
      </c>
    </row>
    <row r="834" spans="1:25" x14ac:dyDescent="0.25">
      <c r="A834">
        <f t="shared" ref="A834:A867" si="13">ROW(A834)-1</f>
        <v>833</v>
      </c>
      <c r="E834" t="s">
        <v>1018</v>
      </c>
      <c r="F834" t="s">
        <v>1190</v>
      </c>
      <c r="G834" t="s">
        <v>1285</v>
      </c>
      <c r="H834" t="s">
        <v>1081</v>
      </c>
      <c r="I834" t="s">
        <v>572</v>
      </c>
      <c r="J834" t="s">
        <v>1191</v>
      </c>
      <c r="K834" t="s">
        <v>1192</v>
      </c>
      <c r="M834">
        <v>0</v>
      </c>
      <c r="N834">
        <v>0</v>
      </c>
      <c r="S834">
        <v>779</v>
      </c>
      <c r="T834">
        <v>0</v>
      </c>
      <c r="V834">
        <v>0</v>
      </c>
      <c r="W834" s="21">
        <v>0</v>
      </c>
      <c r="X834">
        <v>0</v>
      </c>
      <c r="Y834" s="21">
        <v>0</v>
      </c>
    </row>
    <row r="835" spans="1:25" x14ac:dyDescent="0.25">
      <c r="A835">
        <f t="shared" si="13"/>
        <v>834</v>
      </c>
      <c r="E835" t="s">
        <v>1018</v>
      </c>
      <c r="F835" t="s">
        <v>1193</v>
      </c>
      <c r="G835" t="s">
        <v>1285</v>
      </c>
      <c r="H835" t="s">
        <v>1081</v>
      </c>
      <c r="I835" t="s">
        <v>572</v>
      </c>
      <c r="J835" t="s">
        <v>1187</v>
      </c>
      <c r="K835" t="s">
        <v>1060</v>
      </c>
      <c r="M835">
        <v>0</v>
      </c>
      <c r="N835">
        <v>0</v>
      </c>
      <c r="S835">
        <v>2019</v>
      </c>
      <c r="T835">
        <v>0</v>
      </c>
      <c r="V835">
        <v>0</v>
      </c>
      <c r="W835" s="21">
        <v>0</v>
      </c>
      <c r="X835">
        <v>0</v>
      </c>
      <c r="Y835" s="21">
        <v>0</v>
      </c>
    </row>
    <row r="836" spans="1:25" x14ac:dyDescent="0.25">
      <c r="A836">
        <f t="shared" si="13"/>
        <v>835</v>
      </c>
      <c r="E836" t="s">
        <v>1018</v>
      </c>
      <c r="F836" t="s">
        <v>1194</v>
      </c>
      <c r="G836" t="s">
        <v>1285</v>
      </c>
      <c r="H836" t="s">
        <v>1081</v>
      </c>
      <c r="I836" t="s">
        <v>572</v>
      </c>
      <c r="J836" t="s">
        <v>1195</v>
      </c>
      <c r="K836" t="s">
        <v>1196</v>
      </c>
      <c r="M836">
        <v>0</v>
      </c>
      <c r="N836">
        <v>0</v>
      </c>
      <c r="O836" t="s">
        <v>1082</v>
      </c>
      <c r="S836">
        <v>1077</v>
      </c>
      <c r="T836">
        <v>0</v>
      </c>
      <c r="V836">
        <v>0</v>
      </c>
      <c r="W836" s="21">
        <v>0</v>
      </c>
      <c r="X836">
        <v>0</v>
      </c>
      <c r="Y836" s="21">
        <v>0</v>
      </c>
    </row>
    <row r="837" spans="1:25" x14ac:dyDescent="0.25">
      <c r="A837">
        <f t="shared" si="13"/>
        <v>836</v>
      </c>
      <c r="E837" t="s">
        <v>1019</v>
      </c>
      <c r="F837" t="s">
        <v>1197</v>
      </c>
      <c r="G837" t="s">
        <v>1285</v>
      </c>
      <c r="H837" t="s">
        <v>1081</v>
      </c>
      <c r="I837" t="s">
        <v>572</v>
      </c>
      <c r="J837" t="s">
        <v>1195</v>
      </c>
      <c r="K837" t="s">
        <v>1198</v>
      </c>
      <c r="M837">
        <v>0</v>
      </c>
      <c r="N837">
        <v>0</v>
      </c>
      <c r="O837" t="s">
        <v>1063</v>
      </c>
      <c r="S837">
        <v>530</v>
      </c>
      <c r="T837">
        <v>0</v>
      </c>
      <c r="V837">
        <v>0</v>
      </c>
      <c r="W837" s="21">
        <v>0</v>
      </c>
      <c r="X837">
        <v>0</v>
      </c>
      <c r="Y837" s="21">
        <v>0</v>
      </c>
    </row>
    <row r="838" spans="1:25" x14ac:dyDescent="0.25">
      <c r="A838">
        <f t="shared" si="13"/>
        <v>837</v>
      </c>
      <c r="E838" t="s">
        <v>1018</v>
      </c>
      <c r="F838" t="s">
        <v>1199</v>
      </c>
      <c r="G838" t="s">
        <v>1285</v>
      </c>
      <c r="H838" t="s">
        <v>1081</v>
      </c>
      <c r="I838" t="s">
        <v>572</v>
      </c>
      <c r="J838" t="s">
        <v>1200</v>
      </c>
      <c r="K838" t="s">
        <v>1046</v>
      </c>
      <c r="M838">
        <v>0</v>
      </c>
      <c r="N838">
        <v>0</v>
      </c>
      <c r="O838" t="s">
        <v>1082</v>
      </c>
      <c r="S838">
        <v>403</v>
      </c>
      <c r="T838">
        <v>0</v>
      </c>
      <c r="V838">
        <v>0</v>
      </c>
      <c r="W838" s="21">
        <v>0</v>
      </c>
      <c r="X838">
        <v>0</v>
      </c>
      <c r="Y838" s="21">
        <v>0</v>
      </c>
    </row>
    <row r="839" spans="1:25" x14ac:dyDescent="0.25">
      <c r="A839">
        <f t="shared" si="13"/>
        <v>838</v>
      </c>
      <c r="E839" t="s">
        <v>1018</v>
      </c>
      <c r="F839" t="s">
        <v>1201</v>
      </c>
      <c r="G839" t="s">
        <v>1285</v>
      </c>
      <c r="H839" t="s">
        <v>1081</v>
      </c>
      <c r="I839" t="s">
        <v>572</v>
      </c>
      <c r="J839" t="s">
        <v>1202</v>
      </c>
      <c r="K839" t="s">
        <v>1203</v>
      </c>
      <c r="M839">
        <v>0</v>
      </c>
      <c r="N839">
        <v>0</v>
      </c>
      <c r="O839" t="s">
        <v>1082</v>
      </c>
      <c r="S839">
        <v>548</v>
      </c>
      <c r="T839">
        <v>0</v>
      </c>
      <c r="V839">
        <v>0</v>
      </c>
      <c r="W839" s="21">
        <v>0</v>
      </c>
      <c r="X839">
        <v>0</v>
      </c>
      <c r="Y839" s="21">
        <v>0</v>
      </c>
    </row>
    <row r="840" spans="1:25" x14ac:dyDescent="0.25">
      <c r="A840">
        <f t="shared" si="13"/>
        <v>839</v>
      </c>
      <c r="E840" t="s">
        <v>1018</v>
      </c>
      <c r="F840" t="s">
        <v>1204</v>
      </c>
      <c r="G840" t="s">
        <v>1285</v>
      </c>
      <c r="H840" t="s">
        <v>1081</v>
      </c>
      <c r="I840" t="s">
        <v>572</v>
      </c>
      <c r="J840" t="s">
        <v>1205</v>
      </c>
      <c r="K840" t="s">
        <v>1154</v>
      </c>
      <c r="M840">
        <v>0</v>
      </c>
      <c r="N840">
        <v>0</v>
      </c>
      <c r="S840">
        <v>336</v>
      </c>
      <c r="T840">
        <v>0</v>
      </c>
      <c r="V840">
        <v>0</v>
      </c>
      <c r="W840" s="21">
        <v>0</v>
      </c>
      <c r="X840">
        <v>0</v>
      </c>
      <c r="Y840" s="21">
        <v>0</v>
      </c>
    </row>
    <row r="841" spans="1:25" x14ac:dyDescent="0.25">
      <c r="A841">
        <f t="shared" si="13"/>
        <v>840</v>
      </c>
      <c r="E841" t="s">
        <v>1018</v>
      </c>
      <c r="F841" t="s">
        <v>1206</v>
      </c>
      <c r="G841" t="s">
        <v>1285</v>
      </c>
      <c r="H841" t="s">
        <v>1081</v>
      </c>
      <c r="I841" t="s">
        <v>572</v>
      </c>
      <c r="J841" t="s">
        <v>486</v>
      </c>
      <c r="K841" t="s">
        <v>1088</v>
      </c>
      <c r="M841">
        <v>0</v>
      </c>
      <c r="N841">
        <v>0</v>
      </c>
      <c r="S841">
        <v>420</v>
      </c>
      <c r="T841">
        <v>0</v>
      </c>
      <c r="V841">
        <v>0</v>
      </c>
      <c r="W841" s="21">
        <v>0</v>
      </c>
      <c r="X841">
        <v>0</v>
      </c>
      <c r="Y841" s="21">
        <v>0</v>
      </c>
    </row>
    <row r="842" spans="1:25" x14ac:dyDescent="0.25">
      <c r="A842">
        <f t="shared" si="13"/>
        <v>841</v>
      </c>
      <c r="E842" t="s">
        <v>1020</v>
      </c>
      <c r="F842" t="s">
        <v>1207</v>
      </c>
      <c r="G842" t="s">
        <v>1285</v>
      </c>
      <c r="H842" t="s">
        <v>1081</v>
      </c>
      <c r="I842" t="s">
        <v>275</v>
      </c>
      <c r="J842" t="s">
        <v>1208</v>
      </c>
      <c r="K842" t="s">
        <v>1155</v>
      </c>
      <c r="M842">
        <v>0</v>
      </c>
      <c r="N842">
        <v>0</v>
      </c>
      <c r="O842" t="s">
        <v>1066</v>
      </c>
      <c r="S842">
        <v>2788</v>
      </c>
      <c r="T842">
        <v>0</v>
      </c>
      <c r="V842">
        <v>0</v>
      </c>
      <c r="W842" s="21">
        <v>0</v>
      </c>
      <c r="X842">
        <v>0</v>
      </c>
      <c r="Y842" s="21">
        <v>0</v>
      </c>
    </row>
    <row r="843" spans="1:25" x14ac:dyDescent="0.25">
      <c r="A843">
        <f t="shared" si="13"/>
        <v>842</v>
      </c>
      <c r="E843" t="s">
        <v>1021</v>
      </c>
      <c r="F843" t="s">
        <v>1209</v>
      </c>
      <c r="G843" t="s">
        <v>1285</v>
      </c>
      <c r="H843" t="s">
        <v>1210</v>
      </c>
      <c r="I843" t="s">
        <v>1211</v>
      </c>
      <c r="J843" t="s">
        <v>1212</v>
      </c>
      <c r="K843" t="s">
        <v>1063</v>
      </c>
      <c r="M843">
        <v>0</v>
      </c>
      <c r="N843">
        <v>0</v>
      </c>
      <c r="O843" t="s">
        <v>1063</v>
      </c>
      <c r="S843">
        <v>202</v>
      </c>
      <c r="T843">
        <v>0</v>
      </c>
      <c r="V843">
        <v>0</v>
      </c>
      <c r="W843" s="21">
        <v>0</v>
      </c>
      <c r="X843">
        <v>0</v>
      </c>
      <c r="Y843" s="21">
        <v>0</v>
      </c>
    </row>
    <row r="844" spans="1:25" x14ac:dyDescent="0.25">
      <c r="A844">
        <f t="shared" si="13"/>
        <v>843</v>
      </c>
      <c r="E844" t="s">
        <v>1022</v>
      </c>
      <c r="F844" t="s">
        <v>1209</v>
      </c>
      <c r="G844" t="s">
        <v>1285</v>
      </c>
      <c r="H844" t="s">
        <v>1081</v>
      </c>
      <c r="I844" t="s">
        <v>275</v>
      </c>
      <c r="J844" t="s">
        <v>1213</v>
      </c>
      <c r="K844" t="s">
        <v>1214</v>
      </c>
      <c r="M844">
        <v>0</v>
      </c>
      <c r="N844">
        <v>0</v>
      </c>
      <c r="S844">
        <v>255</v>
      </c>
      <c r="T844">
        <v>0</v>
      </c>
      <c r="V844">
        <v>0</v>
      </c>
      <c r="W844" s="21">
        <v>0</v>
      </c>
      <c r="X844">
        <v>0</v>
      </c>
      <c r="Y844" s="21">
        <v>0</v>
      </c>
    </row>
    <row r="845" spans="1:25" x14ac:dyDescent="0.25">
      <c r="A845">
        <f t="shared" si="13"/>
        <v>844</v>
      </c>
      <c r="E845" t="s">
        <v>1022</v>
      </c>
      <c r="F845" t="s">
        <v>1209</v>
      </c>
      <c r="G845" t="s">
        <v>1285</v>
      </c>
      <c r="H845" t="s">
        <v>1081</v>
      </c>
      <c r="I845" t="s">
        <v>1215</v>
      </c>
      <c r="J845" t="s">
        <v>1216</v>
      </c>
      <c r="K845" t="s">
        <v>1154</v>
      </c>
      <c r="M845">
        <v>0</v>
      </c>
      <c r="N845">
        <v>0</v>
      </c>
      <c r="S845">
        <v>500</v>
      </c>
      <c r="T845">
        <v>0</v>
      </c>
      <c r="V845">
        <v>0</v>
      </c>
      <c r="W845" s="21">
        <v>0</v>
      </c>
      <c r="X845">
        <v>0</v>
      </c>
      <c r="Y845" s="21">
        <v>0</v>
      </c>
    </row>
    <row r="846" spans="1:25" x14ac:dyDescent="0.25">
      <c r="A846">
        <f t="shared" si="13"/>
        <v>845</v>
      </c>
      <c r="E846" t="s">
        <v>1023</v>
      </c>
      <c r="F846" t="s">
        <v>1209</v>
      </c>
      <c r="G846" t="s">
        <v>1285</v>
      </c>
      <c r="H846" t="s">
        <v>1081</v>
      </c>
      <c r="I846" t="s">
        <v>275</v>
      </c>
      <c r="J846" t="s">
        <v>1217</v>
      </c>
      <c r="K846" t="s">
        <v>1140</v>
      </c>
      <c r="M846">
        <v>0</v>
      </c>
      <c r="N846">
        <v>0</v>
      </c>
      <c r="S846">
        <v>363</v>
      </c>
      <c r="T846">
        <v>0</v>
      </c>
      <c r="V846">
        <v>0</v>
      </c>
      <c r="W846" s="21">
        <v>0</v>
      </c>
      <c r="X846">
        <v>0</v>
      </c>
      <c r="Y846" s="21">
        <v>0</v>
      </c>
    </row>
    <row r="847" spans="1:25" x14ac:dyDescent="0.25">
      <c r="A847">
        <f t="shared" si="13"/>
        <v>846</v>
      </c>
      <c r="E847" t="s">
        <v>1023</v>
      </c>
      <c r="F847" t="s">
        <v>1218</v>
      </c>
      <c r="G847" t="s">
        <v>1285</v>
      </c>
      <c r="H847" t="s">
        <v>1081</v>
      </c>
      <c r="I847" t="s">
        <v>1219</v>
      </c>
      <c r="J847" t="s">
        <v>290</v>
      </c>
      <c r="K847" t="s">
        <v>1082</v>
      </c>
      <c r="M847">
        <v>0</v>
      </c>
      <c r="N847">
        <v>0</v>
      </c>
      <c r="S847">
        <v>264</v>
      </c>
      <c r="T847">
        <v>0</v>
      </c>
      <c r="V847">
        <v>0</v>
      </c>
      <c r="W847" s="21">
        <v>0</v>
      </c>
      <c r="X847">
        <v>0</v>
      </c>
      <c r="Y847" s="21">
        <v>0</v>
      </c>
    </row>
    <row r="848" spans="1:25" x14ac:dyDescent="0.25">
      <c r="A848">
        <f t="shared" si="13"/>
        <v>847</v>
      </c>
      <c r="E848" t="s">
        <v>1024</v>
      </c>
      <c r="F848" t="s">
        <v>1209</v>
      </c>
      <c r="G848" t="s">
        <v>1285</v>
      </c>
      <c r="H848" t="s">
        <v>1081</v>
      </c>
      <c r="I848" t="s">
        <v>275</v>
      </c>
      <c r="J848" t="s">
        <v>1220</v>
      </c>
      <c r="K848" t="s">
        <v>1088</v>
      </c>
      <c r="M848">
        <v>0</v>
      </c>
      <c r="N848">
        <v>0</v>
      </c>
      <c r="S848">
        <v>527</v>
      </c>
      <c r="T848">
        <v>0</v>
      </c>
      <c r="V848">
        <v>0</v>
      </c>
      <c r="W848" s="21">
        <v>0</v>
      </c>
      <c r="X848">
        <v>0</v>
      </c>
      <c r="Y848" s="21">
        <v>0</v>
      </c>
    </row>
    <row r="849" spans="1:25" x14ac:dyDescent="0.25">
      <c r="A849">
        <f t="shared" si="13"/>
        <v>848</v>
      </c>
      <c r="E849" t="s">
        <v>1711</v>
      </c>
      <c r="F849" t="s">
        <v>1712</v>
      </c>
      <c r="G849" t="s">
        <v>1285</v>
      </c>
      <c r="H849" t="s">
        <v>1138</v>
      </c>
      <c r="I849" t="s">
        <v>350</v>
      </c>
      <c r="J849" t="s">
        <v>1713</v>
      </c>
      <c r="K849" t="s">
        <v>1714</v>
      </c>
      <c r="M849">
        <v>0</v>
      </c>
      <c r="N849">
        <v>0</v>
      </c>
      <c r="O849" t="s">
        <v>1088</v>
      </c>
      <c r="S849">
        <v>224</v>
      </c>
      <c r="T849">
        <v>0</v>
      </c>
      <c r="V849">
        <v>0</v>
      </c>
      <c r="W849" s="21">
        <v>0</v>
      </c>
      <c r="X849">
        <v>9216</v>
      </c>
      <c r="Y849" s="21">
        <v>0</v>
      </c>
    </row>
    <row r="850" spans="1:25" x14ac:dyDescent="0.25">
      <c r="A850">
        <f t="shared" si="13"/>
        <v>849</v>
      </c>
      <c r="E850" t="s">
        <v>1711</v>
      </c>
      <c r="F850" t="s">
        <v>1715</v>
      </c>
      <c r="G850" t="s">
        <v>1285</v>
      </c>
      <c r="H850" t="s">
        <v>1138</v>
      </c>
      <c r="I850" t="s">
        <v>350</v>
      </c>
      <c r="J850" t="s">
        <v>1713</v>
      </c>
      <c r="K850" t="s">
        <v>1714</v>
      </c>
      <c r="M850">
        <v>0</v>
      </c>
      <c r="N850">
        <v>0</v>
      </c>
      <c r="O850" t="s">
        <v>1088</v>
      </c>
      <c r="S850">
        <v>224</v>
      </c>
      <c r="T850">
        <v>0</v>
      </c>
      <c r="V850">
        <v>0</v>
      </c>
      <c r="W850" s="21">
        <v>0</v>
      </c>
      <c r="X850">
        <v>9216</v>
      </c>
      <c r="Y850" s="21">
        <v>0</v>
      </c>
    </row>
    <row r="851" spans="1:25" x14ac:dyDescent="0.25">
      <c r="A851">
        <f t="shared" si="13"/>
        <v>850</v>
      </c>
      <c r="E851" t="s">
        <v>1711</v>
      </c>
      <c r="F851" t="s">
        <v>1716</v>
      </c>
      <c r="G851" t="s">
        <v>1285</v>
      </c>
      <c r="H851" t="s">
        <v>1138</v>
      </c>
      <c r="I851" t="s">
        <v>350</v>
      </c>
      <c r="J851" t="s">
        <v>1713</v>
      </c>
      <c r="K851" t="s">
        <v>1714</v>
      </c>
      <c r="M851">
        <v>0</v>
      </c>
      <c r="N851">
        <v>0</v>
      </c>
      <c r="O851" t="s">
        <v>1088</v>
      </c>
      <c r="S851">
        <v>380</v>
      </c>
      <c r="T851">
        <v>0</v>
      </c>
      <c r="V851">
        <v>0</v>
      </c>
      <c r="W851" s="21">
        <v>0</v>
      </c>
      <c r="X851">
        <v>15621</v>
      </c>
      <c r="Y851" s="21">
        <v>0</v>
      </c>
    </row>
    <row r="852" spans="1:25" x14ac:dyDescent="0.25">
      <c r="A852">
        <f t="shared" si="13"/>
        <v>851</v>
      </c>
      <c r="E852" t="s">
        <v>1717</v>
      </c>
      <c r="F852" t="s">
        <v>1718</v>
      </c>
      <c r="G852" t="s">
        <v>1285</v>
      </c>
      <c r="H852" t="s">
        <v>1138</v>
      </c>
      <c r="I852" t="s">
        <v>350</v>
      </c>
      <c r="J852" t="s">
        <v>1713</v>
      </c>
      <c r="K852" t="s">
        <v>1714</v>
      </c>
      <c r="M852">
        <v>0</v>
      </c>
      <c r="N852">
        <v>0</v>
      </c>
      <c r="O852" t="s">
        <v>1088</v>
      </c>
      <c r="S852">
        <v>459</v>
      </c>
      <c r="T852">
        <v>0</v>
      </c>
      <c r="V852">
        <v>0</v>
      </c>
      <c r="W852" s="21">
        <v>0</v>
      </c>
      <c r="X852">
        <v>18835</v>
      </c>
      <c r="Y852" s="21">
        <v>0</v>
      </c>
    </row>
    <row r="853" spans="1:25" x14ac:dyDescent="0.25">
      <c r="A853">
        <f t="shared" si="13"/>
        <v>852</v>
      </c>
      <c r="E853" t="s">
        <v>1711</v>
      </c>
      <c r="F853" t="s">
        <v>1719</v>
      </c>
      <c r="G853" t="s">
        <v>1285</v>
      </c>
      <c r="H853" t="s">
        <v>1138</v>
      </c>
      <c r="I853" t="s">
        <v>350</v>
      </c>
      <c r="J853" t="s">
        <v>1713</v>
      </c>
      <c r="K853" t="s">
        <v>1714</v>
      </c>
      <c r="M853">
        <v>0</v>
      </c>
      <c r="N853">
        <v>0</v>
      </c>
      <c r="O853" t="s">
        <v>1088</v>
      </c>
      <c r="S853">
        <v>463</v>
      </c>
      <c r="T853">
        <v>0</v>
      </c>
      <c r="V853">
        <v>0</v>
      </c>
      <c r="W853" s="21">
        <v>0</v>
      </c>
      <c r="X853">
        <v>19023</v>
      </c>
      <c r="Y853" s="21">
        <v>0</v>
      </c>
    </row>
    <row r="854" spans="1:25" x14ac:dyDescent="0.25">
      <c r="A854">
        <f t="shared" si="13"/>
        <v>853</v>
      </c>
      <c r="E854" t="s">
        <v>1711</v>
      </c>
      <c r="F854" t="s">
        <v>1720</v>
      </c>
      <c r="G854" t="s">
        <v>1285</v>
      </c>
      <c r="H854" t="s">
        <v>1721</v>
      </c>
      <c r="I854" t="s">
        <v>350</v>
      </c>
      <c r="J854" t="s">
        <v>1713</v>
      </c>
      <c r="K854" t="s">
        <v>1722</v>
      </c>
      <c r="M854">
        <v>0</v>
      </c>
      <c r="N854">
        <v>0</v>
      </c>
      <c r="O854" t="s">
        <v>1088</v>
      </c>
      <c r="S854">
        <v>465</v>
      </c>
      <c r="T854">
        <v>0</v>
      </c>
      <c r="V854">
        <v>0</v>
      </c>
      <c r="W854" s="21">
        <v>0</v>
      </c>
      <c r="X854">
        <v>19080</v>
      </c>
      <c r="Y854" s="21">
        <v>0</v>
      </c>
    </row>
    <row r="855" spans="1:25" x14ac:dyDescent="0.25">
      <c r="A855">
        <f t="shared" si="13"/>
        <v>854</v>
      </c>
      <c r="E855" t="s">
        <v>1711</v>
      </c>
      <c r="F855" t="s">
        <v>1723</v>
      </c>
      <c r="G855" t="s">
        <v>1285</v>
      </c>
      <c r="H855" t="s">
        <v>1724</v>
      </c>
      <c r="I855" t="s">
        <v>350</v>
      </c>
      <c r="J855" t="s">
        <v>1713</v>
      </c>
      <c r="K855" t="s">
        <v>1725</v>
      </c>
      <c r="M855">
        <v>0</v>
      </c>
      <c r="N855">
        <v>0</v>
      </c>
      <c r="O855" t="s">
        <v>1088</v>
      </c>
      <c r="S855">
        <v>488</v>
      </c>
      <c r="T855">
        <v>0</v>
      </c>
      <c r="V855">
        <v>0</v>
      </c>
      <c r="W855" s="21">
        <v>0</v>
      </c>
      <c r="X855">
        <v>20031</v>
      </c>
      <c r="Y855" s="21">
        <v>0</v>
      </c>
    </row>
    <row r="856" spans="1:25" x14ac:dyDescent="0.25">
      <c r="A856">
        <f t="shared" si="13"/>
        <v>855</v>
      </c>
      <c r="E856" t="s">
        <v>1711</v>
      </c>
      <c r="F856" t="s">
        <v>1726</v>
      </c>
      <c r="G856" t="s">
        <v>1285</v>
      </c>
      <c r="H856" t="s">
        <v>1727</v>
      </c>
      <c r="I856" t="s">
        <v>350</v>
      </c>
      <c r="J856" t="s">
        <v>1713</v>
      </c>
      <c r="K856" t="s">
        <v>1728</v>
      </c>
      <c r="M856">
        <v>0</v>
      </c>
      <c r="N856">
        <v>0</v>
      </c>
      <c r="O856" t="s">
        <v>1088</v>
      </c>
      <c r="S856">
        <v>887</v>
      </c>
      <c r="T856">
        <v>0</v>
      </c>
      <c r="V856">
        <v>0</v>
      </c>
      <c r="W856" s="21">
        <v>0</v>
      </c>
      <c r="X856">
        <v>25561</v>
      </c>
      <c r="Y856" s="21">
        <v>0</v>
      </c>
    </row>
    <row r="857" spans="1:25" x14ac:dyDescent="0.25">
      <c r="A857">
        <f t="shared" si="13"/>
        <v>856</v>
      </c>
      <c r="E857" t="s">
        <v>1711</v>
      </c>
      <c r="F857" t="s">
        <v>1729</v>
      </c>
      <c r="G857" t="s">
        <v>1285</v>
      </c>
      <c r="H857" t="s">
        <v>1730</v>
      </c>
      <c r="I857" t="s">
        <v>350</v>
      </c>
      <c r="J857" t="s">
        <v>1713</v>
      </c>
      <c r="K857" t="s">
        <v>1731</v>
      </c>
      <c r="M857">
        <v>0</v>
      </c>
      <c r="N857">
        <v>0</v>
      </c>
      <c r="O857" t="s">
        <v>1088</v>
      </c>
      <c r="S857">
        <v>195</v>
      </c>
      <c r="T857">
        <v>0</v>
      </c>
      <c r="V857">
        <v>0</v>
      </c>
      <c r="W857" s="21">
        <v>0</v>
      </c>
      <c r="X857">
        <v>5627</v>
      </c>
      <c r="Y857" s="21">
        <v>0</v>
      </c>
    </row>
    <row r="858" spans="1:25" x14ac:dyDescent="0.25">
      <c r="A858">
        <f t="shared" si="13"/>
        <v>857</v>
      </c>
      <c r="E858" t="s">
        <v>1711</v>
      </c>
      <c r="F858" t="s">
        <v>1732</v>
      </c>
      <c r="G858" t="s">
        <v>1285</v>
      </c>
      <c r="H858" t="s">
        <v>1733</v>
      </c>
      <c r="I858" t="s">
        <v>350</v>
      </c>
      <c r="J858" t="s">
        <v>1713</v>
      </c>
      <c r="K858" t="s">
        <v>1734</v>
      </c>
      <c r="M858">
        <v>0</v>
      </c>
      <c r="N858">
        <v>0</v>
      </c>
      <c r="O858" t="s">
        <v>1088</v>
      </c>
      <c r="S858">
        <v>195</v>
      </c>
      <c r="T858">
        <v>0</v>
      </c>
      <c r="V858">
        <v>0</v>
      </c>
      <c r="W858" s="21">
        <v>0</v>
      </c>
      <c r="X858">
        <v>5627</v>
      </c>
      <c r="Y858" s="21">
        <v>0</v>
      </c>
    </row>
    <row r="859" spans="1:25" x14ac:dyDescent="0.25">
      <c r="A859">
        <f t="shared" si="13"/>
        <v>858</v>
      </c>
      <c r="E859" t="s">
        <v>1711</v>
      </c>
      <c r="F859" t="s">
        <v>1735</v>
      </c>
      <c r="G859" t="s">
        <v>1285</v>
      </c>
      <c r="H859" t="s">
        <v>1736</v>
      </c>
      <c r="I859" t="s">
        <v>350</v>
      </c>
      <c r="J859" t="s">
        <v>1713</v>
      </c>
      <c r="K859" t="s">
        <v>1737</v>
      </c>
      <c r="M859">
        <v>0</v>
      </c>
      <c r="N859">
        <v>0</v>
      </c>
      <c r="O859" t="s">
        <v>1088</v>
      </c>
      <c r="S859">
        <v>318</v>
      </c>
      <c r="T859">
        <v>0</v>
      </c>
      <c r="V859">
        <v>0</v>
      </c>
      <c r="W859" s="21">
        <v>0</v>
      </c>
      <c r="X859">
        <v>9112</v>
      </c>
      <c r="Y859" s="21">
        <v>0</v>
      </c>
    </row>
    <row r="860" spans="1:25" x14ac:dyDescent="0.25">
      <c r="A860">
        <f t="shared" si="13"/>
        <v>859</v>
      </c>
      <c r="E860" t="s">
        <v>1711</v>
      </c>
      <c r="F860" t="s">
        <v>1738</v>
      </c>
      <c r="G860" t="s">
        <v>1285</v>
      </c>
      <c r="H860" t="s">
        <v>1739</v>
      </c>
      <c r="I860" t="s">
        <v>350</v>
      </c>
      <c r="J860" t="s">
        <v>1713</v>
      </c>
      <c r="K860" t="s">
        <v>1740</v>
      </c>
      <c r="M860">
        <v>0</v>
      </c>
      <c r="N860">
        <v>0</v>
      </c>
      <c r="O860" t="s">
        <v>1088</v>
      </c>
      <c r="S860">
        <v>390</v>
      </c>
      <c r="T860">
        <v>0</v>
      </c>
      <c r="V860">
        <v>0</v>
      </c>
      <c r="W860" s="21">
        <v>0</v>
      </c>
      <c r="X860">
        <v>11254</v>
      </c>
      <c r="Y860" s="21">
        <v>0</v>
      </c>
    </row>
    <row r="861" spans="1:25" x14ac:dyDescent="0.25">
      <c r="A861">
        <f t="shared" si="13"/>
        <v>860</v>
      </c>
      <c r="E861" t="s">
        <v>1711</v>
      </c>
      <c r="F861" t="s">
        <v>1741</v>
      </c>
      <c r="G861" t="s">
        <v>1285</v>
      </c>
      <c r="H861" t="s">
        <v>1742</v>
      </c>
      <c r="I861" t="s">
        <v>350</v>
      </c>
      <c r="J861" t="s">
        <v>1713</v>
      </c>
      <c r="K861" t="s">
        <v>1743</v>
      </c>
      <c r="M861">
        <v>0</v>
      </c>
      <c r="N861">
        <v>0</v>
      </c>
      <c r="O861" t="s">
        <v>1088</v>
      </c>
      <c r="S861">
        <v>498</v>
      </c>
      <c r="T861">
        <v>0</v>
      </c>
      <c r="V861">
        <v>0</v>
      </c>
      <c r="W861" s="21">
        <v>0</v>
      </c>
      <c r="X861">
        <v>13831</v>
      </c>
      <c r="Y861" s="21">
        <v>0</v>
      </c>
    </row>
    <row r="862" spans="1:25" x14ac:dyDescent="0.25">
      <c r="A862">
        <f t="shared" si="13"/>
        <v>861</v>
      </c>
      <c r="E862" t="s">
        <v>1025</v>
      </c>
      <c r="F862" t="s">
        <v>680</v>
      </c>
      <c r="G862" t="s">
        <v>1285</v>
      </c>
      <c r="H862" t="s">
        <v>1221</v>
      </c>
      <c r="I862" t="s">
        <v>618</v>
      </c>
      <c r="J862" t="s">
        <v>618</v>
      </c>
      <c r="K862" t="s">
        <v>1222</v>
      </c>
      <c r="M862">
        <v>0</v>
      </c>
      <c r="N862">
        <v>0</v>
      </c>
      <c r="O862" t="s">
        <v>1046</v>
      </c>
      <c r="S862">
        <v>143</v>
      </c>
      <c r="T862">
        <v>0</v>
      </c>
      <c r="V862">
        <v>0</v>
      </c>
      <c r="W862" s="21">
        <v>0</v>
      </c>
      <c r="X862">
        <v>8371</v>
      </c>
      <c r="Y862" s="21">
        <v>1942.48</v>
      </c>
    </row>
    <row r="863" spans="1:25" x14ac:dyDescent="0.25">
      <c r="A863">
        <f t="shared" si="13"/>
        <v>862</v>
      </c>
      <c r="F863" t="s">
        <v>1223</v>
      </c>
      <c r="G863" t="s">
        <v>1285</v>
      </c>
      <c r="H863" t="s">
        <v>1224</v>
      </c>
      <c r="I863" t="s">
        <v>979</v>
      </c>
      <c r="J863" t="s">
        <v>1225</v>
      </c>
      <c r="K863" t="s">
        <v>1226</v>
      </c>
      <c r="M863">
        <v>0</v>
      </c>
      <c r="N863">
        <v>0</v>
      </c>
      <c r="S863">
        <v>1132</v>
      </c>
      <c r="T863">
        <v>0</v>
      </c>
      <c r="V863">
        <v>0</v>
      </c>
      <c r="W863" s="21">
        <v>0</v>
      </c>
      <c r="X863">
        <v>34866</v>
      </c>
      <c r="Y863" s="21">
        <v>4000</v>
      </c>
    </row>
    <row r="864" spans="1:25" x14ac:dyDescent="0.25">
      <c r="A864">
        <f t="shared" si="13"/>
        <v>863</v>
      </c>
      <c r="E864" t="s">
        <v>272</v>
      </c>
      <c r="F864" t="s">
        <v>1080</v>
      </c>
      <c r="G864" t="s">
        <v>1285</v>
      </c>
      <c r="H864" t="s">
        <v>1081</v>
      </c>
      <c r="I864" t="s">
        <v>275</v>
      </c>
      <c r="J864" t="s">
        <v>829</v>
      </c>
      <c r="K864" t="s">
        <v>1082</v>
      </c>
      <c r="M864">
        <v>0</v>
      </c>
      <c r="N864">
        <v>0</v>
      </c>
      <c r="O864" t="s">
        <v>1063</v>
      </c>
      <c r="S864">
        <v>0</v>
      </c>
      <c r="T864">
        <v>0</v>
      </c>
      <c r="V864">
        <v>0</v>
      </c>
      <c r="W864" s="21">
        <v>0</v>
      </c>
      <c r="X864">
        <v>0</v>
      </c>
      <c r="Y864" s="21">
        <v>0</v>
      </c>
    </row>
    <row r="865" spans="1:37" x14ac:dyDescent="0.25">
      <c r="A865">
        <f t="shared" si="13"/>
        <v>864</v>
      </c>
      <c r="G865" t="s">
        <v>1285</v>
      </c>
      <c r="M865">
        <v>0</v>
      </c>
      <c r="N865">
        <v>0</v>
      </c>
      <c r="S865">
        <v>0</v>
      </c>
      <c r="T865">
        <v>0</v>
      </c>
      <c r="V865">
        <v>0</v>
      </c>
      <c r="W865" s="21">
        <v>0</v>
      </c>
      <c r="X865">
        <v>0</v>
      </c>
      <c r="Y865" s="21">
        <v>0</v>
      </c>
    </row>
    <row r="866" spans="1:37" x14ac:dyDescent="0.25">
      <c r="A866">
        <f t="shared" si="13"/>
        <v>865</v>
      </c>
      <c r="G866" t="s">
        <v>1285</v>
      </c>
      <c r="M866">
        <v>0</v>
      </c>
      <c r="N866">
        <v>0</v>
      </c>
      <c r="S866">
        <v>0</v>
      </c>
      <c r="T866">
        <v>0</v>
      </c>
      <c r="V866">
        <v>0</v>
      </c>
      <c r="W866" s="21">
        <v>0</v>
      </c>
      <c r="X866">
        <v>0</v>
      </c>
      <c r="Y866" s="21">
        <v>0</v>
      </c>
    </row>
    <row r="867" spans="1:37" x14ac:dyDescent="0.25">
      <c r="A867">
        <f t="shared" si="13"/>
        <v>866</v>
      </c>
      <c r="G867" t="s">
        <v>1285</v>
      </c>
      <c r="M867">
        <v>0</v>
      </c>
      <c r="N867">
        <v>0</v>
      </c>
      <c r="S867">
        <v>0</v>
      </c>
      <c r="T867">
        <v>0</v>
      </c>
      <c r="V867">
        <v>0</v>
      </c>
      <c r="W867" s="21">
        <v>0</v>
      </c>
      <c r="X867">
        <v>0</v>
      </c>
      <c r="Y867" s="21">
        <v>0</v>
      </c>
    </row>
    <row r="868" spans="1:37" x14ac:dyDescent="0.25">
      <c r="C868" t="s">
        <v>2000</v>
      </c>
      <c r="D868" t="s">
        <v>30</v>
      </c>
      <c r="E868" t="s">
        <v>30</v>
      </c>
      <c r="F868" t="s">
        <v>30</v>
      </c>
      <c r="W868" s="21"/>
      <c r="Y868" s="21"/>
      <c r="AK868" s="28"/>
    </row>
  </sheetData>
  <phoneticPr fontId="7" type="noConversion"/>
  <pageMargins left="0.7" right="0.7" top="0.78740157499999996" bottom="0.78740157499999996" header="0.3" footer="0.3"/>
  <pageSetup paperSize="9" orientation="portrait" horizontalDpi="4294967293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0FE1A-1FA7-4743-87BB-9F9791F4FAA3}">
  <sheetPr codeName="Tabelle6"/>
  <dimension ref="A1:H3"/>
  <sheetViews>
    <sheetView workbookViewId="0"/>
  </sheetViews>
  <sheetFormatPr baseColWidth="10" defaultRowHeight="15" x14ac:dyDescent="0.25"/>
  <cols>
    <col min="1" max="1" width="6" customWidth="1"/>
    <col min="2" max="2" width="5.5703125" customWidth="1"/>
    <col min="3" max="3" width="14.5703125" customWidth="1"/>
    <col min="4" max="4" width="26" customWidth="1"/>
    <col min="5" max="5" width="17.85546875" customWidth="1"/>
    <col min="6" max="6" width="30" bestFit="1" customWidth="1"/>
    <col min="7" max="7" width="15.42578125" customWidth="1"/>
    <col min="8" max="8" width="12.7109375" customWidth="1"/>
  </cols>
  <sheetData>
    <row r="1" spans="1:8" x14ac:dyDescent="0.25">
      <c r="A1" s="6" t="s">
        <v>7</v>
      </c>
      <c r="B1" s="6" t="s">
        <v>14</v>
      </c>
      <c r="C1" s="6" t="s">
        <v>5</v>
      </c>
      <c r="D1" s="6" t="s">
        <v>4</v>
      </c>
      <c r="E1" s="6" t="s">
        <v>18</v>
      </c>
      <c r="F1" s="6" t="s">
        <v>6</v>
      </c>
      <c r="G1" s="6" t="s">
        <v>2</v>
      </c>
      <c r="H1" s="6" t="s">
        <v>3</v>
      </c>
    </row>
    <row r="2" spans="1:8" x14ac:dyDescent="0.25">
      <c r="A2">
        <f>ROW(A2)-1</f>
        <v>1</v>
      </c>
      <c r="C2" t="s">
        <v>30</v>
      </c>
    </row>
    <row r="3" spans="1:8" x14ac:dyDescent="0.25">
      <c r="A3">
        <f>ROW(A3)-1</f>
        <v>2</v>
      </c>
      <c r="C3" t="s">
        <v>30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6DB1A-7025-4C3C-A74B-20A2136545D7}">
  <sheetPr codeName="Tabelle7"/>
  <dimension ref="A1:S19"/>
  <sheetViews>
    <sheetView workbookViewId="0"/>
  </sheetViews>
  <sheetFormatPr baseColWidth="10" defaultRowHeight="15" x14ac:dyDescent="0.25"/>
  <cols>
    <col min="2" max="2" width="7.7109375" customWidth="1"/>
    <col min="3" max="3" width="19" bestFit="1" customWidth="1"/>
    <col min="4" max="4" width="21.7109375" bestFit="1" customWidth="1"/>
    <col min="5" max="5" width="29.7109375" bestFit="1" customWidth="1"/>
    <col min="6" max="6" width="41.42578125" bestFit="1" customWidth="1"/>
    <col min="7" max="7" width="22.28515625" bestFit="1" customWidth="1"/>
    <col min="8" max="8" width="14.28515625" customWidth="1"/>
    <col min="9" max="9" width="5.7109375" customWidth="1"/>
    <col min="10" max="10" width="13.28515625" bestFit="1" customWidth="1"/>
    <col min="11" max="11" width="31.7109375" bestFit="1" customWidth="1"/>
    <col min="12" max="12" width="18.7109375" bestFit="1" customWidth="1"/>
    <col min="13" max="13" width="23.28515625" bestFit="1" customWidth="1"/>
    <col min="14" max="14" width="29.85546875" customWidth="1"/>
  </cols>
  <sheetData>
    <row r="1" spans="1:19" x14ac:dyDescent="0.25">
      <c r="A1" s="6" t="s">
        <v>0</v>
      </c>
      <c r="B1" s="6" t="s">
        <v>8</v>
      </c>
      <c r="C1" s="6" t="s">
        <v>15</v>
      </c>
      <c r="D1" s="6" t="s">
        <v>10</v>
      </c>
      <c r="E1" s="6" t="s">
        <v>19</v>
      </c>
      <c r="F1" s="6" t="s">
        <v>9</v>
      </c>
      <c r="G1" s="6" t="s">
        <v>11</v>
      </c>
      <c r="H1" s="6" t="s">
        <v>20</v>
      </c>
      <c r="I1" s="6" t="s">
        <v>12</v>
      </c>
      <c r="J1" s="6" t="s">
        <v>13</v>
      </c>
      <c r="K1" s="6" t="s">
        <v>21</v>
      </c>
      <c r="L1" s="6" t="s">
        <v>1</v>
      </c>
      <c r="M1" s="6" t="s">
        <v>16</v>
      </c>
      <c r="N1" s="6" t="s">
        <v>22</v>
      </c>
      <c r="O1" s="6" t="s">
        <v>23</v>
      </c>
    </row>
    <row r="2" spans="1:19" ht="30" x14ac:dyDescent="0.25">
      <c r="A2">
        <f>ROW(A2)-1</f>
        <v>1</v>
      </c>
      <c r="B2" t="s">
        <v>95</v>
      </c>
      <c r="C2" t="s">
        <v>96</v>
      </c>
      <c r="D2" t="s">
        <v>97</v>
      </c>
      <c r="E2" t="s">
        <v>98</v>
      </c>
      <c r="F2">
        <v>6644530783</v>
      </c>
      <c r="G2" s="14" t="s">
        <v>99</v>
      </c>
      <c r="H2" t="s">
        <v>100</v>
      </c>
      <c r="I2" s="1" t="s">
        <v>101</v>
      </c>
      <c r="J2" t="s">
        <v>97</v>
      </c>
      <c r="L2" t="s">
        <v>102</v>
      </c>
      <c r="M2" t="s">
        <v>103</v>
      </c>
      <c r="N2" t="s">
        <v>104</v>
      </c>
    </row>
    <row r="3" spans="1:19" ht="45" x14ac:dyDescent="0.25">
      <c r="A3">
        <f>ROW(A3)-1</f>
        <v>2</v>
      </c>
      <c r="B3" t="s">
        <v>105</v>
      </c>
      <c r="C3" t="s">
        <v>96</v>
      </c>
      <c r="D3" t="s">
        <v>106</v>
      </c>
      <c r="E3" t="s">
        <v>107</v>
      </c>
      <c r="F3" t="s">
        <v>108</v>
      </c>
      <c r="G3" s="14" t="s">
        <v>109</v>
      </c>
      <c r="H3" t="s">
        <v>100</v>
      </c>
      <c r="I3" s="1" t="s">
        <v>110</v>
      </c>
      <c r="J3" t="s">
        <v>97</v>
      </c>
      <c r="L3" t="s">
        <v>111</v>
      </c>
      <c r="M3" t="s">
        <v>112</v>
      </c>
      <c r="N3" t="s">
        <v>104</v>
      </c>
    </row>
    <row r="4" spans="1:19" x14ac:dyDescent="0.25">
      <c r="A4">
        <f>ROW(A4)-1</f>
        <v>3</v>
      </c>
      <c r="B4" t="s">
        <v>113</v>
      </c>
      <c r="C4" t="s">
        <v>96</v>
      </c>
      <c r="D4" s="14" t="s">
        <v>114</v>
      </c>
      <c r="G4" s="14" t="s">
        <v>115</v>
      </c>
      <c r="I4" s="1"/>
    </row>
    <row r="9" spans="1:19" x14ac:dyDescent="0.25"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1:19" x14ac:dyDescent="0.25">
      <c r="F10" s="3"/>
      <c r="G10" s="3"/>
      <c r="H10" s="3"/>
      <c r="I10" s="3"/>
      <c r="J10" s="3"/>
      <c r="K10" s="4"/>
      <c r="L10" s="3"/>
      <c r="M10" s="3"/>
      <c r="N10" s="3"/>
      <c r="O10" s="3"/>
      <c r="P10" s="3"/>
      <c r="Q10" s="3"/>
      <c r="R10" s="3"/>
      <c r="S10" s="3"/>
    </row>
    <row r="11" spans="1:19" x14ac:dyDescent="0.25">
      <c r="F11" s="3"/>
      <c r="G11" s="3"/>
      <c r="H11" s="3"/>
      <c r="I11" s="3"/>
      <c r="J11" s="3"/>
      <c r="K11" s="4"/>
      <c r="L11" s="3"/>
      <c r="M11" s="3"/>
      <c r="N11" s="3"/>
      <c r="O11" s="3"/>
      <c r="P11" s="3"/>
      <c r="Q11" s="3"/>
      <c r="R11" s="3"/>
      <c r="S11" s="3"/>
    </row>
    <row r="12" spans="1:19" x14ac:dyDescent="0.25">
      <c r="F12" s="3"/>
      <c r="G12" s="3"/>
      <c r="H12" s="3"/>
      <c r="I12" s="3"/>
      <c r="J12" s="3"/>
      <c r="K12" s="4"/>
      <c r="L12" s="3"/>
      <c r="M12" s="3"/>
      <c r="N12" s="3"/>
      <c r="O12" s="3"/>
      <c r="P12" s="3"/>
      <c r="Q12" s="3"/>
      <c r="R12" s="3"/>
      <c r="S12" s="3"/>
    </row>
    <row r="13" spans="1:19" x14ac:dyDescent="0.25">
      <c r="F13" s="3"/>
      <c r="G13" s="3"/>
      <c r="H13" s="3"/>
      <c r="I13" s="3"/>
      <c r="J13" s="3"/>
      <c r="K13" s="4"/>
      <c r="L13" s="3"/>
      <c r="M13" s="3"/>
      <c r="N13" s="3"/>
      <c r="O13" s="3"/>
      <c r="P13" s="3"/>
      <c r="Q13" s="3"/>
      <c r="R13" s="3"/>
      <c r="S13" s="3"/>
    </row>
    <row r="14" spans="1:19" x14ac:dyDescent="0.25">
      <c r="F14" s="3"/>
      <c r="G14" s="3"/>
      <c r="H14" s="3"/>
      <c r="I14" s="3"/>
      <c r="J14" s="3"/>
      <c r="K14" s="4"/>
      <c r="L14" s="3"/>
      <c r="M14" s="3"/>
      <c r="N14" s="3"/>
      <c r="O14" s="3"/>
      <c r="P14" s="3"/>
      <c r="Q14" s="3"/>
      <c r="R14" s="3"/>
      <c r="S14" s="3"/>
    </row>
    <row r="15" spans="1:19" x14ac:dyDescent="0.25">
      <c r="F15" s="3"/>
      <c r="G15" s="3"/>
      <c r="H15" s="3"/>
      <c r="I15" s="3"/>
      <c r="J15" s="3"/>
      <c r="K15" s="4"/>
      <c r="L15" s="3"/>
      <c r="M15" s="3"/>
      <c r="N15" s="3"/>
      <c r="O15" s="3"/>
      <c r="P15" s="3"/>
      <c r="Q15" s="3"/>
      <c r="R15" s="3"/>
      <c r="S15" s="3"/>
    </row>
    <row r="16" spans="1:19" x14ac:dyDescent="0.25">
      <c r="F16" s="3"/>
      <c r="G16" s="3"/>
      <c r="H16" s="3"/>
      <c r="I16" s="3"/>
      <c r="J16" s="3"/>
      <c r="K16" s="4"/>
      <c r="L16" s="3"/>
      <c r="M16" s="3"/>
      <c r="N16" s="3"/>
      <c r="O16" s="3"/>
      <c r="P16" s="3"/>
      <c r="Q16" s="3"/>
      <c r="R16" s="3"/>
      <c r="S16" s="3"/>
    </row>
    <row r="17" spans="6:19" x14ac:dyDescent="0.25">
      <c r="F17" s="3"/>
      <c r="G17" s="3"/>
      <c r="H17" s="3"/>
      <c r="I17" s="3"/>
      <c r="J17" s="3"/>
      <c r="K17" s="4"/>
      <c r="L17" s="3"/>
      <c r="M17" s="3"/>
      <c r="N17" s="3"/>
      <c r="O17" s="3"/>
      <c r="P17" s="3"/>
      <c r="Q17" s="3"/>
      <c r="R17" s="3"/>
      <c r="S17" s="3"/>
    </row>
    <row r="18" spans="6:19" x14ac:dyDescent="0.25">
      <c r="F18" s="3"/>
      <c r="G18" s="3"/>
      <c r="H18" s="3"/>
      <c r="I18" s="3"/>
      <c r="J18" s="3"/>
      <c r="K18" s="4"/>
      <c r="L18" s="3"/>
      <c r="M18" s="3"/>
      <c r="N18" s="3"/>
      <c r="O18" s="3"/>
      <c r="P18" s="3"/>
      <c r="Q18" s="3"/>
      <c r="R18" s="3"/>
      <c r="S18" s="3"/>
    </row>
    <row r="19" spans="6:19" x14ac:dyDescent="0.25">
      <c r="F19" s="3"/>
      <c r="G19" s="3"/>
      <c r="H19" s="3"/>
      <c r="I19" s="3"/>
      <c r="J19" s="3"/>
      <c r="K19" s="4"/>
      <c r="L19" s="3"/>
      <c r="M19" s="3"/>
      <c r="N19" s="3"/>
      <c r="O19" s="3"/>
      <c r="P19" s="3"/>
      <c r="Q19" s="3"/>
      <c r="R19" s="3"/>
      <c r="S19" s="3"/>
    </row>
  </sheetData>
  <hyperlinks>
    <hyperlink ref="G2" r:id="rId1" xr:uid="{AD3042D7-F2F7-417A-A032-DD955C4A63BB}"/>
    <hyperlink ref="G3" r:id="rId2" xr:uid="{2CB2C88F-64E8-4B8D-905D-B41C9BA3D704}"/>
    <hyperlink ref="D4" r:id="rId3" xr:uid="{4499D228-8CA9-4FA9-BB0C-F83DFD483113}"/>
    <hyperlink ref="G4" r:id="rId4" xr:uid="{90958530-632F-4DAE-84DE-518F95334E8A}"/>
  </hyperlinks>
  <pageMargins left="0.7" right="0.7" top="0.78740157499999996" bottom="0.78740157499999996" header="0.3" footer="0.3"/>
  <pageSetup paperSize="9" orientation="portrait" r:id="rId5"/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B8FAB-E257-4AEF-BB18-2B21D93BF236}">
  <sheetPr codeName="Tabelle8"/>
  <dimension ref="A1:E2"/>
  <sheetViews>
    <sheetView workbookViewId="0"/>
  </sheetViews>
  <sheetFormatPr baseColWidth="10" defaultRowHeight="15" x14ac:dyDescent="0.25"/>
  <sheetData>
    <row r="1" spans="1:5" x14ac:dyDescent="0.25">
      <c r="A1" s="6" t="s">
        <v>26</v>
      </c>
      <c r="B1" s="6" t="s">
        <v>14</v>
      </c>
      <c r="C1" s="6" t="s">
        <v>0</v>
      </c>
      <c r="D1" s="6" t="s">
        <v>24</v>
      </c>
      <c r="E1" s="6" t="s">
        <v>25</v>
      </c>
    </row>
    <row r="2" spans="1:5" x14ac:dyDescent="0.25">
      <c r="A2">
        <f>ROW(A2)-1</f>
        <v>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BCB51-F2C9-41A1-B0FE-4F08F8242256}">
  <sheetPr codeName="Tabelle9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073A9-CF8B-4A0C-BFAC-7F20D7D0F4BA}">
  <sheetPr codeName="Tabelle5"/>
  <dimension ref="A1:K4"/>
  <sheetViews>
    <sheetView workbookViewId="0">
      <selection activeCell="G7" sqref="G7"/>
    </sheetView>
  </sheetViews>
  <sheetFormatPr baseColWidth="10" defaultRowHeight="15" x14ac:dyDescent="0.25"/>
  <cols>
    <col min="1" max="1" width="18.7109375" style="13" bestFit="1" customWidth="1"/>
    <col min="2" max="2" width="20.7109375" style="13" bestFit="1" customWidth="1"/>
    <col min="3" max="3" width="16.28515625" bestFit="1" customWidth="1"/>
    <col min="4" max="4" width="14.140625" bestFit="1" customWidth="1"/>
    <col min="5" max="5" width="12.28515625" bestFit="1" customWidth="1"/>
    <col min="6" max="6" width="8.85546875" bestFit="1" customWidth="1"/>
    <col min="7" max="7" width="13.140625" bestFit="1" customWidth="1"/>
    <col min="8" max="8" width="18.28515625" bestFit="1" customWidth="1"/>
    <col min="9" max="9" width="12.42578125" bestFit="1" customWidth="1"/>
    <col min="10" max="10" width="19" bestFit="1" customWidth="1"/>
    <col min="11" max="11" width="15.140625" bestFit="1" customWidth="1"/>
  </cols>
  <sheetData>
    <row r="1" spans="1:11" x14ac:dyDescent="0.25">
      <c r="A1" s="9" t="s">
        <v>67</v>
      </c>
      <c r="B1" s="9" t="s">
        <v>48</v>
      </c>
      <c r="C1" s="6" t="s">
        <v>68</v>
      </c>
      <c r="D1" s="6" t="s">
        <v>69</v>
      </c>
      <c r="E1" s="6" t="s">
        <v>70</v>
      </c>
      <c r="F1" s="6" t="s">
        <v>71</v>
      </c>
      <c r="G1" s="6" t="s">
        <v>72</v>
      </c>
      <c r="H1" s="6" t="s">
        <v>73</v>
      </c>
      <c r="I1" s="6" t="s">
        <v>74</v>
      </c>
      <c r="J1" s="6" t="s">
        <v>75</v>
      </c>
      <c r="K1" s="6" t="s">
        <v>76</v>
      </c>
    </row>
    <row r="2" spans="1:11" x14ac:dyDescent="0.25">
      <c r="A2" s="13" t="s">
        <v>77</v>
      </c>
      <c r="B2" s="13" t="s">
        <v>78</v>
      </c>
      <c r="C2" t="s">
        <v>92</v>
      </c>
      <c r="D2" t="s">
        <v>79</v>
      </c>
      <c r="E2" t="s">
        <v>80</v>
      </c>
      <c r="F2" t="s">
        <v>81</v>
      </c>
      <c r="G2" t="s">
        <v>82</v>
      </c>
      <c r="H2">
        <v>15</v>
      </c>
      <c r="I2" t="s">
        <v>28</v>
      </c>
      <c r="J2" t="s">
        <v>90</v>
      </c>
      <c r="K2" t="s">
        <v>83</v>
      </c>
    </row>
    <row r="3" spans="1:11" x14ac:dyDescent="0.25">
      <c r="A3" s="13" t="s">
        <v>84</v>
      </c>
      <c r="B3" s="13" t="s">
        <v>78</v>
      </c>
      <c r="C3" t="s">
        <v>91</v>
      </c>
      <c r="D3" t="s">
        <v>85</v>
      </c>
      <c r="E3" t="s">
        <v>80</v>
      </c>
      <c r="F3" t="s">
        <v>81</v>
      </c>
      <c r="G3" t="s">
        <v>86</v>
      </c>
      <c r="H3">
        <v>15</v>
      </c>
      <c r="I3" t="s">
        <v>28</v>
      </c>
      <c r="J3" t="s">
        <v>89</v>
      </c>
    </row>
    <row r="4" spans="1:11" x14ac:dyDescent="0.25">
      <c r="A4" s="13" t="s">
        <v>87</v>
      </c>
      <c r="B4" s="13" t="s">
        <v>94</v>
      </c>
      <c r="C4" t="s">
        <v>93</v>
      </c>
      <c r="D4" t="s">
        <v>79</v>
      </c>
      <c r="E4" t="s">
        <v>80</v>
      </c>
      <c r="F4" t="s">
        <v>81</v>
      </c>
      <c r="G4" t="s">
        <v>82</v>
      </c>
      <c r="H4">
        <v>15</v>
      </c>
      <c r="I4" t="s">
        <v>28</v>
      </c>
      <c r="J4" t="s">
        <v>88</v>
      </c>
    </row>
  </sheetData>
  <phoneticPr fontId="7" type="noConversion"/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004B8-224C-4740-A7E0-3FCCB3F295DB}">
  <sheetPr codeName="Tabelle10"/>
  <dimension ref="A1"/>
  <sheetViews>
    <sheetView workbookViewId="0">
      <selection activeCell="K44" sqref="K44"/>
    </sheetView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3E9DF-2C7A-4073-AF5D-26015E7B59F3}">
  <sheetPr codeName="Tabelle11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9AB1FF-B7BD-441B-BC10-6F5FCEC702A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9</vt:i4>
      </vt:variant>
    </vt:vector>
  </HeadingPairs>
  <TitlesOfParts>
    <vt:vector size="19" baseType="lpstr">
      <vt:lpstr>Eingabefeld</vt:lpstr>
      <vt:lpstr>Customers</vt:lpstr>
      <vt:lpstr>Buildings</vt:lpstr>
      <vt:lpstr>Mobilität</vt:lpstr>
      <vt:lpstr>Energiegemeinschaft</vt:lpstr>
      <vt:lpstr>EEGTeilnehmer</vt:lpstr>
      <vt:lpstr>Anlage</vt:lpstr>
      <vt:lpstr>Lastprofildaten</vt:lpstr>
      <vt:lpstr>Nutzung</vt:lpstr>
      <vt:lpstr>Prozesse</vt:lpstr>
      <vt:lpstr>Buildings</vt:lpstr>
      <vt:lpstr>Customers</vt:lpstr>
      <vt:lpstr>DropDownFilterKriterien</vt:lpstr>
      <vt:lpstr>EEGTeilnehmer</vt:lpstr>
      <vt:lpstr>Energiegemeinschaft</vt:lpstr>
      <vt:lpstr>KundenFilterKriterien</vt:lpstr>
      <vt:lpstr>Mobilitaet</vt:lpstr>
      <vt:lpstr>ObjektFilterKriterien</vt:lpstr>
      <vt:lpstr>Reiter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Otmar Schlager</dc:creator>
  <cp:lastModifiedBy>Simon Steinschaden</cp:lastModifiedBy>
  <dcterms:created xsi:type="dcterms:W3CDTF">2026-02-11T07:58:00Z</dcterms:created>
  <dcterms:modified xsi:type="dcterms:W3CDTF">2026-06-08T21:05:52Z</dcterms:modified>
</cp:coreProperties>
</file>