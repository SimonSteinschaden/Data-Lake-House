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:\Projekte\Projekte aktuell\Sonstige Projekte\1139 - ENSET\AP09_Innolab\Akquise\Datenbank &amp; Liste\"/>
    </mc:Choice>
  </mc:AlternateContent>
  <xr:revisionPtr revIDLastSave="0" documentId="13_ncr:1_{894A0746-2581-4CD4-8CB9-EE026A06829A}" xr6:coauthVersionLast="47" xr6:coauthVersionMax="47" xr10:uidLastSave="{00000000-0000-0000-0000-000000000000}"/>
  <bookViews>
    <workbookView xWindow="-108" yWindow="-108" windowWidth="23256" windowHeight="12456" xr2:uid="{EC2481EA-B095-425D-BA4C-2500CCE307D2}"/>
  </bookViews>
  <sheets>
    <sheet name="Eingabefeld" sheetId="16" r:id="rId1"/>
    <sheet name="Kunde" sheetId="1" r:id="rId2"/>
    <sheet name="Gebäude" sheetId="3" r:id="rId3"/>
    <sheet name="Mobilität" sheetId="4" r:id="rId4"/>
    <sheet name="Energiegemeinschaft" sheetId="2" r:id="rId5"/>
    <sheet name="EEGTeilnehmer" sheetId="13" r:id="rId6"/>
    <sheet name="Plusenergie" sheetId="7" r:id="rId7"/>
    <sheet name="Lastprofile" sheetId="5" r:id="rId8"/>
    <sheet name="Lastprofildaten" sheetId="11" r:id="rId9"/>
    <sheet name="Nutzung" sheetId="9" r:id="rId10"/>
    <sheet name="Prozesse" sheetId="12" r:id="rId11"/>
    <sheet name="Monetarisierung €€€" sheetId="10" r:id="rId12"/>
  </sheets>
  <definedNames>
    <definedName name="EEGTeilnehmer">Tabelle5[#All]</definedName>
    <definedName name="Energiegemeinschaft">Tabelle4[#All]</definedName>
    <definedName name="Gebauede">Tabelle2[#All]</definedName>
    <definedName name="Kundendetails">Tabelle1[#All]</definedName>
    <definedName name="Mobilitaet">Tabelle3[#All]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10" i="16"/>
  <c r="C2" i="5"/>
  <c r="A2" i="13"/>
  <c r="A2" i="2"/>
  <c r="A2" i="4"/>
  <c r="A2" i="3"/>
  <c r="A2" i="1"/>
  <c r="A3" i="1"/>
  <c r="C7" i="16" a="1"/>
  <c r="B9" i="16" s="1"/>
  <c r="C7" i="16" l="1"/>
  <c r="B7" i="16"/>
  <c r="B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<sst xmlns="http://schemas.openxmlformats.org/spreadsheetml/2006/main" count="129" uniqueCount="88">
  <si>
    <t>EEGID</t>
  </si>
  <si>
    <t>Abrechnungstool</t>
  </si>
  <si>
    <t>Tel.Nr.</t>
  </si>
  <si>
    <t>E-Mail</t>
  </si>
  <si>
    <t>Baujahr</t>
  </si>
  <si>
    <t>Hauptnutzung</t>
  </si>
  <si>
    <t>Nebennutzung</t>
  </si>
  <si>
    <t>Treibstoff [Liter]</t>
  </si>
  <si>
    <t>Nachname</t>
  </si>
  <si>
    <t>Vorname</t>
  </si>
  <si>
    <t>Strom [kWh]</t>
  </si>
  <si>
    <t>Gebäudeart (Krankenhaus, Bildungseinrichtung, Büro, Produktion,..)</t>
  </si>
  <si>
    <t>Objektstandort</t>
  </si>
  <si>
    <t>Anzahl VerbrennerFahrzeuge</t>
  </si>
  <si>
    <t>Fahrzeugtypen</t>
  </si>
  <si>
    <t>gefahrene Kilometer pro Fahrzeug</t>
  </si>
  <si>
    <t>Zeit</t>
  </si>
  <si>
    <t>Wert</t>
  </si>
  <si>
    <t>Zeitintervall [5min,15min,1h]</t>
  </si>
  <si>
    <t>GID</t>
  </si>
  <si>
    <t>MID</t>
  </si>
  <si>
    <t>ObjektID</t>
  </si>
  <si>
    <t>Name</t>
  </si>
  <si>
    <t>Ort</t>
  </si>
  <si>
    <t>Telefon</t>
  </si>
  <si>
    <t>WebSite</t>
  </si>
  <si>
    <t>E-Mail Adresse</t>
  </si>
  <si>
    <t>UW</t>
  </si>
  <si>
    <t>Trafostation</t>
  </si>
  <si>
    <t>KID</t>
  </si>
  <si>
    <t>Modell (BEG,EEG,..)</t>
  </si>
  <si>
    <t>Einzugsgebiet (Bezirk)</t>
  </si>
  <si>
    <t>PLZ</t>
  </si>
  <si>
    <t>Straße</t>
  </si>
  <si>
    <t>Hausnummer</t>
  </si>
  <si>
    <t>Prosumer</t>
  </si>
  <si>
    <t>Interesse?</t>
  </si>
  <si>
    <t>Anzahl EFahrzeuge</t>
  </si>
  <si>
    <t>Obmann</t>
  </si>
  <si>
    <t>Erzeugertypen</t>
  </si>
  <si>
    <t>ZPNs</t>
  </si>
  <si>
    <t>aktuelles Interesse (Förderbedarf)</t>
  </si>
  <si>
    <t>Notiz</t>
  </si>
  <si>
    <t>Anteil Nebennutzung %</t>
  </si>
  <si>
    <t>Anteil Hauptnutzung %</t>
  </si>
  <si>
    <t>Rolle</t>
  </si>
  <si>
    <t>Zählpunkt</t>
  </si>
  <si>
    <t>EEGTID</t>
  </si>
  <si>
    <t>LPID</t>
  </si>
  <si>
    <t>LPID (FK)</t>
  </si>
  <si>
    <t>Datenquelle (Synthetisch, Echtzeit, "Daten aus eda-Portal")</t>
  </si>
  <si>
    <t>Einheit</t>
  </si>
  <si>
    <t>Startdatum</t>
  </si>
  <si>
    <t>Enddatum</t>
  </si>
  <si>
    <t>Profilname</t>
  </si>
  <si>
    <t>Profiltyp</t>
  </si>
  <si>
    <t>KUNDENDETAILS</t>
  </si>
  <si>
    <t>Simon</t>
  </si>
  <si>
    <t>Steinschaden</t>
  </si>
  <si>
    <t>06766430501</t>
  </si>
  <si>
    <t>s.steinschaden@ekut.at</t>
  </si>
  <si>
    <t>Wien</t>
  </si>
  <si>
    <t>Nußdorferstraße</t>
  </si>
  <si>
    <t>Adresszusatz</t>
  </si>
  <si>
    <t>Ja</t>
  </si>
  <si>
    <t>Consumer</t>
  </si>
  <si>
    <t>Producer</t>
  </si>
  <si>
    <t>Nein</t>
  </si>
  <si>
    <t>Gebäudesanierung</t>
  </si>
  <si>
    <t>Plusenergie</t>
  </si>
  <si>
    <t>Mobilität</t>
  </si>
  <si>
    <t>Lastprofil vorhanden?</t>
  </si>
  <si>
    <t>Ordnernummer</t>
  </si>
  <si>
    <t>Firma/Organisation/Verein/Tätigkeit</t>
  </si>
  <si>
    <t>Stromverbrauch</t>
  </si>
  <si>
    <t>Wärmeverbrauch</t>
  </si>
  <si>
    <t>Warmwasserverbrauch</t>
  </si>
  <si>
    <t>Energiegemeinschaft</t>
  </si>
  <si>
    <t>001</t>
  </si>
  <si>
    <t>PFAD</t>
  </si>
  <si>
    <t>Vielleicht</t>
  </si>
  <si>
    <t>ekut</t>
  </si>
  <si>
    <t>eKUT GmbH</t>
  </si>
  <si>
    <t>eKUT</t>
  </si>
  <si>
    <t>test</t>
  </si>
  <si>
    <t>Sanierungsjahr</t>
  </si>
  <si>
    <t>BGF</t>
  </si>
  <si>
    <t>HWB (errechnet)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</si>
</sst>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2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wrapText="1"/>
    </xf>
    <xf numFmtId="0" fontId="3" fillId="0" borderId="0" xfId="2" applyAlignment="1">
      <alignment wrapText="1"/>
    </xf>
    <xf numFmtId="0" fontId="0" fillId="3" borderId="2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3" fillId="5" borderId="0" xfId="2" applyFill="1" applyAlignment="1">
      <alignment horizontal="left"/>
    </xf>
    <xf numFmtId="0" fontId="0" fillId="5" borderId="0" xfId="0" applyFill="1"/>
    <xf numFmtId="0" fontId="4" fillId="4" borderId="4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</cellXfs>
  <cellStyles count="3">
    <cellStyle name="Link" xfId="2" builtinId="8"/>
    <cellStyle name="Standard" xfId="0" builtinId="0"/>
    <cellStyle name="Währung 2" xfId="1" xr:uid="{FDF394D7-F86D-4DDD-A154-7E153E537641}"/>
  </cellStyles>
  <dxfs count="2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27</xdr:row>
      <xdr:rowOff>3810</xdr:rowOff>
    </xdr:from>
    <xdr:to>
      <xdr:col>3</xdr:col>
      <xdr:colOff>1257300</xdr:colOff>
      <xdr:row>28</xdr:row>
      <xdr:rowOff>10520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3200400" y="5360670"/>
          <a:ext cx="906780" cy="204830"/>
          <a:chOff x="3169920" y="4926330"/>
          <a:chExt cx="1203960" cy="189590"/>
        </a:xfrm>
      </xdr:grpSpPr>
      <xdr:sp macro="" textlink="">
        <xdr:nvSpPr>
          <xdr:cNvPr id="1028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1029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1828800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106680</xdr:rowOff>
        </xdr:from>
        <xdr:to>
          <xdr:col>0</xdr:col>
          <xdr:colOff>1828800</xdr:colOff>
          <xdr:row>6</xdr:row>
          <xdr:rowOff>160020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114300</xdr:rowOff>
        </xdr:from>
        <xdr:to>
          <xdr:col>0</xdr:col>
          <xdr:colOff>1828800</xdr:colOff>
          <xdr:row>9</xdr:row>
          <xdr:rowOff>160020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673249</xdr:colOff>
      <xdr:row>1</xdr:row>
      <xdr:rowOff>5378</xdr:rowOff>
    </xdr:from>
    <xdr:to>
      <xdr:col>5</xdr:col>
      <xdr:colOff>803413</xdr:colOff>
      <xdr:row>3</xdr:row>
      <xdr:rowOff>2689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60189" y="165398"/>
          <a:ext cx="2637144" cy="36307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2</xdr:col>
      <xdr:colOff>15240</xdr:colOff>
      <xdr:row>1</xdr:row>
      <xdr:rowOff>41509</xdr:rowOff>
    </xdr:from>
    <xdr:to>
      <xdr:col>3</xdr:col>
      <xdr:colOff>56030</xdr:colOff>
      <xdr:row>2</xdr:row>
      <xdr:rowOff>172570</xdr:rowOff>
    </xdr:to>
    <xdr:pic>
      <xdr:nvPicPr>
        <xdr:cNvPr id="7" name="Grafik 6" descr="Lupe mit einfarbiger Füllung">
          <a:extLst>
            <a:ext uri="{FF2B5EF4-FFF2-40B4-BE49-F238E27FC236}">
              <a16:creationId xmlns:a16="http://schemas.microsoft.com/office/drawing/2014/main" id="{7768748D-937B-C17A-9154-34DB450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95600" y="201529"/>
          <a:ext cx="307490" cy="313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10</xdr:row>
          <xdr:rowOff>114300</xdr:rowOff>
        </xdr:from>
        <xdr:to>
          <xdr:col>0</xdr:col>
          <xdr:colOff>1828800</xdr:colOff>
          <xdr:row>12</xdr:row>
          <xdr:rowOff>167640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13</xdr:row>
          <xdr:rowOff>121920</xdr:rowOff>
        </xdr:from>
        <xdr:to>
          <xdr:col>0</xdr:col>
          <xdr:colOff>1828800</xdr:colOff>
          <xdr:row>15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849464</xdr:colOff>
      <xdr:row>0</xdr:row>
      <xdr:rowOff>156433</xdr:rowOff>
    </xdr:from>
    <xdr:to>
      <xdr:col>7</xdr:col>
      <xdr:colOff>1467074</xdr:colOff>
      <xdr:row>2</xdr:row>
      <xdr:rowOff>176604</xdr:rowOff>
    </xdr:to>
    <xdr:sp macro="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176A579-3806-4843-891A-5C179DB6E986}"/>
            </a:ext>
          </a:extLst>
        </xdr:cNvPr>
        <xdr:cNvSpPr/>
      </xdr:nvSpPr>
      <xdr:spPr>
        <a:xfrm>
          <a:off x="5543384" y="156433"/>
          <a:ext cx="2324490" cy="36307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6</xdr:col>
      <xdr:colOff>102973</xdr:colOff>
      <xdr:row>0</xdr:row>
      <xdr:rowOff>339811</xdr:rowOff>
    </xdr:from>
    <xdr:to>
      <xdr:col>6</xdr:col>
      <xdr:colOff>453081</xdr:colOff>
      <xdr:row>2</xdr:row>
      <xdr:rowOff>162080</xdr:rowOff>
    </xdr:to>
    <xdr:pic>
      <xdr:nvPicPr>
        <xdr:cNvPr id="3" name="Grafik 2" descr="Zielgruppe mit einfarbiger Füllung">
          <a:extLst>
            <a:ext uri="{FF2B5EF4-FFF2-40B4-BE49-F238E27FC236}">
              <a16:creationId xmlns:a16="http://schemas.microsoft.com/office/drawing/2014/main" id="{49398E3E-1DDB-0842-7426-F572E702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339811"/>
          <a:ext cx="350108" cy="350108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4</xdr:row>
      <xdr:rowOff>266700</xdr:rowOff>
    </xdr:from>
    <xdr:to>
      <xdr:col>1</xdr:col>
      <xdr:colOff>670560</xdr:colOff>
      <xdr:row>6</xdr:row>
      <xdr:rowOff>60960</xdr:rowOff>
    </xdr:to>
    <xdr:pic>
      <xdr:nvPicPr>
        <xdr:cNvPr id="4" name="Grafik 3" descr="Monitor mit einfarbiger Füllung">
          <a:extLst>
            <a:ext uri="{FF2B5EF4-FFF2-40B4-BE49-F238E27FC236}">
              <a16:creationId xmlns:a16="http://schemas.microsoft.com/office/drawing/2014/main" id="{21F8F59A-9454-9779-9F08-23D75D21D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75560" y="975360"/>
          <a:ext cx="281940" cy="2819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6014EC-4941-4088-8F75-9957283386BF}" name="Tabelle1" displayName="Tabelle1" ref="A1:S3" totalsRowShown="0" headerRowDxfId="24" headerRowBorderDxfId="23" tableBorderDxfId="22">
  <autoFilter ref="A1:S3" xr:uid="{CC6014EC-4941-4088-8F75-9957283386BF}"/>
  <tableColumns count="19">
    <tableColumn id="1" xr3:uid="{BFB28C07-A312-4EB8-B34D-AC2D1D76DFE2}" name="KID" dataDxfId="21">
      <calculatedColumnFormula>ROW(A2)-1</calculatedColumnFormula>
    </tableColumn>
    <tableColumn id="19" xr3:uid="{24795848-F868-479B-BD68-1945F9011608}" name="Ordnernummer" dataDxfId="20"/>
    <tableColumn id="2" xr3:uid="{D529EBBC-7068-47BC-9EAE-F76B3F012EE3}" name="Vorname" dataDxfId="19"/>
    <tableColumn id="3" xr3:uid="{7429787B-DC32-4AAD-9521-AEADA4E2C88F}" name="Nachname" dataDxfId="18"/>
    <tableColumn id="4" xr3:uid="{80B3EB74-98E0-4C1A-90EC-F83C93B57182}" name="Tel.Nr." dataDxfId="17"/>
    <tableColumn id="5" xr3:uid="{4B403A6B-116D-499A-B562-08C6E259AFB4}" name="E-Mail" dataDxfId="16" dataCellStyle="Link"/>
    <tableColumn id="6" xr3:uid="{8A782790-B019-4BF3-AC08-479493D3A2FE}" name="Firma/Organisation/Verein/Tätigkeit" dataDxfId="15"/>
    <tableColumn id="8" xr3:uid="{0BD3B104-0367-46A9-8E5C-42A98206C4F1}" name="PLZ" dataDxfId="14"/>
    <tableColumn id="9" xr3:uid="{5854392E-517D-4FB0-86D5-A1F996819C1C}" name="Ort" dataDxfId="13"/>
    <tableColumn id="10" xr3:uid="{ACDAE4D4-6EB0-4F72-B1B2-2AC68DD9C043}" name="Straße"/>
    <tableColumn id="11" xr3:uid="{CF19872F-E412-4DC0-9C7F-6F2FD47B8C30}" name="Hausnummer"/>
    <tableColumn id="12" xr3:uid="{AF94CDD7-CC71-4CA7-A70A-F5FB9B020CF5}" name="Adresszusatz"/>
    <tableColumn id="13" xr3:uid="{F5FDF2ED-0616-437E-8CBC-C455776E8AB9}" name="Prosumer"/>
    <tableColumn id="14" xr3:uid="{0363B285-9FA9-4800-90D2-2FA396B2AEF6}" name="Interesse?"/>
    <tableColumn id="15" xr3:uid="{35DD6D7B-8C2A-4B38-A98C-CBEA4DE6CD20}" name="Plusenergie"/>
    <tableColumn id="20" xr3:uid="{1961F37B-960A-4FEC-8661-49F428A22089}" name="Gebäudesanierung"/>
    <tableColumn id="16" xr3:uid="{EDF2178E-652D-424D-8586-3D23B85378E3}" name="Energiegemeinschaft"/>
    <tableColumn id="17" xr3:uid="{FE2A1BC5-3468-4E7A-83DE-B95EBEDE45F6}" name="Mobilität"/>
    <tableColumn id="18" xr3:uid="{3F2B84F0-3827-42AE-82D4-9718F24381F2}" name="Lastprofil vorhanden?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28A9F-E330-4C1B-AA9D-C87F5D6A3428}" name="Tabelle2" displayName="Tabelle2" ref="A1:O2" totalsRowShown="0" headerRowDxfId="12" headerRowBorderDxfId="11" tableBorderDxfId="10">
  <autoFilter ref="A1:O2" xr:uid="{BC428A9F-E330-4C1B-AA9D-C87F5D6A3428}"/>
  <tableColumns count="15">
    <tableColumn id="1" xr3:uid="{6508671D-C2B1-4FED-96D3-37A85619A3A8}" name="GID">
      <calculatedColumnFormula>ROW(A2)-1</calculatedColumnFormula>
    </tableColumn>
    <tableColumn id="2" xr3:uid="{14E47B26-ED01-465C-A0A6-83A6CB2DB2BE}" name="KID"/>
    <tableColumn id="3" xr3:uid="{D965581C-7212-4B3C-BF60-41BC07610E98}" name="Objektstandort"/>
    <tableColumn id="4" xr3:uid="{B7071E49-2643-4ADF-8EE0-0D2347421CAD}" name="Gebäudeart (Krankenhaus, Bildungseinrichtung, Büro, Produktion,..)"/>
    <tableColumn id="5" xr3:uid="{BA9FB033-F5B2-4E8D-A181-D735B750D790}" name="Baujahr"/>
    <tableColumn id="15" xr3:uid="{78C3C849-E24D-4F6B-BDFF-835DE04B192F}" name="Sanierungsjahr"/>
    <tableColumn id="6" xr3:uid="{763C06DD-71BE-43D9-BF82-2814A5F0D123}" name="BGF"/>
    <tableColumn id="7" xr3:uid="{F3EED1B2-F5CA-4BDE-848A-29323A3D8860}" name="HWB (errechnet)"/>
    <tableColumn id="8" xr3:uid="{41BC5887-9798-452E-BF05-8B296F0BC03B}" name="Stromverbrauch"/>
    <tableColumn id="9" xr3:uid="{AED10FE3-0071-4831-A940-C6C058F0E2E0}" name="Wärmeverbrauch"/>
    <tableColumn id="10" xr3:uid="{EF16EDC1-95EA-4D7A-A99F-E60846432684}" name="Warmwasserverbrauch"/>
    <tableColumn id="11" xr3:uid="{F71BAD6F-0818-42D2-B86E-F691FC5B64AD}" name="Hauptnutzung"/>
    <tableColumn id="12" xr3:uid="{CFD54537-8B01-4407-930B-604D5B35E41D}" name="Anteil Hauptnutzung %"/>
    <tableColumn id="13" xr3:uid="{1ABA6C77-A654-4359-BFF6-BD59AD425C7D}" name="Nebennutzung"/>
    <tableColumn id="14" xr3:uid="{0EEEA67C-73EA-4E5D-BF30-A2BEBF926F6B}" name="Anteil Nebennutzung %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1CDEC-C008-468E-9812-F091A1EA7C73}" name="Tabelle3" displayName="Tabelle3" ref="A1:H3" totalsRowShown="0" headerRowDxfId="9" headerRowBorderDxfId="8" tableBorderDxfId="7">
  <autoFilter ref="A1:H3" xr:uid="{41A1CDEC-C008-468E-9812-F091A1EA7C73}"/>
  <tableColumns count="8">
    <tableColumn id="1" xr3:uid="{5EED49B5-1D01-4513-B912-61B3D64190AF}" name="MID">
      <calculatedColumnFormula>ROW(A2)-1</calculatedColumnFormula>
    </tableColumn>
    <tableColumn id="2" xr3:uid="{13023E73-4A88-4A73-8BF8-6B538A6382AD}" name="KID"/>
    <tableColumn id="3" xr3:uid="{3C4A6BF5-F86E-450E-A6F1-39E4FC8294C6}" name="Fahrzeugtypen"/>
    <tableColumn id="4" xr3:uid="{903D6521-19ED-4D68-A944-9E9A2CC8FE2D}" name="Anzahl VerbrennerFahrzeuge"/>
    <tableColumn id="5" xr3:uid="{040A7453-320E-4CDA-A37D-D32B9075A762}" name="Anzahl EFahrzeuge"/>
    <tableColumn id="6" xr3:uid="{12CCBE7B-7BA6-4685-8B2E-6FB39BAE626A}" name="gefahrene Kilometer pro Fahrzeug"/>
    <tableColumn id="7" xr3:uid="{F4363D61-04FA-44A1-8BD9-93F39E923464}" name="Treibstoff [Liter]"/>
    <tableColumn id="8" xr3:uid="{DEDC31C7-2A66-4F9E-9A73-718088ED822B}" name="Strom [kWh]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3D221C-CAB0-4D39-BC36-89D1D65C47BA}" name="Tabelle4" displayName="Tabelle4" ref="A1:O2" totalsRowShown="0" headerRowDxfId="6" headerRowBorderDxfId="5" tableBorderDxfId="4">
  <autoFilter ref="A1:O2" xr:uid="{FA3D221C-CAB0-4D39-BC36-89D1D65C47BA}"/>
  <tableColumns count="15">
    <tableColumn id="1" xr3:uid="{48C8F658-A9BE-4675-A608-209813E558A9}" name="EEGID">
      <calculatedColumnFormula>ROW(A2)-1</calculatedColumnFormula>
    </tableColumn>
    <tableColumn id="2" xr3:uid="{35609E8A-EF07-4D9D-B160-79929E2A64DD}" name="Name"/>
    <tableColumn id="3" xr3:uid="{4D1E0D12-F645-4061-A6B3-EFD1AA410FE1}" name="Modell (BEG,EEG,..)"/>
    <tableColumn id="4" xr3:uid="{2328A598-5191-4147-8B07-C9F594F2E8A9}" name="WebSite"/>
    <tableColumn id="5" xr3:uid="{CCF4E12B-841E-4DE8-AAC3-A74866BCAACE}" name="Obmann"/>
    <tableColumn id="6" xr3:uid="{D3B6A326-C63E-4EAE-BFE8-93F9A834252D}" name="Telefon"/>
    <tableColumn id="7" xr3:uid="{10E42138-E4D0-4768-8BCD-C7F4BBA3B9FD}" name="E-Mail Adresse"/>
    <tableColumn id="8" xr3:uid="{F339FD88-6BC3-4634-B0D1-BA5CD346A865}" name="Erzeugertypen"/>
    <tableColumn id="9" xr3:uid="{55791B05-B3EC-4674-8C4E-33F024128420}" name="UW" dataDxfId="3"/>
    <tableColumn id="10" xr3:uid="{5EC7DC5F-DC6B-445F-B915-5CC375B1DF67}" name="Trafostation"/>
    <tableColumn id="11" xr3:uid="{AE7FD8C3-03DB-40A3-9655-7CBC4E8CF332}" name="ZPNs"/>
    <tableColumn id="12" xr3:uid="{26BA2BCB-50FE-43F1-9A99-514FB384DB88}" name="Abrechnungstool"/>
    <tableColumn id="13" xr3:uid="{0E80DA76-D3DB-43E8-8841-D3D17E956D80}" name="Einzugsgebiet (Bezirk)"/>
    <tableColumn id="14" xr3:uid="{AA5A027B-1D8E-4B1F-9C54-86C09B601A01}" name="aktuelles Interesse (Förderbedarf)"/>
    <tableColumn id="15" xr3:uid="{B6164919-A7C4-4D29-AEFF-2BD49107063F}" name="Notiz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5E589D-E164-4B49-AE02-302A78B11EFC}" name="Tabelle5" displayName="Tabelle5" ref="A1:E2" totalsRowShown="0" headerRowDxfId="2" headerRowBorderDxfId="1" tableBorderDxfId="0">
  <autoFilter ref="A1:E2" xr:uid="{2E5E589D-E164-4B49-AE02-302A78B11EFC}"/>
  <tableColumns count="5">
    <tableColumn id="1" xr3:uid="{728C1EE7-20CE-4014-A9B9-6D8CE4170181}" name="EEGTID">
      <calculatedColumnFormula>ROW(A2)-1</calculatedColumnFormula>
    </tableColumn>
    <tableColumn id="2" xr3:uid="{1F06B1C0-4625-4625-9416-68ABF2C50309}" name="KID"/>
    <tableColumn id="3" xr3:uid="{44B47E33-7406-41A6-AD7E-7396312F336D}" name="EEGID"/>
    <tableColumn id="4" xr3:uid="{B28F6787-84AD-48CC-95F0-0C462FB2A6D6}" name="Rolle"/>
    <tableColumn id="5" xr3:uid="{2A1FEFAB-86ED-4763-BBBE-76E7F19A97A6}" name="Zählpunk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s.steinschaden@ekut.at" TargetMode="External"/><Relationship Id="rId1" Type="http://schemas.openxmlformats.org/officeDocument/2006/relationships/hyperlink" Target="mailto:s.steinschaden@ekut.a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7960-7A40-40DF-9611-2DCED84A3BC4}">
  <sheetPr codeName="Tabelle1"/>
  <dimension ref="B1:U200"/>
  <sheetViews>
    <sheetView showGridLines="0" tabSelected="1" zoomScaleNormal="85" workbookViewId="0">
      <selection activeCell="D11" sqref="D11"/>
    </sheetView>
  </sheetViews>
  <sheetFormatPr baseColWidth="10" defaultRowHeight="14.4" x14ac:dyDescent="0.3"/>
  <cols>
    <col min="1" max="1" width="31.88671875" customWidth="1"/>
    <col min="2" max="2" width="10.109375" customWidth="1"/>
    <col min="3" max="3" width="3.88671875" bestFit="1" customWidth="1"/>
    <col min="4" max="4" width="14" bestFit="1" customWidth="1"/>
    <col min="5" max="5" width="8.5546875" bestFit="1" customWidth="1"/>
    <col min="6" max="7" width="12.44140625" bestFit="1" customWidth="1"/>
    <col min="8" max="8" width="21.44140625" bestFit="1" customWidth="1"/>
    <col min="9" max="9" width="32.21875" bestFit="1" customWidth="1"/>
    <col min="10" max="10" width="5.109375" bestFit="1" customWidth="1"/>
    <col min="11" max="11" width="5.21875" bestFit="1" customWidth="1"/>
    <col min="12" max="12" width="14.6640625" bestFit="1" customWidth="1"/>
    <col min="13" max="13" width="9.109375" bestFit="1" customWidth="1"/>
    <col min="14" max="14" width="9.6640625" bestFit="1" customWidth="1"/>
    <col min="15" max="15" width="10.77734375" bestFit="1" customWidth="1"/>
    <col min="16" max="16" width="9.5546875" bestFit="1" customWidth="1"/>
    <col min="17" max="17" width="10.6640625" bestFit="1" customWidth="1"/>
    <col min="18" max="18" width="16.6640625" bestFit="1" customWidth="1"/>
    <col min="19" max="19" width="18.44140625" bestFit="1" customWidth="1"/>
    <col min="20" max="20" width="8.5546875" bestFit="1" customWidth="1"/>
    <col min="21" max="21" width="18.88671875" bestFit="1" customWidth="1"/>
  </cols>
  <sheetData>
    <row r="1" spans="2:21" s="7" customFormat="1" ht="12.6" customHeight="1" x14ac:dyDescent="0.3"/>
    <row r="2" spans="2:21" x14ac:dyDescent="0.3">
      <c r="C2" s="20" t="s">
        <v>81</v>
      </c>
      <c r="D2" s="20"/>
      <c r="E2" s="20"/>
      <c r="F2" s="20"/>
      <c r="G2" s="20" t="s">
        <v>73</v>
      </c>
      <c r="H2" s="20"/>
    </row>
    <row r="3" spans="2:21" x14ac:dyDescent="0.3">
      <c r="C3" s="20"/>
      <c r="D3" s="20"/>
      <c r="E3" s="20"/>
      <c r="F3" s="20"/>
      <c r="G3" s="20"/>
      <c r="H3" s="20"/>
    </row>
    <row r="4" spans="2:21" x14ac:dyDescent="0.3">
      <c r="C4" s="12"/>
      <c r="D4" s="12"/>
      <c r="E4" s="12"/>
    </row>
    <row r="5" spans="2:21" ht="24" customHeight="1" x14ac:dyDescent="0.3">
      <c r="C5" s="19" t="s">
        <v>56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2:21" x14ac:dyDescent="0.3">
      <c r="B6" s="18" t="s">
        <v>79</v>
      </c>
      <c r="C6" s="11" t="s">
        <v>29</v>
      </c>
      <c r="D6" s="11" t="s">
        <v>72</v>
      </c>
      <c r="E6" s="11" t="s">
        <v>9</v>
      </c>
      <c r="F6" s="11" t="s">
        <v>8</v>
      </c>
      <c r="G6" s="11" t="s">
        <v>2</v>
      </c>
      <c r="H6" s="11" t="s">
        <v>3</v>
      </c>
      <c r="I6" s="11" t="s">
        <v>73</v>
      </c>
      <c r="J6" s="11" t="s">
        <v>32</v>
      </c>
      <c r="K6" s="11" t="s">
        <v>23</v>
      </c>
      <c r="L6" s="11" t="s">
        <v>33</v>
      </c>
      <c r="M6" s="11" t="s">
        <v>34</v>
      </c>
      <c r="N6" s="11" t="s">
        <v>63</v>
      </c>
      <c r="O6" s="11" t="s">
        <v>35</v>
      </c>
      <c r="P6" s="11" t="s">
        <v>36</v>
      </c>
      <c r="Q6" s="11" t="s">
        <v>69</v>
      </c>
      <c r="R6" s="11" t="s">
        <v>68</v>
      </c>
      <c r="S6" s="11" t="s">
        <v>77</v>
      </c>
      <c r="T6" s="11" t="s">
        <v>70</v>
      </c>
      <c r="U6" s="11" t="s">
        <v>71</v>
      </c>
    </row>
    <row r="7" spans="2:21" ht="16.05" customHeight="1" x14ac:dyDescent="0.3">
      <c r="B7" s="17" t="str">
        <f>IF(D7=0,"",HYPERLINK("H:\Projekte\Projekte aktuell\Sonstige Projekte\1139 - ENSET\AP09_Innolab\Akquise\Datenbank &amp; Liste\"&amp;D7&amp;"_"&amp;F7,D7&amp;"_"&amp;F7))</f>
        <v>001_Steinschaden</v>
      </c>
      <c r="C7" s="13" cm="1">
        <f t="array" ref="C7:U8">_xlfn._xlws.FILTER(Kundendetails,ISNUMBER(SEARCH($C$2,INDEX(Kundendetails,0,MATCH($G$2,Tabelle1[#Headers],0)))),"Kein Ergebnis gefunden.")</f>
        <v>1</v>
      </c>
      <c r="D7" s="13" t="str">
        <v>001</v>
      </c>
      <c r="E7" s="13" t="str">
        <v>Simon</v>
      </c>
      <c r="F7" s="13" t="str">
        <v>Steinschaden</v>
      </c>
      <c r="G7" s="13" t="str">
        <v>06766430501</v>
      </c>
      <c r="H7" s="13" t="str">
        <v>s.steinschaden@ekut.at</v>
      </c>
      <c r="I7" s="13" t="str">
        <v>eKUT GmbH</v>
      </c>
      <c r="J7" s="13">
        <v>1090</v>
      </c>
      <c r="K7" s="13" t="str">
        <v>Wien</v>
      </c>
      <c r="L7" s="13" t="str">
        <v>Nußdorferstraße</v>
      </c>
      <c r="M7" s="13">
        <v>68</v>
      </c>
      <c r="N7" s="13">
        <v>6</v>
      </c>
      <c r="O7" s="13" t="str">
        <v>Consumer</v>
      </c>
      <c r="P7" s="13" t="str">
        <v>Ja</v>
      </c>
      <c r="Q7" s="13" t="str">
        <v>Nein</v>
      </c>
      <c r="R7" s="13" t="str">
        <v>Ja</v>
      </c>
      <c r="S7" s="13" t="str">
        <v>Ja</v>
      </c>
      <c r="T7" s="13" t="str">
        <v>Vielleicht</v>
      </c>
      <c r="U7" s="13" t="str">
        <v>Nein</v>
      </c>
    </row>
    <row r="8" spans="2:21" ht="16.05" customHeight="1" x14ac:dyDescent="0.3">
      <c r="B8" s="17" t="str">
        <f>IF(D8=0,"",HYPERLINK("H:\Projekte\Projekte aktuell\Sonstige Projekte\1139 - ENSET\AP09_Innolab\Akquise\Datenbank &amp; Liste\"&amp;D8&amp;"_"&amp;F8,D8&amp;"_"&amp;F8))</f>
        <v/>
      </c>
      <c r="C8" s="14">
        <v>2</v>
      </c>
      <c r="D8" s="14">
        <v>0</v>
      </c>
      <c r="E8" s="14" t="str">
        <v>Simon</v>
      </c>
      <c r="F8" s="14" t="str">
        <v>Steinschaden</v>
      </c>
      <c r="G8" s="14" t="str">
        <v>06766430501</v>
      </c>
      <c r="H8" s="14" t="str">
        <v>s.steinschaden@ekut.at</v>
      </c>
      <c r="I8" s="14" t="str">
        <v>eKUT</v>
      </c>
      <c r="J8" s="14">
        <v>1091</v>
      </c>
      <c r="K8" s="14" t="str">
        <v>Wien</v>
      </c>
      <c r="L8" s="14" t="str">
        <v>Nußdorferstraße</v>
      </c>
      <c r="M8" s="14">
        <v>68</v>
      </c>
      <c r="N8" s="14">
        <v>6</v>
      </c>
      <c r="O8" s="14" t="str">
        <v>Producer</v>
      </c>
      <c r="P8" s="14" t="str">
        <v>Nein</v>
      </c>
      <c r="Q8" s="14" t="str">
        <v>Ja</v>
      </c>
      <c r="R8" s="14" t="str">
        <v>Nein</v>
      </c>
      <c r="S8" s="14" t="str">
        <v>Ja</v>
      </c>
      <c r="T8" s="14" t="str">
        <v>Ja</v>
      </c>
      <c r="U8" s="14" t="str">
        <v>Ja</v>
      </c>
    </row>
    <row r="9" spans="2:21" ht="16.05" customHeight="1" x14ac:dyDescent="0.3">
      <c r="B9" s="17" t="str">
        <f>IF(D9=0,"",HYPERLINK("H:\Projekte\Projekte aktuell\Sonstige Projekte\1139 - ENSET\AP09_Innolab\Akquise\Datenbank &amp; Liste\"&amp;D9&amp;"_"&amp;F9,D9&amp;"_"&amp;F9))</f>
        <v/>
      </c>
    </row>
    <row r="10" spans="2:21" ht="16.05" customHeight="1" x14ac:dyDescent="0.3">
      <c r="B10" s="17" t="str">
        <f t="shared" ref="B10:B73" si="0">IF(D10=0,"",HYPERLINK("H:\Projekte\Projekte aktuell\Sonstige Projekte\1139 - ENSET\AP09_Innolab\Akquise\Datenbank &amp; Liste\"&amp;D10&amp;"_"&amp;F10,D10&amp;"_"&amp;F10))</f>
        <v/>
      </c>
    </row>
    <row r="11" spans="2:21" ht="16.05" customHeight="1" x14ac:dyDescent="0.3">
      <c r="B11" s="17" t="str">
        <f t="shared" si="0"/>
        <v/>
      </c>
    </row>
    <row r="12" spans="2:21" ht="16.05" customHeight="1" x14ac:dyDescent="0.3">
      <c r="B12" s="17" t="str">
        <f t="shared" si="0"/>
        <v/>
      </c>
    </row>
    <row r="13" spans="2:21" ht="16.05" customHeight="1" x14ac:dyDescent="0.3">
      <c r="B13" s="17" t="str">
        <f t="shared" si="0"/>
        <v/>
      </c>
    </row>
    <row r="14" spans="2:21" ht="16.05" customHeight="1" x14ac:dyDescent="0.3">
      <c r="B14" s="17" t="str">
        <f t="shared" si="0"/>
        <v/>
      </c>
    </row>
    <row r="15" spans="2:21" ht="16.05" customHeight="1" x14ac:dyDescent="0.3">
      <c r="B15" s="17" t="str">
        <f t="shared" si="0"/>
        <v/>
      </c>
    </row>
    <row r="16" spans="2:21" ht="16.05" customHeight="1" x14ac:dyDescent="0.3">
      <c r="B16" s="17" t="str">
        <f t="shared" si="0"/>
        <v/>
      </c>
    </row>
    <row r="17" spans="2:2" ht="16.05" customHeight="1" x14ac:dyDescent="0.3">
      <c r="B17" s="17" t="str">
        <f t="shared" si="0"/>
        <v/>
      </c>
    </row>
    <row r="18" spans="2:2" ht="16.05" customHeight="1" x14ac:dyDescent="0.3">
      <c r="B18" s="17" t="str">
        <f t="shared" si="0"/>
        <v/>
      </c>
    </row>
    <row r="19" spans="2:2" ht="16.05" customHeight="1" x14ac:dyDescent="0.3">
      <c r="B19" s="17" t="str">
        <f t="shared" si="0"/>
        <v/>
      </c>
    </row>
    <row r="20" spans="2:2" ht="16.05" customHeight="1" x14ac:dyDescent="0.3">
      <c r="B20" s="17" t="str">
        <f t="shared" si="0"/>
        <v/>
      </c>
    </row>
    <row r="21" spans="2:2" ht="16.05" customHeight="1" x14ac:dyDescent="0.3">
      <c r="B21" s="17" t="str">
        <f t="shared" si="0"/>
        <v/>
      </c>
    </row>
    <row r="22" spans="2:2" ht="16.05" customHeight="1" x14ac:dyDescent="0.3">
      <c r="B22" s="17" t="str">
        <f t="shared" si="0"/>
        <v/>
      </c>
    </row>
    <row r="23" spans="2:2" ht="16.05" customHeight="1" x14ac:dyDescent="0.3">
      <c r="B23" s="17" t="str">
        <f t="shared" si="0"/>
        <v/>
      </c>
    </row>
    <row r="24" spans="2:2" ht="16.05" customHeight="1" x14ac:dyDescent="0.3">
      <c r="B24" s="17" t="str">
        <f t="shared" si="0"/>
        <v/>
      </c>
    </row>
    <row r="25" spans="2:2" ht="16.05" customHeight="1" x14ac:dyDescent="0.3">
      <c r="B25" s="17" t="str">
        <f t="shared" si="0"/>
        <v/>
      </c>
    </row>
    <row r="26" spans="2:2" ht="16.05" customHeight="1" x14ac:dyDescent="0.3">
      <c r="B26" s="17" t="str">
        <f t="shared" si="0"/>
        <v/>
      </c>
    </row>
    <row r="27" spans="2:2" ht="16.05" customHeight="1" x14ac:dyDescent="0.3">
      <c r="B27" s="17" t="str">
        <f t="shared" si="0"/>
        <v/>
      </c>
    </row>
    <row r="28" spans="2:2" ht="16.05" customHeight="1" x14ac:dyDescent="0.3">
      <c r="B28" s="17" t="str">
        <f t="shared" si="0"/>
        <v/>
      </c>
    </row>
    <row r="29" spans="2:2" ht="16.05" customHeight="1" x14ac:dyDescent="0.3">
      <c r="B29" s="17" t="str">
        <f t="shared" si="0"/>
        <v/>
      </c>
    </row>
    <row r="30" spans="2:2" ht="16.05" customHeight="1" x14ac:dyDescent="0.3">
      <c r="B30" s="17" t="str">
        <f t="shared" si="0"/>
        <v/>
      </c>
    </row>
    <row r="31" spans="2:2" ht="16.05" customHeight="1" x14ac:dyDescent="0.3">
      <c r="B31" s="17" t="str">
        <f t="shared" si="0"/>
        <v/>
      </c>
    </row>
    <row r="32" spans="2:2" ht="16.05" customHeight="1" x14ac:dyDescent="0.3">
      <c r="B32" s="17" t="str">
        <f t="shared" si="0"/>
        <v/>
      </c>
    </row>
    <row r="33" spans="2:2" ht="16.05" customHeight="1" x14ac:dyDescent="0.3">
      <c r="B33" s="17" t="str">
        <f t="shared" si="0"/>
        <v/>
      </c>
    </row>
    <row r="34" spans="2:2" ht="16.05" customHeight="1" x14ac:dyDescent="0.3">
      <c r="B34" s="17" t="str">
        <f t="shared" si="0"/>
        <v/>
      </c>
    </row>
    <row r="35" spans="2:2" ht="16.05" customHeight="1" x14ac:dyDescent="0.3">
      <c r="B35" s="17" t="str">
        <f t="shared" si="0"/>
        <v/>
      </c>
    </row>
    <row r="36" spans="2:2" ht="16.05" customHeight="1" x14ac:dyDescent="0.3">
      <c r="B36" s="17" t="str">
        <f t="shared" si="0"/>
        <v/>
      </c>
    </row>
    <row r="37" spans="2:2" ht="16.05" customHeight="1" x14ac:dyDescent="0.3">
      <c r="B37" s="17" t="str">
        <f t="shared" si="0"/>
        <v/>
      </c>
    </row>
    <row r="38" spans="2:2" ht="16.05" customHeight="1" x14ac:dyDescent="0.3">
      <c r="B38" s="17" t="str">
        <f t="shared" si="0"/>
        <v/>
      </c>
    </row>
    <row r="39" spans="2:2" ht="16.05" customHeight="1" x14ac:dyDescent="0.3">
      <c r="B39" s="17" t="str">
        <f t="shared" si="0"/>
        <v/>
      </c>
    </row>
    <row r="40" spans="2:2" ht="16.05" customHeight="1" x14ac:dyDescent="0.3">
      <c r="B40" s="17" t="str">
        <f t="shared" si="0"/>
        <v/>
      </c>
    </row>
    <row r="41" spans="2:2" ht="16.05" customHeight="1" x14ac:dyDescent="0.3">
      <c r="B41" s="17" t="str">
        <f t="shared" si="0"/>
        <v/>
      </c>
    </row>
    <row r="42" spans="2:2" ht="16.05" customHeight="1" x14ac:dyDescent="0.3">
      <c r="B42" s="17" t="str">
        <f t="shared" si="0"/>
        <v/>
      </c>
    </row>
    <row r="43" spans="2:2" ht="16.05" customHeight="1" x14ac:dyDescent="0.3">
      <c r="B43" s="17" t="str">
        <f t="shared" si="0"/>
        <v/>
      </c>
    </row>
    <row r="44" spans="2:2" ht="16.05" customHeight="1" x14ac:dyDescent="0.3">
      <c r="B44" s="17" t="str">
        <f t="shared" si="0"/>
        <v/>
      </c>
    </row>
    <row r="45" spans="2:2" ht="16.05" customHeight="1" x14ac:dyDescent="0.3">
      <c r="B45" s="17" t="str">
        <f t="shared" si="0"/>
        <v/>
      </c>
    </row>
    <row r="46" spans="2:2" ht="16.05" customHeight="1" x14ac:dyDescent="0.3">
      <c r="B46" s="17" t="str">
        <f t="shared" si="0"/>
        <v/>
      </c>
    </row>
    <row r="47" spans="2:2" ht="16.05" customHeight="1" x14ac:dyDescent="0.3">
      <c r="B47" s="17" t="str">
        <f t="shared" si="0"/>
        <v/>
      </c>
    </row>
    <row r="48" spans="2:2" ht="16.05" customHeight="1" x14ac:dyDescent="0.3">
      <c r="B48" s="17" t="str">
        <f t="shared" si="0"/>
        <v/>
      </c>
    </row>
    <row r="49" spans="2:2" ht="16.05" customHeight="1" x14ac:dyDescent="0.3">
      <c r="B49" s="17" t="str">
        <f t="shared" si="0"/>
        <v/>
      </c>
    </row>
    <row r="50" spans="2:2" ht="16.05" customHeight="1" x14ac:dyDescent="0.3">
      <c r="B50" s="17" t="str">
        <f t="shared" si="0"/>
        <v/>
      </c>
    </row>
    <row r="51" spans="2:2" ht="16.05" customHeight="1" x14ac:dyDescent="0.3">
      <c r="B51" s="17" t="str">
        <f t="shared" si="0"/>
        <v/>
      </c>
    </row>
    <row r="52" spans="2:2" ht="16.05" customHeight="1" x14ac:dyDescent="0.3">
      <c r="B52" s="17" t="str">
        <f t="shared" si="0"/>
        <v/>
      </c>
    </row>
    <row r="53" spans="2:2" ht="16.05" customHeight="1" x14ac:dyDescent="0.3">
      <c r="B53" s="17" t="str">
        <f t="shared" si="0"/>
        <v/>
      </c>
    </row>
    <row r="54" spans="2:2" ht="16.05" customHeight="1" x14ac:dyDescent="0.3">
      <c r="B54" s="17" t="str">
        <f t="shared" si="0"/>
        <v/>
      </c>
    </row>
    <row r="55" spans="2:2" ht="16.05" customHeight="1" x14ac:dyDescent="0.3">
      <c r="B55" s="17" t="str">
        <f t="shared" si="0"/>
        <v/>
      </c>
    </row>
    <row r="56" spans="2:2" ht="16.05" customHeight="1" x14ac:dyDescent="0.3">
      <c r="B56" s="17" t="str">
        <f t="shared" si="0"/>
        <v/>
      </c>
    </row>
    <row r="57" spans="2:2" ht="16.05" customHeight="1" x14ac:dyDescent="0.3">
      <c r="B57" s="17" t="str">
        <f t="shared" si="0"/>
        <v/>
      </c>
    </row>
    <row r="58" spans="2:2" ht="16.05" customHeight="1" x14ac:dyDescent="0.3">
      <c r="B58" s="17" t="str">
        <f t="shared" si="0"/>
        <v/>
      </c>
    </row>
    <row r="59" spans="2:2" ht="16.05" customHeight="1" x14ac:dyDescent="0.3">
      <c r="B59" s="17" t="str">
        <f t="shared" si="0"/>
        <v/>
      </c>
    </row>
    <row r="60" spans="2:2" ht="16.05" customHeight="1" x14ac:dyDescent="0.3">
      <c r="B60" s="17" t="str">
        <f t="shared" si="0"/>
        <v/>
      </c>
    </row>
    <row r="61" spans="2:2" ht="16.05" customHeight="1" x14ac:dyDescent="0.3">
      <c r="B61" s="17" t="str">
        <f t="shared" si="0"/>
        <v/>
      </c>
    </row>
    <row r="62" spans="2:2" ht="16.05" customHeight="1" x14ac:dyDescent="0.3">
      <c r="B62" s="17" t="str">
        <f t="shared" si="0"/>
        <v/>
      </c>
    </row>
    <row r="63" spans="2:2" ht="16.05" customHeight="1" x14ac:dyDescent="0.3">
      <c r="B63" s="17" t="str">
        <f t="shared" si="0"/>
        <v/>
      </c>
    </row>
    <row r="64" spans="2:2" ht="16.05" customHeight="1" x14ac:dyDescent="0.3">
      <c r="B64" s="17" t="str">
        <f t="shared" si="0"/>
        <v/>
      </c>
    </row>
    <row r="65" spans="2:2" ht="16.05" customHeight="1" x14ac:dyDescent="0.3">
      <c r="B65" s="17" t="str">
        <f t="shared" si="0"/>
        <v/>
      </c>
    </row>
    <row r="66" spans="2:2" ht="16.05" customHeight="1" x14ac:dyDescent="0.3">
      <c r="B66" s="17" t="str">
        <f t="shared" si="0"/>
        <v/>
      </c>
    </row>
    <row r="67" spans="2:2" ht="16.05" customHeight="1" x14ac:dyDescent="0.3">
      <c r="B67" s="17" t="str">
        <f t="shared" si="0"/>
        <v/>
      </c>
    </row>
    <row r="68" spans="2:2" ht="16.05" customHeight="1" x14ac:dyDescent="0.3">
      <c r="B68" s="17" t="str">
        <f t="shared" si="0"/>
        <v/>
      </c>
    </row>
    <row r="69" spans="2:2" ht="16.05" customHeight="1" x14ac:dyDescent="0.3">
      <c r="B69" s="17" t="str">
        <f t="shared" si="0"/>
        <v/>
      </c>
    </row>
    <row r="70" spans="2:2" ht="16.05" customHeight="1" x14ac:dyDescent="0.3">
      <c r="B70" s="17" t="str">
        <f t="shared" si="0"/>
        <v/>
      </c>
    </row>
    <row r="71" spans="2:2" ht="16.05" customHeight="1" x14ac:dyDescent="0.3">
      <c r="B71" s="17" t="str">
        <f t="shared" si="0"/>
        <v/>
      </c>
    </row>
    <row r="72" spans="2:2" ht="16.05" customHeight="1" x14ac:dyDescent="0.3">
      <c r="B72" s="17" t="str">
        <f t="shared" si="0"/>
        <v/>
      </c>
    </row>
    <row r="73" spans="2:2" ht="16.05" customHeight="1" x14ac:dyDescent="0.3">
      <c r="B73" s="17" t="str">
        <f t="shared" si="0"/>
        <v/>
      </c>
    </row>
    <row r="74" spans="2:2" ht="16.05" customHeight="1" x14ac:dyDescent="0.3">
      <c r="B74" s="17" t="str">
        <f t="shared" ref="B74:B137" si="1">IF(D74=0,"",HYPERLINK("H:\Projekte\Projekte aktuell\Sonstige Projekte\1139 - ENSET\AP09_Innolab\Akquise\Datenbank &amp; Liste\"&amp;D74&amp;"_"&amp;F74,D74&amp;"_"&amp;F74))</f>
        <v/>
      </c>
    </row>
    <row r="75" spans="2:2" ht="16.05" customHeight="1" x14ac:dyDescent="0.3">
      <c r="B75" s="17" t="str">
        <f t="shared" si="1"/>
        <v/>
      </c>
    </row>
    <row r="76" spans="2:2" ht="16.05" customHeight="1" x14ac:dyDescent="0.3">
      <c r="B76" s="17" t="str">
        <f t="shared" si="1"/>
        <v/>
      </c>
    </row>
    <row r="77" spans="2:2" ht="16.05" customHeight="1" x14ac:dyDescent="0.3">
      <c r="B77" s="17" t="str">
        <f t="shared" si="1"/>
        <v/>
      </c>
    </row>
    <row r="78" spans="2:2" ht="16.05" customHeight="1" x14ac:dyDescent="0.3">
      <c r="B78" s="17" t="str">
        <f t="shared" si="1"/>
        <v/>
      </c>
    </row>
    <row r="79" spans="2:2" ht="16.05" customHeight="1" x14ac:dyDescent="0.3">
      <c r="B79" s="17" t="str">
        <f t="shared" si="1"/>
        <v/>
      </c>
    </row>
    <row r="80" spans="2:2" ht="16.05" customHeight="1" x14ac:dyDescent="0.3">
      <c r="B80" s="17" t="str">
        <f t="shared" si="1"/>
        <v/>
      </c>
    </row>
    <row r="81" spans="2:2" ht="16.05" customHeight="1" x14ac:dyDescent="0.3">
      <c r="B81" s="17" t="str">
        <f t="shared" si="1"/>
        <v/>
      </c>
    </row>
    <row r="82" spans="2:2" ht="16.05" customHeight="1" x14ac:dyDescent="0.3">
      <c r="B82" s="17" t="str">
        <f t="shared" si="1"/>
        <v/>
      </c>
    </row>
    <row r="83" spans="2:2" ht="16.05" customHeight="1" x14ac:dyDescent="0.3">
      <c r="B83" s="17" t="str">
        <f t="shared" si="1"/>
        <v/>
      </c>
    </row>
    <row r="84" spans="2:2" ht="16.05" customHeight="1" x14ac:dyDescent="0.3">
      <c r="B84" s="17" t="str">
        <f t="shared" si="1"/>
        <v/>
      </c>
    </row>
    <row r="85" spans="2:2" ht="16.05" customHeight="1" x14ac:dyDescent="0.3">
      <c r="B85" s="17" t="str">
        <f t="shared" si="1"/>
        <v/>
      </c>
    </row>
    <row r="86" spans="2:2" ht="16.05" customHeight="1" x14ac:dyDescent="0.3">
      <c r="B86" s="17" t="str">
        <f t="shared" si="1"/>
        <v/>
      </c>
    </row>
    <row r="87" spans="2:2" ht="16.05" customHeight="1" x14ac:dyDescent="0.3">
      <c r="B87" s="17" t="str">
        <f t="shared" si="1"/>
        <v/>
      </c>
    </row>
    <row r="88" spans="2:2" ht="16.05" customHeight="1" x14ac:dyDescent="0.3">
      <c r="B88" s="17" t="str">
        <f t="shared" si="1"/>
        <v/>
      </c>
    </row>
    <row r="89" spans="2:2" ht="16.05" customHeight="1" x14ac:dyDescent="0.3">
      <c r="B89" s="17" t="str">
        <f t="shared" si="1"/>
        <v/>
      </c>
    </row>
    <row r="90" spans="2:2" ht="16.05" customHeight="1" x14ac:dyDescent="0.3">
      <c r="B90" s="17" t="str">
        <f t="shared" si="1"/>
        <v/>
      </c>
    </row>
    <row r="91" spans="2:2" ht="16.05" customHeight="1" x14ac:dyDescent="0.3">
      <c r="B91" s="17" t="str">
        <f t="shared" si="1"/>
        <v/>
      </c>
    </row>
    <row r="92" spans="2:2" ht="16.05" customHeight="1" x14ac:dyDescent="0.3">
      <c r="B92" s="17" t="str">
        <f t="shared" si="1"/>
        <v/>
      </c>
    </row>
    <row r="93" spans="2:2" ht="16.05" customHeight="1" x14ac:dyDescent="0.3">
      <c r="B93" s="17" t="str">
        <f t="shared" si="1"/>
        <v/>
      </c>
    </row>
    <row r="94" spans="2:2" ht="16.05" customHeight="1" x14ac:dyDescent="0.3">
      <c r="B94" s="17" t="str">
        <f t="shared" si="1"/>
        <v/>
      </c>
    </row>
    <row r="95" spans="2:2" ht="16.05" customHeight="1" x14ac:dyDescent="0.3">
      <c r="B95" s="17" t="str">
        <f t="shared" si="1"/>
        <v/>
      </c>
    </row>
    <row r="96" spans="2:2" ht="16.05" customHeight="1" x14ac:dyDescent="0.3">
      <c r="B96" s="17" t="str">
        <f t="shared" si="1"/>
        <v/>
      </c>
    </row>
    <row r="97" spans="2:2" ht="16.05" customHeight="1" x14ac:dyDescent="0.3">
      <c r="B97" s="17" t="str">
        <f t="shared" si="1"/>
        <v/>
      </c>
    </row>
    <row r="98" spans="2:2" ht="16.05" customHeight="1" x14ac:dyDescent="0.3">
      <c r="B98" s="17" t="str">
        <f t="shared" si="1"/>
        <v/>
      </c>
    </row>
    <row r="99" spans="2:2" ht="16.05" customHeight="1" x14ac:dyDescent="0.3">
      <c r="B99" s="17" t="str">
        <f t="shared" si="1"/>
        <v/>
      </c>
    </row>
    <row r="100" spans="2:2" ht="16.05" customHeight="1" x14ac:dyDescent="0.3">
      <c r="B100" s="17" t="str">
        <f t="shared" si="1"/>
        <v/>
      </c>
    </row>
    <row r="101" spans="2:2" ht="16.05" customHeight="1" x14ac:dyDescent="0.3">
      <c r="B101" s="17" t="str">
        <f t="shared" si="1"/>
        <v/>
      </c>
    </row>
    <row r="102" spans="2:2" ht="16.05" customHeight="1" x14ac:dyDescent="0.3">
      <c r="B102" s="17" t="str">
        <f t="shared" si="1"/>
        <v/>
      </c>
    </row>
    <row r="103" spans="2:2" ht="16.05" customHeight="1" x14ac:dyDescent="0.3">
      <c r="B103" s="17" t="str">
        <f t="shared" si="1"/>
        <v/>
      </c>
    </row>
    <row r="104" spans="2:2" ht="16.05" customHeight="1" x14ac:dyDescent="0.3">
      <c r="B104" s="17" t="str">
        <f t="shared" si="1"/>
        <v/>
      </c>
    </row>
    <row r="105" spans="2:2" ht="16.05" customHeight="1" x14ac:dyDescent="0.3">
      <c r="B105" s="17" t="str">
        <f t="shared" si="1"/>
        <v/>
      </c>
    </row>
    <row r="106" spans="2:2" ht="16.05" customHeight="1" x14ac:dyDescent="0.3">
      <c r="B106" s="17" t="str">
        <f t="shared" si="1"/>
        <v/>
      </c>
    </row>
    <row r="107" spans="2:2" ht="16.05" customHeight="1" x14ac:dyDescent="0.3">
      <c r="B107" s="17" t="str">
        <f t="shared" si="1"/>
        <v/>
      </c>
    </row>
    <row r="108" spans="2:2" ht="16.05" customHeight="1" x14ac:dyDescent="0.3">
      <c r="B108" s="17" t="str">
        <f t="shared" si="1"/>
        <v/>
      </c>
    </row>
    <row r="109" spans="2:2" ht="16.05" customHeight="1" x14ac:dyDescent="0.3">
      <c r="B109" s="17" t="str">
        <f t="shared" si="1"/>
        <v/>
      </c>
    </row>
    <row r="110" spans="2:2" ht="16.05" customHeight="1" x14ac:dyDescent="0.3">
      <c r="B110" s="17" t="str">
        <f t="shared" si="1"/>
        <v/>
      </c>
    </row>
    <row r="111" spans="2:2" ht="16.05" customHeight="1" x14ac:dyDescent="0.3">
      <c r="B111" s="17" t="str">
        <f t="shared" si="1"/>
        <v/>
      </c>
    </row>
    <row r="112" spans="2:2" ht="16.05" customHeight="1" x14ac:dyDescent="0.3">
      <c r="B112" s="17" t="str">
        <f t="shared" si="1"/>
        <v/>
      </c>
    </row>
    <row r="113" spans="2:2" ht="16.05" customHeight="1" x14ac:dyDescent="0.3">
      <c r="B113" s="17" t="str">
        <f t="shared" si="1"/>
        <v/>
      </c>
    </row>
    <row r="114" spans="2:2" ht="16.05" customHeight="1" x14ac:dyDescent="0.3">
      <c r="B114" s="17" t="str">
        <f t="shared" si="1"/>
        <v/>
      </c>
    </row>
    <row r="115" spans="2:2" ht="16.05" customHeight="1" x14ac:dyDescent="0.3">
      <c r="B115" s="17" t="str">
        <f t="shared" si="1"/>
        <v/>
      </c>
    </row>
    <row r="116" spans="2:2" ht="16.05" customHeight="1" x14ac:dyDescent="0.3">
      <c r="B116" s="17" t="str">
        <f t="shared" si="1"/>
        <v/>
      </c>
    </row>
    <row r="117" spans="2:2" ht="16.05" customHeight="1" x14ac:dyDescent="0.3">
      <c r="B117" s="17" t="str">
        <f t="shared" si="1"/>
        <v/>
      </c>
    </row>
    <row r="118" spans="2:2" ht="16.05" customHeight="1" x14ac:dyDescent="0.3">
      <c r="B118" s="17" t="str">
        <f t="shared" si="1"/>
        <v/>
      </c>
    </row>
    <row r="119" spans="2:2" ht="16.05" customHeight="1" x14ac:dyDescent="0.3">
      <c r="B119" s="17" t="str">
        <f t="shared" si="1"/>
        <v/>
      </c>
    </row>
    <row r="120" spans="2:2" ht="16.05" customHeight="1" x14ac:dyDescent="0.3">
      <c r="B120" s="17" t="str">
        <f t="shared" si="1"/>
        <v/>
      </c>
    </row>
    <row r="121" spans="2:2" ht="16.05" customHeight="1" x14ac:dyDescent="0.3">
      <c r="B121" s="17" t="str">
        <f t="shared" si="1"/>
        <v/>
      </c>
    </row>
    <row r="122" spans="2:2" ht="16.05" customHeight="1" x14ac:dyDescent="0.3">
      <c r="B122" s="17" t="str">
        <f t="shared" si="1"/>
        <v/>
      </c>
    </row>
    <row r="123" spans="2:2" ht="16.05" customHeight="1" x14ac:dyDescent="0.3">
      <c r="B123" s="17" t="str">
        <f t="shared" si="1"/>
        <v/>
      </c>
    </row>
    <row r="124" spans="2:2" ht="16.05" customHeight="1" x14ac:dyDescent="0.3">
      <c r="B124" s="17" t="str">
        <f t="shared" si="1"/>
        <v/>
      </c>
    </row>
    <row r="125" spans="2:2" ht="16.05" customHeight="1" x14ac:dyDescent="0.3">
      <c r="B125" s="17" t="str">
        <f t="shared" si="1"/>
        <v/>
      </c>
    </row>
    <row r="126" spans="2:2" ht="16.05" customHeight="1" x14ac:dyDescent="0.3">
      <c r="B126" s="17" t="str">
        <f t="shared" si="1"/>
        <v/>
      </c>
    </row>
    <row r="127" spans="2:2" ht="16.05" customHeight="1" x14ac:dyDescent="0.3">
      <c r="B127" s="17" t="str">
        <f t="shared" si="1"/>
        <v/>
      </c>
    </row>
    <row r="128" spans="2:2" ht="16.05" customHeight="1" x14ac:dyDescent="0.3">
      <c r="B128" s="17" t="str">
        <f t="shared" si="1"/>
        <v/>
      </c>
    </row>
    <row r="129" spans="2:2" ht="16.05" customHeight="1" x14ac:dyDescent="0.3">
      <c r="B129" s="17" t="str">
        <f t="shared" si="1"/>
        <v/>
      </c>
    </row>
    <row r="130" spans="2:2" ht="16.05" customHeight="1" x14ac:dyDescent="0.3">
      <c r="B130" s="17" t="str">
        <f t="shared" si="1"/>
        <v/>
      </c>
    </row>
    <row r="131" spans="2:2" ht="16.05" customHeight="1" x14ac:dyDescent="0.3">
      <c r="B131" s="17" t="str">
        <f t="shared" si="1"/>
        <v/>
      </c>
    </row>
    <row r="132" spans="2:2" ht="16.05" customHeight="1" x14ac:dyDescent="0.3">
      <c r="B132" s="17" t="str">
        <f t="shared" si="1"/>
        <v/>
      </c>
    </row>
    <row r="133" spans="2:2" ht="16.05" customHeight="1" x14ac:dyDescent="0.3">
      <c r="B133" s="17" t="str">
        <f t="shared" si="1"/>
        <v/>
      </c>
    </row>
    <row r="134" spans="2:2" ht="16.05" customHeight="1" x14ac:dyDescent="0.3">
      <c r="B134" s="17" t="str">
        <f t="shared" si="1"/>
        <v/>
      </c>
    </row>
    <row r="135" spans="2:2" ht="16.05" customHeight="1" x14ac:dyDescent="0.3">
      <c r="B135" s="17" t="str">
        <f t="shared" si="1"/>
        <v/>
      </c>
    </row>
    <row r="136" spans="2:2" ht="16.05" customHeight="1" x14ac:dyDescent="0.3">
      <c r="B136" s="17" t="str">
        <f t="shared" si="1"/>
        <v/>
      </c>
    </row>
    <row r="137" spans="2:2" ht="16.05" customHeight="1" x14ac:dyDescent="0.3">
      <c r="B137" s="17" t="str">
        <f t="shared" si="1"/>
        <v/>
      </c>
    </row>
    <row r="138" spans="2:2" ht="16.05" customHeight="1" x14ac:dyDescent="0.3">
      <c r="B138" s="17" t="str">
        <f t="shared" ref="B138:B185" si="2">IF(D138=0,"",HYPERLINK("H:\Projekte\Projekte aktuell\Sonstige Projekte\1139 - ENSET\AP09_Innolab\Akquise\Datenbank &amp; Liste\"&amp;D138&amp;"_"&amp;F138,D138&amp;"_"&amp;F138))</f>
        <v/>
      </c>
    </row>
    <row r="139" spans="2:2" ht="16.05" customHeight="1" x14ac:dyDescent="0.3">
      <c r="B139" s="17" t="str">
        <f t="shared" si="2"/>
        <v/>
      </c>
    </row>
    <row r="140" spans="2:2" ht="16.05" customHeight="1" x14ac:dyDescent="0.3">
      <c r="B140" s="17" t="str">
        <f t="shared" si="2"/>
        <v/>
      </c>
    </row>
    <row r="141" spans="2:2" ht="16.05" customHeight="1" x14ac:dyDescent="0.3">
      <c r="B141" s="17" t="str">
        <f t="shared" si="2"/>
        <v/>
      </c>
    </row>
    <row r="142" spans="2:2" ht="16.05" customHeight="1" x14ac:dyDescent="0.3">
      <c r="B142" s="17" t="str">
        <f t="shared" si="2"/>
        <v/>
      </c>
    </row>
    <row r="143" spans="2:2" ht="16.05" customHeight="1" x14ac:dyDescent="0.3">
      <c r="B143" s="17" t="str">
        <f t="shared" si="2"/>
        <v/>
      </c>
    </row>
    <row r="144" spans="2:2" ht="16.05" customHeight="1" x14ac:dyDescent="0.3">
      <c r="B144" s="17" t="str">
        <f t="shared" si="2"/>
        <v/>
      </c>
    </row>
    <row r="145" spans="2:2" ht="16.05" customHeight="1" x14ac:dyDescent="0.3">
      <c r="B145" s="17" t="str">
        <f t="shared" si="2"/>
        <v/>
      </c>
    </row>
    <row r="146" spans="2:2" ht="16.05" customHeight="1" x14ac:dyDescent="0.3">
      <c r="B146" s="17" t="str">
        <f t="shared" si="2"/>
        <v/>
      </c>
    </row>
    <row r="147" spans="2:2" ht="16.05" customHeight="1" x14ac:dyDescent="0.3">
      <c r="B147" s="17" t="str">
        <f t="shared" si="2"/>
        <v/>
      </c>
    </row>
    <row r="148" spans="2:2" ht="16.05" customHeight="1" x14ac:dyDescent="0.3">
      <c r="B148" s="17" t="str">
        <f t="shared" si="2"/>
        <v/>
      </c>
    </row>
    <row r="149" spans="2:2" ht="16.05" customHeight="1" x14ac:dyDescent="0.3">
      <c r="B149" s="17" t="str">
        <f t="shared" si="2"/>
        <v/>
      </c>
    </row>
    <row r="150" spans="2:2" ht="16.05" customHeight="1" x14ac:dyDescent="0.3">
      <c r="B150" s="17" t="str">
        <f t="shared" si="2"/>
        <v/>
      </c>
    </row>
    <row r="151" spans="2:2" ht="16.05" customHeight="1" x14ac:dyDescent="0.3">
      <c r="B151" s="17" t="str">
        <f t="shared" si="2"/>
        <v/>
      </c>
    </row>
    <row r="152" spans="2:2" ht="16.05" customHeight="1" x14ac:dyDescent="0.3">
      <c r="B152" s="17" t="str">
        <f t="shared" si="2"/>
        <v/>
      </c>
    </row>
    <row r="153" spans="2:2" ht="16.05" customHeight="1" x14ac:dyDescent="0.3">
      <c r="B153" s="17" t="str">
        <f t="shared" si="2"/>
        <v/>
      </c>
    </row>
    <row r="154" spans="2:2" ht="16.05" customHeight="1" x14ac:dyDescent="0.3">
      <c r="B154" s="17" t="str">
        <f t="shared" si="2"/>
        <v/>
      </c>
    </row>
    <row r="155" spans="2:2" ht="16.05" customHeight="1" x14ac:dyDescent="0.3">
      <c r="B155" s="17" t="str">
        <f t="shared" si="2"/>
        <v/>
      </c>
    </row>
    <row r="156" spans="2:2" ht="16.05" customHeight="1" x14ac:dyDescent="0.3">
      <c r="B156" s="17" t="str">
        <f t="shared" si="2"/>
        <v/>
      </c>
    </row>
    <row r="157" spans="2:2" ht="16.05" customHeight="1" x14ac:dyDescent="0.3">
      <c r="B157" s="17" t="str">
        <f t="shared" si="2"/>
        <v/>
      </c>
    </row>
    <row r="158" spans="2:2" ht="16.05" customHeight="1" x14ac:dyDescent="0.3">
      <c r="B158" s="17" t="str">
        <f t="shared" si="2"/>
        <v/>
      </c>
    </row>
    <row r="159" spans="2:2" ht="16.05" customHeight="1" x14ac:dyDescent="0.3">
      <c r="B159" s="17" t="str">
        <f t="shared" si="2"/>
        <v/>
      </c>
    </row>
    <row r="160" spans="2:2" ht="16.05" customHeight="1" x14ac:dyDescent="0.3">
      <c r="B160" s="17" t="str">
        <f t="shared" si="2"/>
        <v/>
      </c>
    </row>
    <row r="161" spans="2:2" ht="16.05" customHeight="1" x14ac:dyDescent="0.3">
      <c r="B161" s="17" t="str">
        <f t="shared" si="2"/>
        <v/>
      </c>
    </row>
    <row r="162" spans="2:2" ht="16.05" customHeight="1" x14ac:dyDescent="0.3">
      <c r="B162" s="17" t="str">
        <f t="shared" si="2"/>
        <v/>
      </c>
    </row>
    <row r="163" spans="2:2" ht="16.05" customHeight="1" x14ac:dyDescent="0.3">
      <c r="B163" s="17" t="str">
        <f t="shared" si="2"/>
        <v/>
      </c>
    </row>
    <row r="164" spans="2:2" ht="16.05" customHeight="1" x14ac:dyDescent="0.3">
      <c r="B164" s="17" t="str">
        <f t="shared" si="2"/>
        <v/>
      </c>
    </row>
    <row r="165" spans="2:2" ht="16.05" customHeight="1" x14ac:dyDescent="0.3">
      <c r="B165" s="17" t="str">
        <f t="shared" si="2"/>
        <v/>
      </c>
    </row>
    <row r="166" spans="2:2" ht="16.05" customHeight="1" x14ac:dyDescent="0.3">
      <c r="B166" s="17" t="str">
        <f t="shared" si="2"/>
        <v/>
      </c>
    </row>
    <row r="167" spans="2:2" ht="16.05" customHeight="1" x14ac:dyDescent="0.3">
      <c r="B167" s="17" t="str">
        <f t="shared" si="2"/>
        <v/>
      </c>
    </row>
    <row r="168" spans="2:2" ht="16.05" customHeight="1" x14ac:dyDescent="0.3">
      <c r="B168" s="17" t="str">
        <f t="shared" si="2"/>
        <v/>
      </c>
    </row>
    <row r="169" spans="2:2" ht="16.05" customHeight="1" x14ac:dyDescent="0.3">
      <c r="B169" s="17" t="str">
        <f t="shared" si="2"/>
        <v/>
      </c>
    </row>
    <row r="170" spans="2:2" ht="16.05" customHeight="1" x14ac:dyDescent="0.3">
      <c r="B170" s="17" t="str">
        <f t="shared" si="2"/>
        <v/>
      </c>
    </row>
    <row r="171" spans="2:2" ht="16.05" customHeight="1" x14ac:dyDescent="0.3">
      <c r="B171" s="17" t="str">
        <f t="shared" si="2"/>
        <v/>
      </c>
    </row>
    <row r="172" spans="2:2" ht="16.05" customHeight="1" x14ac:dyDescent="0.3">
      <c r="B172" s="17" t="str">
        <f t="shared" si="2"/>
        <v/>
      </c>
    </row>
    <row r="173" spans="2:2" ht="16.05" customHeight="1" x14ac:dyDescent="0.3">
      <c r="B173" s="17" t="str">
        <f t="shared" si="2"/>
        <v/>
      </c>
    </row>
    <row r="174" spans="2:2" ht="16.05" customHeight="1" x14ac:dyDescent="0.3">
      <c r="B174" s="17" t="str">
        <f t="shared" si="2"/>
        <v/>
      </c>
    </row>
    <row r="175" spans="2:2" ht="16.05" customHeight="1" x14ac:dyDescent="0.3">
      <c r="B175" s="17" t="str">
        <f t="shared" si="2"/>
        <v/>
      </c>
    </row>
    <row r="176" spans="2:2" ht="16.05" customHeight="1" x14ac:dyDescent="0.3">
      <c r="B176" s="17" t="str">
        <f t="shared" si="2"/>
        <v/>
      </c>
    </row>
    <row r="177" spans="2:2" ht="16.05" customHeight="1" x14ac:dyDescent="0.3">
      <c r="B177" s="17" t="str">
        <f t="shared" si="2"/>
        <v/>
      </c>
    </row>
    <row r="178" spans="2:2" ht="16.05" customHeight="1" x14ac:dyDescent="0.3">
      <c r="B178" s="17" t="str">
        <f t="shared" si="2"/>
        <v/>
      </c>
    </row>
    <row r="179" spans="2:2" ht="16.05" customHeight="1" x14ac:dyDescent="0.3">
      <c r="B179" s="17" t="str">
        <f t="shared" si="2"/>
        <v/>
      </c>
    </row>
    <row r="180" spans="2:2" ht="16.05" customHeight="1" x14ac:dyDescent="0.3">
      <c r="B180" s="17" t="str">
        <f t="shared" si="2"/>
        <v/>
      </c>
    </row>
    <row r="181" spans="2:2" ht="16.05" customHeight="1" x14ac:dyDescent="0.3">
      <c r="B181" s="17" t="str">
        <f t="shared" si="2"/>
        <v/>
      </c>
    </row>
    <row r="182" spans="2:2" ht="16.05" customHeight="1" x14ac:dyDescent="0.3">
      <c r="B182" s="17" t="str">
        <f t="shared" si="2"/>
        <v/>
      </c>
    </row>
    <row r="183" spans="2:2" ht="16.05" customHeight="1" x14ac:dyDescent="0.3">
      <c r="B183" s="17" t="str">
        <f t="shared" si="2"/>
        <v/>
      </c>
    </row>
    <row r="184" spans="2:2" ht="16.05" customHeight="1" x14ac:dyDescent="0.3">
      <c r="B184" s="17" t="str">
        <f t="shared" si="2"/>
        <v/>
      </c>
    </row>
    <row r="185" spans="2:2" ht="16.05" customHeight="1" x14ac:dyDescent="0.3">
      <c r="B185" s="17" t="str">
        <f t="shared" si="2"/>
        <v/>
      </c>
    </row>
    <row r="186" spans="2:2" ht="16.05" customHeight="1" x14ac:dyDescent="0.3">
      <c r="B186" s="18"/>
    </row>
    <row r="187" spans="2:2" ht="16.05" customHeight="1" x14ac:dyDescent="0.3">
      <c r="B187" s="18"/>
    </row>
    <row r="188" spans="2:2" ht="16.05" customHeight="1" x14ac:dyDescent="0.3">
      <c r="B188" s="18"/>
    </row>
    <row r="189" spans="2:2" ht="16.05" customHeight="1" x14ac:dyDescent="0.3">
      <c r="B189" s="18"/>
    </row>
    <row r="190" spans="2:2" ht="16.05" customHeight="1" x14ac:dyDescent="0.3">
      <c r="B190" s="18"/>
    </row>
    <row r="191" spans="2:2" ht="16.05" customHeight="1" x14ac:dyDescent="0.3">
      <c r="B191" s="18"/>
    </row>
    <row r="192" spans="2:2" ht="16.05" customHeight="1" x14ac:dyDescent="0.3">
      <c r="B192" s="18"/>
    </row>
    <row r="193" spans="2:2" ht="16.05" customHeight="1" x14ac:dyDescent="0.3">
      <c r="B193" s="18"/>
    </row>
    <row r="194" spans="2:2" ht="16.05" customHeight="1" x14ac:dyDescent="0.3">
      <c r="B194" s="18"/>
    </row>
    <row r="195" spans="2:2" ht="16.05" customHeight="1" x14ac:dyDescent="0.3">
      <c r="B195" s="18"/>
    </row>
    <row r="196" spans="2:2" ht="16.05" customHeight="1" x14ac:dyDescent="0.3">
      <c r="B196" s="18"/>
    </row>
    <row r="197" spans="2:2" ht="16.05" customHeight="1" x14ac:dyDescent="0.3">
      <c r="B197" s="18"/>
    </row>
    <row r="198" spans="2:2" ht="16.05" customHeight="1" x14ac:dyDescent="0.3">
      <c r="B198" s="18"/>
    </row>
    <row r="199" spans="2:2" ht="16.05" customHeight="1" x14ac:dyDescent="0.3">
      <c r="B199" s="18"/>
    </row>
    <row r="200" spans="2:2" ht="16.05" customHeight="1" x14ac:dyDescent="0.3">
      <c r="B200" s="18"/>
    </row>
  </sheetData>
  <mergeCells count="3">
    <mergeCell ref="C5:U5"/>
    <mergeCell ref="G2:H3"/>
    <mergeCell ref="C2:F3"/>
  </mergeCells>
  <dataValidations count="1">
    <dataValidation type="list" allowBlank="1" showInputMessage="1" showErrorMessage="1" sqref="G2" xr:uid="{9A706BB0-03FA-4A8E-B1ED-23D47F46B031}">
      <formula1>"KID,Vorname,Nachname,Firma/Organisation/Verein/Tätigkeit"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3" name="Button 30">
              <controlPr defaultSize="0" print="0" autoFill="0" autoPict="0" macro="[0]!Datenbank_bearbeiten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1828800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Gebaeudedaten_bearbeiten">
                <anchor moveWithCells="1" sizeWithCells="1">
                  <from>
                    <xdr:col>0</xdr:col>
                    <xdr:colOff>152400</xdr:colOff>
                    <xdr:row>4</xdr:row>
                    <xdr:rowOff>106680</xdr:rowOff>
                  </from>
                  <to>
                    <xdr:col>0</xdr:col>
                    <xdr:colOff>1828800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obilitaetsdaten_bearbeiten">
                <anchor moveWithCells="1" sizeWithCells="1">
                  <from>
                    <xdr:col>0</xdr:col>
                    <xdr:colOff>152400</xdr:colOff>
                    <xdr:row>7</xdr:row>
                    <xdr:rowOff>114300</xdr:rowOff>
                  </from>
                  <to>
                    <xdr:col>0</xdr:col>
                    <xdr:colOff>1828800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EEGDaten_bearbeiten">
                <anchor moveWithCells="1" sizeWithCells="1">
                  <from>
                    <xdr:col>0</xdr:col>
                    <xdr:colOff>152400</xdr:colOff>
                    <xdr:row>10</xdr:row>
                    <xdr:rowOff>114300</xdr:rowOff>
                  </from>
                  <to>
                    <xdr:col>0</xdr:col>
                    <xdr:colOff>1828800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EEGTeilnehmer_bearbeiten">
                <anchor moveWithCells="1" sizeWithCells="1">
                  <from>
                    <xdr:col>0</xdr:col>
                    <xdr:colOff>152400</xdr:colOff>
                    <xdr:row>13</xdr:row>
                    <xdr:rowOff>121920</xdr:rowOff>
                  </from>
                  <to>
                    <xdr:col>0</xdr:col>
                    <xdr:colOff>1828800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9EEC-5D3B-442F-8DB7-310604BFA92D}">
  <sheetPr codeName="Tabelle2"/>
  <dimension ref="A1:S3"/>
  <sheetViews>
    <sheetView showGridLines="0" zoomScale="101" zoomScaleNormal="400" workbookViewId="0"/>
  </sheetViews>
  <sheetFormatPr baseColWidth="10" defaultColWidth="11.44140625" defaultRowHeight="14.4" x14ac:dyDescent="0.3"/>
  <cols>
    <col min="1" max="1" width="8.44140625" style="1" bestFit="1" customWidth="1"/>
    <col min="2" max="2" width="18.6640625" style="16" bestFit="1" customWidth="1"/>
    <col min="3" max="3" width="13.109375" style="1" bestFit="1" customWidth="1"/>
    <col min="4" max="4" width="14.6640625" style="1" bestFit="1" customWidth="1"/>
    <col min="5" max="5" width="13.109375" style="1" bestFit="1" customWidth="1"/>
    <col min="6" max="6" width="21.33203125" style="1" bestFit="1" customWidth="1"/>
    <col min="7" max="7" width="37.109375" style="1" bestFit="1" customWidth="1"/>
    <col min="8" max="8" width="8.44140625" style="1" bestFit="1" customWidth="1"/>
    <col min="9" max="9" width="8.109375" style="1" bestFit="1" customWidth="1"/>
    <col min="10" max="10" width="14.6640625" bestFit="1" customWidth="1"/>
    <col min="11" max="11" width="17" bestFit="1" customWidth="1"/>
    <col min="12" max="12" width="16.88671875" bestFit="1" customWidth="1"/>
    <col min="13" max="13" width="13.77734375" bestFit="1" customWidth="1"/>
    <col min="14" max="14" width="14.6640625" bestFit="1" customWidth="1"/>
    <col min="15" max="15" width="15.77734375" bestFit="1" customWidth="1"/>
    <col min="16" max="16" width="21.77734375" bestFit="1" customWidth="1"/>
    <col min="17" max="17" width="24" bestFit="1" customWidth="1"/>
    <col min="18" max="18" width="13.109375" bestFit="1" customWidth="1"/>
    <col min="19" max="19" width="24.21875" bestFit="1" customWidth="1"/>
  </cols>
  <sheetData>
    <row r="1" spans="1:19" x14ac:dyDescent="0.3">
      <c r="A1" s="10" t="s">
        <v>29</v>
      </c>
      <c r="B1" s="15" t="s">
        <v>72</v>
      </c>
      <c r="C1" s="10" t="s">
        <v>9</v>
      </c>
      <c r="D1" s="10" t="s">
        <v>8</v>
      </c>
      <c r="E1" s="10" t="s">
        <v>2</v>
      </c>
      <c r="F1" s="10" t="s">
        <v>3</v>
      </c>
      <c r="G1" s="10" t="s">
        <v>73</v>
      </c>
      <c r="H1" s="10" t="s">
        <v>32</v>
      </c>
      <c r="I1" s="10" t="s">
        <v>23</v>
      </c>
      <c r="J1" s="10" t="s">
        <v>33</v>
      </c>
      <c r="K1" s="10" t="s">
        <v>34</v>
      </c>
      <c r="L1" s="10" t="s">
        <v>63</v>
      </c>
      <c r="M1" s="10" t="s">
        <v>35</v>
      </c>
      <c r="N1" s="10" t="s">
        <v>36</v>
      </c>
      <c r="O1" s="10" t="s">
        <v>69</v>
      </c>
      <c r="P1" s="10" t="s">
        <v>68</v>
      </c>
      <c r="Q1" s="10" t="s">
        <v>77</v>
      </c>
      <c r="R1" s="10" t="s">
        <v>70</v>
      </c>
      <c r="S1" s="10" t="s">
        <v>71</v>
      </c>
    </row>
    <row r="2" spans="1:19" x14ac:dyDescent="0.3">
      <c r="A2" s="1">
        <f t="shared" ref="A2:A3" si="0">ROW(A2)-1</f>
        <v>1</v>
      </c>
      <c r="B2" s="16" t="s">
        <v>78</v>
      </c>
      <c r="C2" s="1" t="s">
        <v>57</v>
      </c>
      <c r="D2" s="1" t="s">
        <v>58</v>
      </c>
      <c r="E2" s="8" t="s">
        <v>59</v>
      </c>
      <c r="F2" s="9" t="s">
        <v>60</v>
      </c>
      <c r="G2" s="1" t="s">
        <v>82</v>
      </c>
      <c r="H2" s="1">
        <v>1090</v>
      </c>
      <c r="I2" s="1" t="s">
        <v>61</v>
      </c>
      <c r="J2" t="s">
        <v>62</v>
      </c>
      <c r="K2">
        <v>68</v>
      </c>
      <c r="L2">
        <v>6</v>
      </c>
      <c r="M2" t="s">
        <v>65</v>
      </c>
      <c r="N2" t="s">
        <v>64</v>
      </c>
      <c r="O2" t="s">
        <v>67</v>
      </c>
      <c r="P2" t="s">
        <v>64</v>
      </c>
      <c r="Q2" t="s">
        <v>64</v>
      </c>
      <c r="R2" t="s">
        <v>80</v>
      </c>
      <c r="S2" t="s">
        <v>67</v>
      </c>
    </row>
    <row r="3" spans="1:19" x14ac:dyDescent="0.3">
      <c r="A3" s="1">
        <f t="shared" si="0"/>
        <v>2</v>
      </c>
      <c r="C3" s="1" t="s">
        <v>57</v>
      </c>
      <c r="D3" s="1" t="s">
        <v>58</v>
      </c>
      <c r="E3" s="8" t="s">
        <v>59</v>
      </c>
      <c r="F3" s="9" t="s">
        <v>60</v>
      </c>
      <c r="G3" s="1" t="s">
        <v>83</v>
      </c>
      <c r="H3" s="1">
        <v>1091</v>
      </c>
      <c r="I3" s="1" t="s">
        <v>61</v>
      </c>
      <c r="J3" t="s">
        <v>62</v>
      </c>
      <c r="K3">
        <v>68</v>
      </c>
      <c r="L3">
        <v>6</v>
      </c>
      <c r="M3" t="s">
        <v>66</v>
      </c>
      <c r="N3" t="s">
        <v>67</v>
      </c>
      <c r="O3" t="s">
        <v>64</v>
      </c>
      <c r="P3" t="s">
        <v>67</v>
      </c>
      <c r="Q3" t="s">
        <v>64</v>
      </c>
      <c r="R3" t="s">
        <v>64</v>
      </c>
      <c r="S3" t="s">
        <v>64</v>
      </c>
    </row>
  </sheetData>
  <hyperlinks>
    <hyperlink ref="F2" r:id="rId1" xr:uid="{6F2664F0-BA4F-4EE5-8616-3665F1B79A5F}"/>
    <hyperlink ref="F3" r:id="rId2" xr:uid="{530BD57A-23D3-4B92-9F84-1CC795F2153E}"/>
  </hyperlinks>
  <pageMargins left="0.7" right="0.7" top="0.78740157499999996" bottom="0.78740157499999996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75CE-CC7A-48BB-9D8C-FE45BEE89A3D}">
  <sheetPr codeName="Tabelle3"/>
  <dimension ref="A1:Z2"/>
  <sheetViews>
    <sheetView zoomScaleNormal="100" workbookViewId="0"/>
  </sheetViews>
  <sheetFormatPr baseColWidth="10" defaultRowHeight="14.4" x14ac:dyDescent="0.3"/>
  <cols>
    <col min="1" max="1" width="8.5546875" bestFit="1" customWidth="1"/>
    <col min="2" max="2" width="8.33203125" bestFit="1" customWidth="1"/>
    <col min="3" max="3" width="18.109375" bestFit="1" customWidth="1"/>
    <col min="4" max="4" width="62.33203125" bestFit="1" customWidth="1"/>
    <col min="5" max="5" width="11.77734375" bestFit="1" customWidth="1"/>
    <col min="6" max="6" width="11.77734375" customWidth="1"/>
    <col min="7" max="7" width="11" bestFit="1" customWidth="1"/>
    <col min="8" max="8" width="9.5546875" bestFit="1" customWidth="1"/>
    <col min="9" max="9" width="18.88671875" bestFit="1" customWidth="1"/>
    <col min="10" max="10" width="19.77734375" bestFit="1" customWidth="1"/>
    <col min="11" max="11" width="24.6640625" bestFit="1" customWidth="1"/>
    <col min="12" max="12" width="17" bestFit="1" customWidth="1"/>
    <col min="13" max="13" width="24.21875" bestFit="1" customWidth="1"/>
    <col min="14" max="14" width="17.33203125" bestFit="1" customWidth="1"/>
    <col min="15" max="15" width="24.5546875" bestFit="1" customWidth="1"/>
    <col min="16" max="16" width="6.88671875" bestFit="1" customWidth="1"/>
    <col min="17" max="17" width="8.5546875" bestFit="1" customWidth="1"/>
    <col min="18" max="18" width="21.33203125" bestFit="1" customWidth="1"/>
    <col min="19" max="19" width="28.77734375" bestFit="1" customWidth="1"/>
    <col min="20" max="20" width="16.109375" bestFit="1" customWidth="1"/>
    <col min="21" max="21" width="19.44140625" bestFit="1" customWidth="1"/>
    <col min="22" max="22" width="23.33203125" bestFit="1" customWidth="1"/>
    <col min="23" max="23" width="26.77734375" bestFit="1" customWidth="1"/>
    <col min="24" max="24" width="17.21875" bestFit="1" customWidth="1"/>
    <col min="25" max="25" width="13.5546875" bestFit="1" customWidth="1"/>
    <col min="26" max="26" width="19.33203125" bestFit="1" customWidth="1"/>
  </cols>
  <sheetData>
    <row r="1" spans="1:26" x14ac:dyDescent="0.3">
      <c r="A1" s="10" t="s">
        <v>19</v>
      </c>
      <c r="B1" s="10" t="s">
        <v>29</v>
      </c>
      <c r="C1" s="10" t="s">
        <v>12</v>
      </c>
      <c r="D1" s="10" t="s">
        <v>11</v>
      </c>
      <c r="E1" s="10" t="s">
        <v>4</v>
      </c>
      <c r="F1" s="10" t="s">
        <v>85</v>
      </c>
      <c r="G1" s="10" t="s">
        <v>86</v>
      </c>
      <c r="H1" s="10" t="s">
        <v>87</v>
      </c>
      <c r="I1" s="10" t="s">
        <v>74</v>
      </c>
      <c r="J1" s="10" t="s">
        <v>75</v>
      </c>
      <c r="K1" s="10" t="s">
        <v>76</v>
      </c>
      <c r="L1" s="10" t="s">
        <v>5</v>
      </c>
      <c r="M1" s="10" t="s">
        <v>44</v>
      </c>
      <c r="N1" s="10" t="s">
        <v>6</v>
      </c>
      <c r="O1" s="10" t="s">
        <v>43</v>
      </c>
      <c r="Z1" s="3"/>
    </row>
    <row r="2" spans="1:26" x14ac:dyDescent="0.3">
      <c r="A2">
        <f>ROW(A2)-1</f>
        <v>1</v>
      </c>
    </row>
  </sheetData>
  <pageMargins left="0.7" right="0.7" top="0.78740157499999996" bottom="0.78740157499999996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FE1A-1FA7-4743-87BB-9F9791F4FAA3}">
  <sheetPr codeName="Tabelle6"/>
  <dimension ref="A1:H3"/>
  <sheetViews>
    <sheetView workbookViewId="0"/>
  </sheetViews>
  <sheetFormatPr baseColWidth="10" defaultRowHeight="14.4" x14ac:dyDescent="0.3"/>
  <cols>
    <col min="1" max="1" width="6" customWidth="1"/>
    <col min="2" max="2" width="5.5546875" customWidth="1"/>
    <col min="3" max="3" width="14.5546875" customWidth="1"/>
    <col min="4" max="4" width="26" customWidth="1"/>
    <col min="5" max="5" width="17.88671875" customWidth="1"/>
    <col min="6" max="6" width="30" bestFit="1" customWidth="1"/>
    <col min="7" max="7" width="15.44140625" customWidth="1"/>
    <col min="8" max="8" width="12.6640625" customWidth="1"/>
  </cols>
  <sheetData>
    <row r="1" spans="1:8" x14ac:dyDescent="0.3">
      <c r="A1" s="10" t="s">
        <v>20</v>
      </c>
      <c r="B1" s="10" t="s">
        <v>29</v>
      </c>
      <c r="C1" s="10" t="s">
        <v>14</v>
      </c>
      <c r="D1" s="10" t="s">
        <v>13</v>
      </c>
      <c r="E1" s="10" t="s">
        <v>37</v>
      </c>
      <c r="F1" s="10" t="s">
        <v>15</v>
      </c>
      <c r="G1" s="10" t="s">
        <v>7</v>
      </c>
      <c r="H1" s="10" t="s">
        <v>10</v>
      </c>
    </row>
    <row r="2" spans="1:8" x14ac:dyDescent="0.3">
      <c r="A2">
        <f>ROW(A2)-1</f>
        <v>1</v>
      </c>
      <c r="C2" t="s">
        <v>84</v>
      </c>
    </row>
    <row r="3" spans="1:8" x14ac:dyDescent="0.3">
      <c r="A3">
        <f>ROW(A3)-1</f>
        <v>2</v>
      </c>
      <c r="C3" t="s">
        <v>84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DB1A-7025-4C3C-A74B-20A2136545D7}">
  <sheetPr codeName="Tabelle7"/>
  <dimension ref="A1:S19"/>
  <sheetViews>
    <sheetView workbookViewId="0"/>
  </sheetViews>
  <sheetFormatPr baseColWidth="10" defaultRowHeight="14.4" x14ac:dyDescent="0.3"/>
  <cols>
    <col min="2" max="2" width="7.77734375" customWidth="1"/>
    <col min="3" max="3" width="19" bestFit="1" customWidth="1"/>
    <col min="4" max="4" width="21.77734375" bestFit="1" customWidth="1"/>
    <col min="5" max="5" width="29.6640625" bestFit="1" customWidth="1"/>
    <col min="6" max="6" width="41.44140625" bestFit="1" customWidth="1"/>
    <col min="7" max="7" width="22.33203125" bestFit="1" customWidth="1"/>
    <col min="8" max="8" width="14.21875" customWidth="1"/>
    <col min="9" max="9" width="5.77734375" customWidth="1"/>
    <col min="10" max="10" width="13.21875" bestFit="1" customWidth="1"/>
    <col min="11" max="11" width="31.6640625" bestFit="1" customWidth="1"/>
    <col min="12" max="12" width="18.6640625" bestFit="1" customWidth="1"/>
    <col min="13" max="13" width="23.33203125" bestFit="1" customWidth="1"/>
    <col min="14" max="14" width="29.88671875" customWidth="1"/>
  </cols>
  <sheetData>
    <row r="1" spans="1:19" x14ac:dyDescent="0.3">
      <c r="A1" s="10" t="s">
        <v>0</v>
      </c>
      <c r="B1" s="10" t="s">
        <v>22</v>
      </c>
      <c r="C1" s="10" t="s">
        <v>30</v>
      </c>
      <c r="D1" s="10" t="s">
        <v>25</v>
      </c>
      <c r="E1" s="10" t="s">
        <v>38</v>
      </c>
      <c r="F1" s="10" t="s">
        <v>24</v>
      </c>
      <c r="G1" s="10" t="s">
        <v>26</v>
      </c>
      <c r="H1" s="10" t="s">
        <v>39</v>
      </c>
      <c r="I1" s="10" t="s">
        <v>27</v>
      </c>
      <c r="J1" s="10" t="s">
        <v>28</v>
      </c>
      <c r="K1" s="10" t="s">
        <v>40</v>
      </c>
      <c r="L1" s="10" t="s">
        <v>1</v>
      </c>
      <c r="M1" s="10" t="s">
        <v>31</v>
      </c>
      <c r="N1" s="10" t="s">
        <v>41</v>
      </c>
      <c r="O1" s="10" t="s">
        <v>42</v>
      </c>
    </row>
    <row r="2" spans="1:19" x14ac:dyDescent="0.3">
      <c r="A2">
        <f>ROW(A2)-1</f>
        <v>1</v>
      </c>
      <c r="I2" s="1"/>
    </row>
    <row r="9" spans="1:19" x14ac:dyDescent="0.3"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x14ac:dyDescent="0.3">
      <c r="F10" s="5"/>
      <c r="G10" s="5"/>
      <c r="H10" s="5"/>
      <c r="I10" s="5"/>
      <c r="J10" s="5"/>
      <c r="K10" s="6"/>
      <c r="L10" s="5"/>
      <c r="M10" s="5"/>
      <c r="N10" s="5"/>
      <c r="O10" s="5"/>
      <c r="P10" s="5"/>
      <c r="Q10" s="5"/>
      <c r="R10" s="5"/>
      <c r="S10" s="5"/>
    </row>
    <row r="11" spans="1:19" x14ac:dyDescent="0.3">
      <c r="F11" s="5"/>
      <c r="G11" s="5"/>
      <c r="H11" s="5"/>
      <c r="I11" s="5"/>
      <c r="J11" s="5"/>
      <c r="K11" s="6"/>
      <c r="L11" s="5"/>
      <c r="M11" s="5"/>
      <c r="N11" s="5"/>
      <c r="O11" s="5"/>
      <c r="P11" s="5"/>
      <c r="Q11" s="5"/>
      <c r="R11" s="5"/>
      <c r="S11" s="5"/>
    </row>
    <row r="12" spans="1:19" x14ac:dyDescent="0.3">
      <c r="F12" s="5"/>
      <c r="G12" s="5"/>
      <c r="H12" s="5"/>
      <c r="I12" s="5"/>
      <c r="J12" s="5"/>
      <c r="K12" s="6"/>
      <c r="L12" s="5"/>
      <c r="M12" s="5"/>
      <c r="N12" s="5"/>
      <c r="O12" s="5"/>
      <c r="P12" s="5"/>
      <c r="Q12" s="5"/>
      <c r="R12" s="5"/>
      <c r="S12" s="5"/>
    </row>
    <row r="13" spans="1:19" x14ac:dyDescent="0.3">
      <c r="F13" s="5"/>
      <c r="G13" s="5"/>
      <c r="H13" s="5"/>
      <c r="I13" s="5"/>
      <c r="J13" s="5"/>
      <c r="K13" s="6"/>
      <c r="L13" s="5"/>
      <c r="M13" s="5"/>
      <c r="N13" s="5"/>
      <c r="O13" s="5"/>
      <c r="P13" s="5"/>
      <c r="Q13" s="5"/>
      <c r="R13" s="5"/>
      <c r="S13" s="5"/>
    </row>
    <row r="14" spans="1:19" x14ac:dyDescent="0.3">
      <c r="F14" s="5"/>
      <c r="G14" s="5"/>
      <c r="H14" s="5"/>
      <c r="I14" s="5"/>
      <c r="J14" s="5"/>
      <c r="K14" s="6"/>
      <c r="L14" s="5"/>
      <c r="M14" s="5"/>
      <c r="N14" s="5"/>
      <c r="O14" s="5"/>
      <c r="P14" s="5"/>
      <c r="Q14" s="5"/>
      <c r="R14" s="5"/>
      <c r="S14" s="5"/>
    </row>
    <row r="15" spans="1:19" x14ac:dyDescent="0.3">
      <c r="F15" s="5"/>
      <c r="G15" s="5"/>
      <c r="H15" s="5"/>
      <c r="I15" s="5"/>
      <c r="J15" s="5"/>
      <c r="K15" s="6"/>
      <c r="L15" s="5"/>
      <c r="M15" s="5"/>
      <c r="N15" s="5"/>
      <c r="O15" s="5"/>
      <c r="P15" s="5"/>
      <c r="Q15" s="5"/>
      <c r="R15" s="5"/>
      <c r="S15" s="5"/>
    </row>
    <row r="16" spans="1:19" x14ac:dyDescent="0.3">
      <c r="F16" s="5"/>
      <c r="G16" s="5"/>
      <c r="H16" s="5"/>
      <c r="I16" s="5"/>
      <c r="J16" s="5"/>
      <c r="K16" s="6"/>
      <c r="L16" s="5"/>
      <c r="M16" s="5"/>
      <c r="N16" s="5"/>
      <c r="O16" s="5"/>
      <c r="P16" s="5"/>
      <c r="Q16" s="5"/>
      <c r="R16" s="5"/>
      <c r="S16" s="5"/>
    </row>
    <row r="17" spans="6:19" x14ac:dyDescent="0.3">
      <c r="F17" s="5"/>
      <c r="G17" s="5"/>
      <c r="H17" s="5"/>
      <c r="I17" s="5"/>
      <c r="J17" s="5"/>
      <c r="K17" s="6"/>
      <c r="L17" s="5"/>
      <c r="M17" s="5"/>
      <c r="N17" s="5"/>
      <c r="O17" s="5"/>
      <c r="P17" s="5"/>
      <c r="Q17" s="5"/>
      <c r="R17" s="5"/>
      <c r="S17" s="5"/>
    </row>
    <row r="18" spans="6:19" x14ac:dyDescent="0.3">
      <c r="F18" s="5"/>
      <c r="G18" s="5"/>
      <c r="H18" s="5"/>
      <c r="I18" s="5"/>
      <c r="J18" s="5"/>
      <c r="K18" s="6"/>
      <c r="L18" s="5"/>
      <c r="M18" s="5"/>
      <c r="N18" s="5"/>
      <c r="O18" s="5"/>
      <c r="P18" s="5"/>
      <c r="Q18" s="5"/>
      <c r="R18" s="5"/>
      <c r="S18" s="5"/>
    </row>
    <row r="19" spans="6:19" x14ac:dyDescent="0.3">
      <c r="F19" s="5"/>
      <c r="G19" s="5"/>
      <c r="H19" s="5"/>
      <c r="I19" s="5"/>
      <c r="J19" s="5"/>
      <c r="K19" s="6"/>
      <c r="L19" s="5"/>
      <c r="M19" s="5"/>
      <c r="N19" s="5"/>
      <c r="O19" s="5"/>
      <c r="P19" s="5"/>
      <c r="Q19" s="5"/>
      <c r="R19" s="5"/>
      <c r="S19" s="5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8FAB-E257-4AEF-BB18-2B21D93BF236}">
  <sheetPr codeName="Tabelle8"/>
  <dimension ref="A1:E2"/>
  <sheetViews>
    <sheetView workbookViewId="0">
      <selection activeCell="A2" sqref="A2"/>
    </sheetView>
  </sheetViews>
  <sheetFormatPr baseColWidth="10" defaultRowHeight="14.4" x14ac:dyDescent="0.3"/>
  <sheetData>
    <row r="1" spans="1:5" x14ac:dyDescent="0.3">
      <c r="A1" s="10" t="s">
        <v>47</v>
      </c>
      <c r="B1" s="10" t="s">
        <v>29</v>
      </c>
      <c r="C1" s="10" t="s">
        <v>0</v>
      </c>
      <c r="D1" s="10" t="s">
        <v>45</v>
      </c>
      <c r="E1" s="10" t="s">
        <v>46</v>
      </c>
    </row>
    <row r="2" spans="1:5" x14ac:dyDescent="0.3">
      <c r="A2">
        <f>ROW(A2)-1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BCB51-F2C9-41A1-B0FE-4F08F8242256}">
  <sheetPr codeName="Tabelle9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2D0D0-3438-439B-BE5D-FCC455145C6D}">
  <sheetPr codeName="Tabelle4"/>
  <dimension ref="A1:J2"/>
  <sheetViews>
    <sheetView workbookViewId="0">
      <selection activeCell="C2" sqref="C2"/>
    </sheetView>
  </sheetViews>
  <sheetFormatPr baseColWidth="10" defaultRowHeight="14.4" x14ac:dyDescent="0.3"/>
  <cols>
    <col min="1" max="1" width="3.6640625" bestFit="1" customWidth="1"/>
    <col min="2" max="2" width="7.88671875" bestFit="1" customWidth="1"/>
    <col min="3" max="3" width="10.109375" bestFit="1" customWidth="1"/>
    <col min="4" max="5" width="10.109375" customWidth="1"/>
    <col min="6" max="6" width="54" bestFit="1" customWidth="1"/>
    <col min="7" max="7" width="24" bestFit="1" customWidth="1"/>
  </cols>
  <sheetData>
    <row r="1" spans="1:10" x14ac:dyDescent="0.3">
      <c r="A1" s="2" t="s">
        <v>29</v>
      </c>
      <c r="B1" s="2" t="s">
        <v>21</v>
      </c>
      <c r="C1" s="2" t="s">
        <v>48</v>
      </c>
      <c r="D1" s="2" t="s">
        <v>54</v>
      </c>
      <c r="E1" s="2" t="s">
        <v>55</v>
      </c>
      <c r="F1" s="2" t="s">
        <v>50</v>
      </c>
      <c r="G1" s="2" t="s">
        <v>18</v>
      </c>
      <c r="H1" s="2" t="s">
        <v>51</v>
      </c>
      <c r="I1" s="2" t="s">
        <v>52</v>
      </c>
      <c r="J1" s="2" t="s">
        <v>53</v>
      </c>
    </row>
    <row r="2" spans="1:10" x14ac:dyDescent="0.3">
      <c r="C2">
        <f>ROW(A2)-1</f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73A9-CF8B-4A0C-BFAC-7F20D7D0F4BA}">
  <sheetPr codeName="Tabelle5"/>
  <dimension ref="A1:C1"/>
  <sheetViews>
    <sheetView workbookViewId="0">
      <selection activeCell="E5" sqref="E5"/>
    </sheetView>
  </sheetViews>
  <sheetFormatPr baseColWidth="10" defaultRowHeight="14.4" x14ac:dyDescent="0.3"/>
  <cols>
    <col min="1" max="1" width="8.5546875" bestFit="1" customWidth="1"/>
    <col min="2" max="2" width="4" bestFit="1" customWidth="1"/>
    <col min="3" max="3" width="4.88671875" bestFit="1" customWidth="1"/>
  </cols>
  <sheetData>
    <row r="1" spans="1:3" x14ac:dyDescent="0.3">
      <c r="A1" s="2" t="s">
        <v>49</v>
      </c>
      <c r="B1" s="2" t="s">
        <v>16</v>
      </c>
      <c r="C1" s="2" t="s">
        <v>17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04B8-224C-4740-A7E0-3FCCB3F295DB}">
  <sheetPr codeName="Tabelle10"/>
  <dimension ref="A1"/>
  <sheetViews>
    <sheetView workbookViewId="0">
      <selection activeCell="K44" sqref="K44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E9DF-2C7A-4073-AF5D-26015E7B59F3}">
  <sheetPr codeName="Tabelle11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471C-FEA2-4AC8-AE2C-EAF4E55B8D6D}">
  <sheetPr codeName="Tabelle1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5</vt:i4>
      </vt:variant>
    </vt:vector>
  </HeadingPairs>
  <TitlesOfParts>
    <vt:vector size="17" baseType="lpstr">
      <vt:lpstr>Eingabefeld</vt:lpstr>
      <vt:lpstr>Kunde</vt:lpstr>
      <vt:lpstr>Gebäude</vt:lpstr>
      <vt:lpstr>Mobilität</vt:lpstr>
      <vt:lpstr>Energiegemeinschaft</vt:lpstr>
      <vt:lpstr>EEGTeilnehmer</vt:lpstr>
      <vt:lpstr>Plusenergie</vt:lpstr>
      <vt:lpstr>Lastprofile</vt:lpstr>
      <vt:lpstr>Lastprofildaten</vt:lpstr>
      <vt:lpstr>Nutzung</vt:lpstr>
      <vt:lpstr>Prozesse</vt:lpstr>
      <vt:lpstr>Monetarisierung €€€</vt:lpstr>
      <vt:lpstr>EEGTeilnehmer</vt:lpstr>
      <vt:lpstr>Energiegemeinschaft</vt:lpstr>
      <vt:lpstr>Gebauede</vt:lpstr>
      <vt:lpstr>Kundendetails</vt:lpstr>
      <vt:lpstr>Mobilitaet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Otmar Schlager</dc:creator>
  <cp:lastModifiedBy>Wolfgang Eichinger</cp:lastModifiedBy>
  <dcterms:created xsi:type="dcterms:W3CDTF">2026-02-11T07:58:00Z</dcterms:created>
  <dcterms:modified xsi:type="dcterms:W3CDTF">2026-04-10T15:56:12Z</dcterms:modified>
</cp:coreProperties>
</file>