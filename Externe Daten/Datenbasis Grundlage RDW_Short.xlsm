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DDA8CB4A-7FA9-4486-AA55-E87810A67EE1}" xr6:coauthVersionLast="47" xr6:coauthVersionMax="47" xr10:uidLastSave="{00000000-0000-0000-0000-000000000000}"/>
  <bookViews>
    <workbookView xWindow="-108" yWindow="-108" windowWidth="30936" windowHeight="16776" activeTab="2" xr2:uid="{EC2481EA-B095-425D-BA4C-2500CCE307D2}"/>
  </bookViews>
  <sheets>
    <sheet name="Eingabefeld" sheetId="16" r:id="rId1"/>
    <sheet name="Customers" sheetId="1" r:id="rId2"/>
    <sheet name="Buildings" sheetId="3" r:id="rId3"/>
    <sheet name="Mobilität" sheetId="4" r:id="rId4"/>
    <sheet name="Energiegemeinschaft" sheetId="2" r:id="rId5"/>
    <sheet name="EEGTeilnehmer" sheetId="13" r:id="rId6"/>
    <sheet name="Anlage" sheetId="7" r:id="rId7"/>
    <sheet name="Lastprofildaten" sheetId="11" r:id="rId8"/>
    <sheet name="Nutzung" sheetId="9" r:id="rId9"/>
    <sheet name="Prozesse" sheetId="12" r:id="rId10"/>
  </sheets>
  <definedNames>
    <definedName name="_xleta.N" hidden="1" xlm="1">#NAME?</definedName>
    <definedName name="Buildings">Tabelle2[#All]</definedName>
    <definedName name="Customers">Customer[#All]</definedName>
    <definedName name="DropDownFilterKriterien">Eingabefeld!$A$24:$A$25</definedName>
    <definedName name="EEGTeilnehmer">Tabelle5[#All]</definedName>
    <definedName name="Energiegemeinschaft">Tabelle4[#All]</definedName>
    <definedName name="KundenFilterKriterien">Eingabefeld!$A$28:$A$32</definedName>
    <definedName name="Mobilitaet">Tabelle3[#All]</definedName>
    <definedName name="ObjektFilterKriterien">Eingabefeld!$A$35:$A$40</definedName>
    <definedName name="Reiter">Eingabefeld!$A$10:$A$18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O6" i="1"/>
  <c r="P6" i="1"/>
  <c r="Q6" i="1"/>
  <c r="R6" i="1"/>
  <c r="S6" i="1"/>
  <c r="T6" i="1"/>
  <c r="W6" i="1"/>
  <c r="F5" i="16"/>
  <c r="A3" i="1"/>
  <c r="A4" i="1"/>
  <c r="A5" i="1"/>
  <c r="A2" i="1"/>
  <c r="W5" i="1"/>
  <c r="T5" i="1"/>
  <c r="S5" i="1"/>
  <c r="R5" i="1"/>
  <c r="Q5" i="1"/>
  <c r="P5" i="1"/>
  <c r="O5" i="1"/>
  <c r="N5" i="1"/>
  <c r="W4" i="1"/>
  <c r="T4" i="1"/>
  <c r="S4" i="1"/>
  <c r="R4" i="1"/>
  <c r="Q4" i="1"/>
  <c r="P4" i="1"/>
  <c r="O4" i="1"/>
  <c r="N4" i="1"/>
  <c r="W3" i="1"/>
  <c r="T3" i="1"/>
  <c r="S3" i="1"/>
  <c r="R3" i="1"/>
  <c r="Q3" i="1"/>
  <c r="P3" i="1"/>
  <c r="O3" i="1"/>
  <c r="N3" i="1"/>
  <c r="W2" i="1"/>
  <c r="T2" i="1"/>
  <c r="S2" i="1"/>
  <c r="R2" i="1"/>
  <c r="Q2" i="1"/>
  <c r="P2" i="1"/>
  <c r="O2" i="1"/>
  <c r="N2" i="1"/>
  <c r="A11" i="3"/>
  <c r="A10" i="3"/>
  <c r="A9" i="3"/>
  <c r="A8" i="3"/>
  <c r="A7" i="3"/>
  <c r="A6" i="3"/>
  <c r="A5" i="3"/>
  <c r="A4" i="3"/>
  <c r="A3" i="3"/>
  <c r="A2" i="3"/>
  <c r="A4" i="2"/>
  <c r="A3" i="2"/>
  <c r="A3" i="4"/>
  <c r="A2" i="13"/>
  <c r="A2" i="2"/>
  <c r="A2" i="4"/>
  <c r="D6" i="16" a="1"/>
  <c r="D7" i="16" a="1"/>
  <c r="C27" i="16" l="1"/>
  <c r="C39" i="16"/>
  <c r="C51" i="16"/>
  <c r="C63" i="16"/>
  <c r="C75" i="16"/>
  <c r="C87" i="16"/>
  <c r="C99" i="16"/>
  <c r="C111" i="16"/>
  <c r="C123" i="16"/>
  <c r="C135" i="16"/>
  <c r="C147" i="16"/>
  <c r="C159" i="16"/>
  <c r="C171" i="16"/>
  <c r="C183" i="16"/>
  <c r="C117" i="16"/>
  <c r="C34" i="16"/>
  <c r="C47" i="16"/>
  <c r="C48" i="16"/>
  <c r="C108" i="16"/>
  <c r="C156" i="16"/>
  <c r="C37" i="16"/>
  <c r="C133" i="16"/>
  <c r="C38" i="16"/>
  <c r="C134" i="16"/>
  <c r="C16" i="16"/>
  <c r="C28" i="16"/>
  <c r="C40" i="16"/>
  <c r="C52" i="16"/>
  <c r="C64" i="16"/>
  <c r="C76" i="16"/>
  <c r="C88" i="16"/>
  <c r="C100" i="16"/>
  <c r="C112" i="16"/>
  <c r="C124" i="16"/>
  <c r="C136" i="16"/>
  <c r="C148" i="16"/>
  <c r="C160" i="16"/>
  <c r="C172" i="16"/>
  <c r="C184" i="16"/>
  <c r="C70" i="16"/>
  <c r="C35" i="16"/>
  <c r="C71" i="16"/>
  <c r="C95" i="16"/>
  <c r="C119" i="16"/>
  <c r="C143" i="16"/>
  <c r="C167" i="16"/>
  <c r="C179" i="16"/>
  <c r="C24" i="16"/>
  <c r="C120" i="16"/>
  <c r="C180" i="16"/>
  <c r="C25" i="16"/>
  <c r="C121" i="16"/>
  <c r="C181" i="16"/>
  <c r="C74" i="16"/>
  <c r="C122" i="16"/>
  <c r="C17" i="16"/>
  <c r="C29" i="16"/>
  <c r="C41" i="16"/>
  <c r="C53" i="16"/>
  <c r="C65" i="16"/>
  <c r="C77" i="16"/>
  <c r="C89" i="16"/>
  <c r="C101" i="16"/>
  <c r="C113" i="16"/>
  <c r="C125" i="16"/>
  <c r="C137" i="16"/>
  <c r="C149" i="16"/>
  <c r="C161" i="16"/>
  <c r="C173" i="16"/>
  <c r="C185" i="16"/>
  <c r="C129" i="16"/>
  <c r="C46" i="16"/>
  <c r="C59" i="16"/>
  <c r="C60" i="16"/>
  <c r="C132" i="16"/>
  <c r="C168" i="16"/>
  <c r="C49" i="16"/>
  <c r="C97" i="16"/>
  <c r="C26" i="16"/>
  <c r="C98" i="16"/>
  <c r="C170" i="16"/>
  <c r="C18" i="16"/>
  <c r="C30" i="16"/>
  <c r="C42" i="16"/>
  <c r="C54" i="16"/>
  <c r="C66" i="16"/>
  <c r="C78" i="16"/>
  <c r="C90" i="16"/>
  <c r="C102" i="16"/>
  <c r="C114" i="16"/>
  <c r="C126" i="16"/>
  <c r="C138" i="16"/>
  <c r="C150" i="16"/>
  <c r="C162" i="16"/>
  <c r="C174" i="16"/>
  <c r="C13" i="16"/>
  <c r="C141" i="16"/>
  <c r="C82" i="16"/>
  <c r="C72" i="16"/>
  <c r="C61" i="16"/>
  <c r="C145" i="16"/>
  <c r="C86" i="16"/>
  <c r="C110" i="16"/>
  <c r="C182" i="16"/>
  <c r="C19" i="16"/>
  <c r="C31" i="16"/>
  <c r="C43" i="16"/>
  <c r="C55" i="16"/>
  <c r="C67" i="16"/>
  <c r="C79" i="16"/>
  <c r="C91" i="16"/>
  <c r="C103" i="16"/>
  <c r="C115" i="16"/>
  <c r="C127" i="16"/>
  <c r="C139" i="16"/>
  <c r="C151" i="16"/>
  <c r="C163" i="16"/>
  <c r="C175" i="16"/>
  <c r="C14" i="16"/>
  <c r="C58" i="16"/>
  <c r="C23" i="16"/>
  <c r="C83" i="16"/>
  <c r="C107" i="16"/>
  <c r="C131" i="16"/>
  <c r="C155" i="16"/>
  <c r="C36" i="16"/>
  <c r="C96" i="16"/>
  <c r="C144" i="16"/>
  <c r="C73" i="16"/>
  <c r="C157" i="16"/>
  <c r="C62" i="16"/>
  <c r="C146" i="16"/>
  <c r="C20" i="16"/>
  <c r="C32" i="16"/>
  <c r="C44" i="16"/>
  <c r="C56" i="16"/>
  <c r="C68" i="16"/>
  <c r="C80" i="16"/>
  <c r="C92" i="16"/>
  <c r="C104" i="16"/>
  <c r="C116" i="16"/>
  <c r="C128" i="16"/>
  <c r="C140" i="16"/>
  <c r="C152" i="16"/>
  <c r="C164" i="16"/>
  <c r="C176" i="16"/>
  <c r="C21" i="16"/>
  <c r="C33" i="16"/>
  <c r="C45" i="16"/>
  <c r="C57" i="16"/>
  <c r="C69" i="16"/>
  <c r="C81" i="16"/>
  <c r="C93" i="16"/>
  <c r="C105" i="16"/>
  <c r="C153" i="16"/>
  <c r="C165" i="16"/>
  <c r="C177" i="16"/>
  <c r="C22" i="16"/>
  <c r="C94" i="16"/>
  <c r="C106" i="16"/>
  <c r="C118" i="16"/>
  <c r="C130" i="16"/>
  <c r="C142" i="16"/>
  <c r="C154" i="16"/>
  <c r="C166" i="16"/>
  <c r="C178" i="16"/>
  <c r="C84" i="16"/>
  <c r="C85" i="16"/>
  <c r="C109" i="16"/>
  <c r="C169" i="16"/>
  <c r="C50" i="16"/>
  <c r="C158" i="16"/>
  <c r="D7" i="16"/>
  <c r="C7" i="16"/>
  <c r="C8" i="16"/>
  <c r="C9" i="16"/>
  <c r="C10" i="16"/>
  <c r="C11" i="16"/>
  <c r="C12" i="16"/>
  <c r="D6" i="16"/>
  <c r="C15" i="16"/>
  <c r="K2" i="16" a="1"/>
  <c r="K2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<sst xmlns="http://schemas.openxmlformats.org/spreadsheetml/2006/main" count="286" uniqueCount="213">
  <si>
    <t>EEGID</t>
  </si>
  <si>
    <t>Abrechnungstool</t>
  </si>
  <si>
    <t>Treibstoff [Liter]</t>
  </si>
  <si>
    <t>Strom [kWh]</t>
  </si>
  <si>
    <t>Anzahl VerbrennerFahrzeuge</t>
  </si>
  <si>
    <t>Fahrzeugtypen</t>
  </si>
  <si>
    <t>gefahrene Kilometer pro Fahrzeug</t>
  </si>
  <si>
    <t>MID</t>
  </si>
  <si>
    <t>Name</t>
  </si>
  <si>
    <t>Telefon</t>
  </si>
  <si>
    <t>WebSite</t>
  </si>
  <si>
    <t>E-Mail Adresse</t>
  </si>
  <si>
    <t>UW</t>
  </si>
  <si>
    <t>Trafostation</t>
  </si>
  <si>
    <t>KID</t>
  </si>
  <si>
    <t>Modell (BEG,EEG,..)</t>
  </si>
  <si>
    <t>Einzugsgebiet (Bezirk)</t>
  </si>
  <si>
    <t>Prosumer</t>
  </si>
  <si>
    <t>Anzahl EFahrzeuge</t>
  </si>
  <si>
    <t>Obmann</t>
  </si>
  <si>
    <t>Erzeugertypen</t>
  </si>
  <si>
    <t>ZPNs</t>
  </si>
  <si>
    <t>aktuelles Interesse (Förderbedarf)</t>
  </si>
  <si>
    <t>Notiz</t>
  </si>
  <si>
    <t>Rolle</t>
  </si>
  <si>
    <t>Zählpunkt</t>
  </si>
  <si>
    <t>EEGTID</t>
  </si>
  <si>
    <t>Nein</t>
  </si>
  <si>
    <t>PFAD</t>
  </si>
  <si>
    <t>test</t>
  </si>
  <si>
    <t>FolderNumber</t>
  </si>
  <si>
    <t>FirstName</t>
  </si>
  <si>
    <t>LastName</t>
  </si>
  <si>
    <t>PhoneNumber</t>
  </si>
  <si>
    <t>Email</t>
  </si>
  <si>
    <t>OrganizationName</t>
  </si>
  <si>
    <t>PostalCode</t>
  </si>
  <si>
    <t>City</t>
  </si>
  <si>
    <t>Street</t>
  </si>
  <si>
    <t>HouseNumber</t>
  </si>
  <si>
    <t>AddressAddtion</t>
  </si>
  <si>
    <t>HasLoadProfile</t>
  </si>
  <si>
    <t>BuildingRenovationInterest</t>
  </si>
  <si>
    <t>EnergyCommunityInterest</t>
  </si>
  <si>
    <t>MobilityInterest</t>
  </si>
  <si>
    <t>PlusEnergyInterest</t>
  </si>
  <si>
    <t>Notes</t>
  </si>
  <si>
    <t>ExternalBuildingId</t>
  </si>
  <si>
    <t>BuildingType</t>
  </si>
  <si>
    <t>ConstructionYear</t>
  </si>
  <si>
    <t>FloorArea</t>
  </si>
  <si>
    <t>RenovationYear</t>
  </si>
  <si>
    <t>AddressAddition</t>
  </si>
  <si>
    <t>Country</t>
  </si>
  <si>
    <t>HWB (calculated)</t>
  </si>
  <si>
    <t>HeatingType</t>
  </si>
  <si>
    <t>HasPV</t>
  </si>
  <si>
    <t>HasBattery</t>
  </si>
  <si>
    <t>ElectricityConsumption</t>
  </si>
  <si>
    <t>HeatConsumption</t>
  </si>
  <si>
    <t>HotWaterConsumption</t>
  </si>
  <si>
    <t>EnergyReferenceYear</t>
  </si>
  <si>
    <t>MainUsage</t>
  </si>
  <si>
    <t>MainUsageSharePercent</t>
  </si>
  <si>
    <t>SecondaryUsage</t>
  </si>
  <si>
    <t>SecondaryUsageSharePercent</t>
  </si>
  <si>
    <t>ExternalMeterId</t>
  </si>
  <si>
    <t>MeterName</t>
  </si>
  <si>
    <t>MeterType</t>
  </si>
  <si>
    <t>Medium</t>
  </si>
  <si>
    <t>Unit</t>
  </si>
  <si>
    <t>Direction</t>
  </si>
  <si>
    <t>IntervalMinutes</t>
  </si>
  <si>
    <t>IsVirtual</t>
  </si>
  <si>
    <t>AggregationType</t>
  </si>
  <si>
    <t>Description</t>
  </si>
  <si>
    <t>M-001</t>
  </si>
  <si>
    <t>B-001</t>
  </si>
  <si>
    <t>Main</t>
  </si>
  <si>
    <t>Electricity</t>
  </si>
  <si>
    <t>kWh</t>
  </si>
  <si>
    <t>Consumption</t>
  </si>
  <si>
    <t>EVU</t>
  </si>
  <si>
    <t>M-002</t>
  </si>
  <si>
    <t>Sub</t>
  </si>
  <si>
    <t>Production</t>
  </si>
  <si>
    <t>M-003</t>
  </si>
  <si>
    <t>Büroverbrauch</t>
  </si>
  <si>
    <t>PV-Wechselrichter</t>
  </si>
  <si>
    <t>Smart Meter</t>
  </si>
  <si>
    <t>PV Erzeugung</t>
  </si>
  <si>
    <t>Hauptzähler Strom</t>
  </si>
  <si>
    <t>Büro Gesamtstrom</t>
  </si>
  <si>
    <t>B-003</t>
  </si>
  <si>
    <t>Japonsitiv</t>
  </si>
  <si>
    <t>regionale EEG</t>
  </si>
  <si>
    <t>-</t>
  </si>
  <si>
    <t>Erich Engelbrecht</t>
  </si>
  <si>
    <t>eeg@japons.info</t>
  </si>
  <si>
    <t>PV, Wasserkraft</t>
  </si>
  <si>
    <t>Japons</t>
  </si>
  <si>
    <t>efy</t>
  </si>
  <si>
    <t>Horn</t>
  </si>
  <si>
    <t>ja</t>
  </si>
  <si>
    <t>weinSTROM</t>
  </si>
  <si>
    <t>weinstrom.at</t>
  </si>
  <si>
    <t>Florian Brunner</t>
  </si>
  <si>
    <t>0664 3874084</t>
  </si>
  <si>
    <t>info@weinstrom.at</t>
  </si>
  <si>
    <t>Langenlois</t>
  </si>
  <si>
    <t>connesso</t>
  </si>
  <si>
    <t>Krems-Land</t>
  </si>
  <si>
    <t>Kamp-Taffa</t>
  </si>
  <si>
    <t>www.eeg-kamp-taffa.at</t>
  </si>
  <si>
    <t>info@eeg-kamp-taffa.at</t>
  </si>
  <si>
    <t>ProjectName</t>
  </si>
  <si>
    <t>eKUTCustomer</t>
  </si>
  <si>
    <t>x</t>
  </si>
  <si>
    <t>Mustersanierung, PV-Anlage</t>
  </si>
  <si>
    <t>Auto Berger</t>
  </si>
  <si>
    <t>Berger</t>
  </si>
  <si>
    <t>02822 / 52281 -201</t>
  </si>
  <si>
    <t>ulrike.berger-braun@autohaus-berger.at</t>
  </si>
  <si>
    <t>Zwettl</t>
  </si>
  <si>
    <t>Kremser Straße</t>
  </si>
  <si>
    <t>Mustersanierung Workingspace, Carport Parkplatz PV-Anlagen</t>
  </si>
  <si>
    <t>Garser Immobilien GmbH</t>
  </si>
  <si>
    <t>Groiß</t>
  </si>
  <si>
    <t>02985 / 2656</t>
  </si>
  <si>
    <t>werner.groiss@bzg.at</t>
  </si>
  <si>
    <t>Gars am Kamp</t>
  </si>
  <si>
    <t>Schiller Straße</t>
  </si>
  <si>
    <t>Mustersanierung, Beratung</t>
  </si>
  <si>
    <t>Gem Maissau</t>
  </si>
  <si>
    <t>0676 / 3477930</t>
  </si>
  <si>
    <t>hubert.wimmer@stadtmusik-maissau.at</t>
  </si>
  <si>
    <t>Maissau</t>
  </si>
  <si>
    <t>Franz-Gilly-Gasse</t>
  </si>
  <si>
    <t>Kurzberatung, PV, Energie, Mobilität</t>
  </si>
  <si>
    <t>Blumen Szing</t>
  </si>
  <si>
    <t>02735 / 2541</t>
  </si>
  <si>
    <t>office@szing.at</t>
  </si>
  <si>
    <t>Walkersdorf</t>
  </si>
  <si>
    <t>Hauptstraße</t>
  </si>
  <si>
    <t>Kurzberatung PV Büro + Lagerhalle</t>
  </si>
  <si>
    <t>Agrofresh</t>
  </si>
  <si>
    <t>Thermische Sanierung, Erneuerung Heizanlage</t>
  </si>
  <si>
    <t>Gem Sallingberg</t>
  </si>
  <si>
    <t>Sanierung Schule (nicht umgesetzt)</t>
  </si>
  <si>
    <t>Gem Petronell</t>
  </si>
  <si>
    <t>Awareness Beratung</t>
  </si>
  <si>
    <t>Farbe und Wohnen Müllner GmbH</t>
  </si>
  <si>
    <t>Waidhofen/Thaya</t>
  </si>
  <si>
    <t>Awareness Kurzberatung Energieeffizienz, EE, Mobilität und Kreislaufwirtschaft, Umsetzungs - Schwerpunktberatung Heizung</t>
  </si>
  <si>
    <t>Waldland Holding GmbH</t>
  </si>
  <si>
    <t>Sanierung</t>
  </si>
  <si>
    <t>Waldland</t>
  </si>
  <si>
    <t>Auswahl:</t>
  </si>
  <si>
    <t>Reiter</t>
  </si>
  <si>
    <t>Buildings</t>
  </si>
  <si>
    <t>Mobility</t>
  </si>
  <si>
    <t>Energiegemeinschaft</t>
  </si>
  <si>
    <t>EEGTeilnehmer</t>
  </si>
  <si>
    <t>Anlage</t>
  </si>
  <si>
    <t>Lastprofildaten</t>
  </si>
  <si>
    <t>Nutzung</t>
  </si>
  <si>
    <t>Prozesse</t>
  </si>
  <si>
    <t>Customers</t>
  </si>
  <si>
    <t>AdditionalNote</t>
  </si>
  <si>
    <t>HeatedFloorArea</t>
  </si>
  <si>
    <t>HeatedFloorAreaMainUsage</t>
  </si>
  <si>
    <t>HeatedFloorAreaSecondUsage</t>
  </si>
  <si>
    <t>Heat consumption (kWh/year)</t>
  </si>
  <si>
    <t>Heating costs (€/year)</t>
  </si>
  <si>
    <t>Electricity consumption (kWh/year)</t>
  </si>
  <si>
    <t>Electricity costs (€/year)</t>
  </si>
  <si>
    <t>Autohaus</t>
  </si>
  <si>
    <t>Workingspace Büro + Wohnung</t>
  </si>
  <si>
    <t>3571</t>
  </si>
  <si>
    <t>Schiler Straße</t>
  </si>
  <si>
    <t>163</t>
  </si>
  <si>
    <t>Musikvereinshaus</t>
  </si>
  <si>
    <t>Geschäft Langenlois</t>
  </si>
  <si>
    <t>Büro + Lagerhalle</t>
  </si>
  <si>
    <t>Arzthaus</t>
  </si>
  <si>
    <t>Schule</t>
  </si>
  <si>
    <t>Büro + Beherbergung</t>
  </si>
  <si>
    <t>Kräuterhalle</t>
  </si>
  <si>
    <t>Körnerhalle</t>
  </si>
  <si>
    <t>Verkaufsstätte</t>
  </si>
  <si>
    <t>Bürogebäude</t>
  </si>
  <si>
    <t>Veranstaltungsstätte</t>
  </si>
  <si>
    <t>InternalCustomerId</t>
  </si>
  <si>
    <t>InternalBuildingId</t>
  </si>
  <si>
    <t>Proj.- Aktuell - Sons. Proj. - 1Verkaufsstätte9 ENSET - AP05 U. - AP05 1.000 Gebäude - Bearb. - Gebäude Horn - Horn Datenbank Excel</t>
  </si>
  <si>
    <t>Mehrzweckgebäude</t>
  </si>
  <si>
    <t>UsageType</t>
  </si>
  <si>
    <t>Österreich</t>
  </si>
  <si>
    <t>Subsidies</t>
  </si>
  <si>
    <t>LastContact</t>
  </si>
  <si>
    <t>Filterformel</t>
  </si>
  <si>
    <t>=FILTER(INDIREKT($D$5);ISTZAHL(SUCHEN($D$2;INDEX(INDIREKT($D$5);0;VERGLEICH($G$2;#BEZUG!;0))));"Kein Ergebnis gefunden.")</t>
  </si>
  <si>
    <t>KundenFilterKriterien</t>
  </si>
  <si>
    <t>ObjektFilterKriterien</t>
  </si>
  <si>
    <t>DropDownFilterKriterien</t>
  </si>
  <si>
    <t>XXX</t>
  </si>
  <si>
    <t>TEST</t>
  </si>
  <si>
    <t>Test</t>
  </si>
  <si>
    <t>Testperson1</t>
  </si>
  <si>
    <t>Testperson2</t>
  </si>
  <si>
    <t>Max</t>
  </si>
  <si>
    <t>Muster</t>
  </si>
  <si>
    <t>Mustermann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</si>
</sst>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2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49" fontId="0" fillId="2" borderId="2" xfId="0" applyNumberFormat="1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3" fillId="4" borderId="0" xfId="2" applyFill="1" applyAlignment="1">
      <alignment horizontal="left"/>
    </xf>
    <xf numFmtId="0" fontId="0" fillId="4" borderId="0" xfId="0" applyFill="1"/>
    <xf numFmtId="49" fontId="0" fillId="0" borderId="0" xfId="0" applyNumberFormat="1"/>
    <xf numFmtId="0" fontId="3" fillId="0" borderId="0" xfId="2"/>
    <xf numFmtId="49" fontId="3" fillId="0" borderId="0" xfId="2" applyNumberFormat="1" applyAlignment="1">
      <alignment wrapText="1"/>
    </xf>
    <xf numFmtId="0" fontId="0" fillId="0" borderId="0" xfId="0" applyAlignment="1">
      <alignment horizontal="right"/>
    </xf>
    <xf numFmtId="0" fontId="2" fillId="0" borderId="0" xfId="0" applyFont="1"/>
    <xf numFmtId="0" fontId="4" fillId="3" borderId="4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4" fontId="0" fillId="0" borderId="0" xfId="0" applyNumberFormat="1" applyAlignment="1">
      <alignment vertical="center"/>
    </xf>
    <xf numFmtId="0" fontId="3" fillId="0" borderId="0" xfId="2" applyAlignment="1">
      <alignment wrapText="1"/>
    </xf>
    <xf numFmtId="0" fontId="9" fillId="3" borderId="4" xfId="0" applyFont="1" applyFill="1" applyBorder="1" applyAlignment="1">
      <alignment vertical="center"/>
    </xf>
    <xf numFmtId="0" fontId="2" fillId="5" borderId="0" xfId="0" applyFont="1" applyFill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</cellXfs>
  <cellStyles count="3">
    <cellStyle name="Link" xfId="2" builtinId="8"/>
    <cellStyle name="Standard" xfId="0" builtinId="0"/>
    <cellStyle name="Währung 2" xfId="1" xr:uid="{FDF394D7-F86D-4DDD-A154-7E153E537641}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244340" y="5314950"/>
          <a:ext cx="876300" cy="212450"/>
          <a:chOff x="3169920" y="4926330"/>
          <a:chExt cx="1203960" cy="189590"/>
        </a:xfrm>
      </xdr:grpSpPr>
      <xdr:sp macro="" textlink="">
        <xdr:nvSpPr>
          <xdr:cNvPr id="1028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1029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22860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106680</xdr:rowOff>
        </xdr:from>
        <xdr:to>
          <xdr:col>1</xdr:col>
          <xdr:colOff>1828800</xdr:colOff>
          <xdr:row>6</xdr:row>
          <xdr:rowOff>160020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160020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5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58654</xdr:rowOff>
    </xdr:from>
    <xdr:to>
      <xdr:col>3</xdr:col>
      <xdr:colOff>362735</xdr:colOff>
      <xdr:row>3</xdr:row>
      <xdr:rowOff>20170</xdr:rowOff>
    </xdr:to>
    <xdr:pic>
      <xdr:nvPicPr>
        <xdr:cNvPr id="7" name="Grafik 6" descr="Lupe mit einfarbiger Füllung">
          <a:extLst>
            <a:ext uri="{FF2B5EF4-FFF2-40B4-BE49-F238E27FC236}">
              <a16:creationId xmlns:a16="http://schemas.microsoft.com/office/drawing/2014/main" id="{7768748D-937B-C17A-9154-34DB450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43225" y="220579"/>
          <a:ext cx="305585" cy="3120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175260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121920</xdr:rowOff>
        </xdr:from>
        <xdr:to>
          <xdr:col>1</xdr:col>
          <xdr:colOff>1828800</xdr:colOff>
          <xdr:row>15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36298</xdr:colOff>
      <xdr:row>1</xdr:row>
      <xdr:rowOff>38821</xdr:rowOff>
    </xdr:from>
    <xdr:to>
      <xdr:col>6</xdr:col>
      <xdr:colOff>378786</xdr:colOff>
      <xdr:row>3</xdr:row>
      <xdr:rowOff>17300</xdr:rowOff>
    </xdr:to>
    <xdr:pic>
      <xdr:nvPicPr>
        <xdr:cNvPr id="3" name="Grafik 2" descr="Zielgruppe mit einfarbiger Füllung">
          <a:extLst>
            <a:ext uri="{FF2B5EF4-FFF2-40B4-BE49-F238E27FC236}">
              <a16:creationId xmlns:a16="http://schemas.microsoft.com/office/drawing/2014/main" id="{49398E3E-1DDB-0842-7426-F572E702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84673" y="200746"/>
          <a:ext cx="342488" cy="340429"/>
        </a:xfrm>
        <a:prstGeom prst="rect">
          <a:avLst/>
        </a:prstGeom>
      </xdr:spPr>
    </xdr:pic>
    <xdr:clientData/>
  </xdr:twoCellAnchor>
  <xdr:twoCellAnchor editAs="oneCell">
    <xdr:from>
      <xdr:col>2</xdr:col>
      <xdr:colOff>388620</xdr:colOff>
      <xdr:row>4</xdr:row>
      <xdr:rowOff>266700</xdr:rowOff>
    </xdr:from>
    <xdr:to>
      <xdr:col>2</xdr:col>
      <xdr:colOff>662940</xdr:colOff>
      <xdr:row>7</xdr:row>
      <xdr:rowOff>53340</xdr:rowOff>
    </xdr:to>
    <xdr:pic>
      <xdr:nvPicPr>
        <xdr:cNvPr id="4" name="Grafik 3" descr="Monitor mit einfarbiger Füllung">
          <a:extLst>
            <a:ext uri="{FF2B5EF4-FFF2-40B4-BE49-F238E27FC236}">
              <a16:creationId xmlns:a16="http://schemas.microsoft.com/office/drawing/2014/main" id="{21F8F59A-9454-9779-9F08-23D75D21D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75560" y="975360"/>
          <a:ext cx="281940" cy="28194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2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6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6A27CF-AFC9-4297-AB63-3C74371A350F}" name="Customer" displayName="Customer" ref="A1:W6" totalsRowShown="0" headerRowDxfId="36" headerRowBorderDxfId="35" tableBorderDxfId="34">
  <autoFilter ref="A1:W6" xr:uid="{906A27CF-AFC9-4297-AB63-3C74371A350F}"/>
  <tableColumns count="23">
    <tableColumn id="1" xr3:uid="{9A890817-3763-4DB1-8794-6B0A98619331}" name="InternalCustomerId" dataDxfId="33">
      <calculatedColumnFormula>ROW(A2)-1</calculatedColumnFormula>
    </tableColumn>
    <tableColumn id="19" xr3:uid="{61DBDDE8-B23E-4D50-8C9E-824D776CB21D}" name="FolderNumber" dataDxfId="32"/>
    <tableColumn id="21" xr3:uid="{4AC37C71-75A1-489B-B59E-5AF827811733}" name="eKUTCustomer" dataDxfId="31"/>
    <tableColumn id="14" xr3:uid="{01CB989D-6F84-46D0-B8EB-68A9E86C6543}" name="ProjectName" dataDxfId="30"/>
    <tableColumn id="22" xr3:uid="{F79AC62E-3119-42B5-8870-F8597477C795}" name="OrganizationName" dataDxfId="29"/>
    <tableColumn id="2" xr3:uid="{4ABAD4A3-805B-4945-805C-2CE5D842A809}" name="FirstName" dataDxfId="28"/>
    <tableColumn id="3" xr3:uid="{BE3E01C2-3B19-4834-8828-3BC96FA8F20D}" name="LastName" dataDxfId="27"/>
    <tableColumn id="4" xr3:uid="{DBB9B099-B389-4CB0-B0BE-7052D52C1BCC}" name="PhoneNumber" dataDxfId="26"/>
    <tableColumn id="5" xr3:uid="{96D4CA74-5E81-4211-B1BF-DBCBB8E2E3C7}" name="Email" dataDxfId="25" dataCellStyle="Link"/>
    <tableColumn id="8" xr3:uid="{E662BF7B-B675-4F2D-97FD-29023C8D5FA0}" name="PostalCode" dataDxfId="24"/>
    <tableColumn id="9" xr3:uid="{A460909A-6CE4-4E0B-ADC0-032A90DD8CF1}" name="City" dataDxfId="23"/>
    <tableColumn id="10" xr3:uid="{8E62CA8D-1D12-485B-9BD6-AC21303648DC}" name="Street"/>
    <tableColumn id="11" xr3:uid="{7310C513-5ACA-4914-B39E-35E751F9D0A4}" name="HouseNumber"/>
    <tableColumn id="12" xr3:uid="{BD5E921A-4A98-49BB-A4DE-65A87CC7971E}" name="AddressAddtion">
      <calculatedColumnFormula>""</calculatedColumnFormula>
    </tableColumn>
    <tableColumn id="13" xr3:uid="{9359441F-FA13-4E67-877B-568A0AFBDA10}" name="Prosumer">
      <calculatedColumnFormula>""</calculatedColumnFormula>
    </tableColumn>
    <tableColumn id="15" xr3:uid="{57FDEF40-DDEC-4DE6-9F39-EA970A297BE8}" name="HasLoadProfile">
      <calculatedColumnFormula>""</calculatedColumnFormula>
    </tableColumn>
    <tableColumn id="20" xr3:uid="{726490C1-F781-4EEB-9009-468316931F3B}" name="BuildingRenovationInterest">
      <calculatedColumnFormula>""</calculatedColumnFormula>
    </tableColumn>
    <tableColumn id="16" xr3:uid="{A28D1AFA-40C9-4D32-AC89-D4DBC842CDDD}" name="EnergyCommunityInterest">
      <calculatedColumnFormula>""</calculatedColumnFormula>
    </tableColumn>
    <tableColumn id="17" xr3:uid="{C24141DB-2397-427D-9902-9CDD50E370C6}" name="MobilityInterest">
      <calculatedColumnFormula>""</calculatedColumnFormula>
    </tableColumn>
    <tableColumn id="18" xr3:uid="{65DDFDAF-9536-4169-AA8F-C7FF5CA0835D}" name="PlusEnergyInterest">
      <calculatedColumnFormula>""</calculatedColumnFormula>
    </tableColumn>
    <tableColumn id="6" xr3:uid="{CCC162B1-318D-48BE-B26D-249B6DD4A88E}" name="Subsidies"/>
    <tableColumn id="23" xr3:uid="{847C34E0-F49B-4FD5-AB5F-909D2040DAE4}" name="LastContact"/>
    <tableColumn id="7" xr3:uid="{BED10978-7E98-427C-B0AB-251A3A551067}" name="Notes">
      <calculatedColumnFormula>""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28A9F-E330-4C1B-AA9D-C87F5D6A3428}" name="Tabelle2" displayName="Tabelle2" ref="A1:AK12" totalsRowShown="0" headerRowDxfId="22" headerRowBorderDxfId="21" tableBorderDxfId="20">
  <autoFilter ref="A1:AK12" xr:uid="{BC428A9F-E330-4C1B-AA9D-C87F5D6A3428}"/>
  <tableColumns count="37">
    <tableColumn id="1" xr3:uid="{6508671D-C2B1-4FED-96D3-37A85619A3A8}" name="InternalBuildingId">
      <calculatedColumnFormula>ROW(A2)-1</calculatedColumnFormula>
    </tableColumn>
    <tableColumn id="2" xr3:uid="{14E47B26-ED01-465C-A0A6-83A6CB2DB2BE}" name="InternalCustomerId"/>
    <tableColumn id="8" xr3:uid="{26422C73-9AD9-4EBC-8C35-9DB34631A289}" name="FolderNumber"/>
    <tableColumn id="16" xr3:uid="{B83C6E1D-D946-4363-B894-9073C06EC196}" name="ProjectName"/>
    <tableColumn id="7" xr3:uid="{4AAC4A1F-1C68-461B-83F2-AF90933FCD83}" name="OrganizationName"/>
    <tableColumn id="9" xr3:uid="{E066E90F-B23C-4614-AE09-03A712207CE4}" name="BuildingType"/>
    <tableColumn id="23" xr3:uid="{076AB0C1-3721-40E5-9E09-6B10A047E92B}" name="Country"/>
    <tableColumn id="19" xr3:uid="{9B9DA8F5-F251-495E-A8E4-0A909A666F37}" name="PostalCode"/>
    <tableColumn id="20" xr3:uid="{9AD380C4-D43E-4AC9-9065-147E0B73ACA9}" name="City"/>
    <tableColumn id="3" xr3:uid="{D965581C-7212-4B3C-BF60-41BC07610E98}" name="Street"/>
    <tableColumn id="21" xr3:uid="{78BBCC12-C2EA-4C4B-B9CE-C2D46792ABF6}" name="HouseNumber"/>
    <tableColumn id="22" xr3:uid="{7EA24391-3414-464E-88C4-C63651E3EB59}" name="AddressAddition"/>
    <tableColumn id="5" xr3:uid="{BA9FB033-F5B2-4E8D-A181-D735B750D790}" name="ConstructionYear"/>
    <tableColumn id="15" xr3:uid="{78C3C849-E24D-4F6B-BDFF-835DE04B192F}" name="RenovationYear"/>
    <tableColumn id="4" xr3:uid="{827ACF43-590A-44C5-8E13-B2C0358D3EDA}" name="UsageType"/>
    <tableColumn id="10" xr3:uid="{FEEDD6F6-72A9-4868-BA84-C190CF656A5F}" name="MainUsage"/>
    <tableColumn id="11" xr3:uid="{D47E94DC-0F0D-497A-990F-976ABE0D2193}" name="AdditionalNote"/>
    <tableColumn id="6" xr3:uid="{763C06DD-71BE-43D9-BF82-2814A5F0D123}" name="FloorArea"/>
    <tableColumn id="17" xr3:uid="{D61B97C1-20F5-4614-B236-3D277D3B1268}" name="HeatedFloorArea"/>
    <tableColumn id="18" xr3:uid="{B24E4B6A-46BB-497E-84EB-22C2D989C7B5}" name="HeatedFloorAreaMainUsage"/>
    <tableColumn id="25" xr3:uid="{5BD4F148-C9FE-49E1-B02A-1E5760D8FF85}" name="HeatedFloorAreaSecondUsage"/>
    <tableColumn id="28" xr3:uid="{B127FB17-F319-4FEC-8701-D2272F3FB916}" name="Heat consumption (kWh/year)"/>
    <tableColumn id="40" xr3:uid="{D14D2F4D-9903-429A-9B94-1882C905C3F5}" name="Heating costs (€/year)" dataDxfId="19"/>
    <tableColumn id="39" xr3:uid="{53CDDC73-6889-4898-9D4A-386EB9CD6BBB}" name="Electricity consumption (kWh/year)"/>
    <tableColumn id="41" xr3:uid="{CD3D4AF8-49C8-48C3-B4DF-9A87461F0ADE}" name="Electricity costs (€/year)" dataDxfId="18"/>
    <tableColumn id="24" xr3:uid="{C061B0F9-F741-4FB1-BC8B-A88F985FAEB4}" name="HeatingType"/>
    <tableColumn id="26" xr3:uid="{044706F3-87FD-4FE5-B9A3-BA2AD4E58099}" name="HasPV"/>
    <tableColumn id="27" xr3:uid="{BDC4C519-24CF-466B-9170-C83462F21666}" name="HasBattery"/>
    <tableColumn id="29" xr3:uid="{B582C913-CD11-48D0-ABA5-B4CB5651C8A1}" name="HWB (calculated)"/>
    <tableColumn id="30" xr3:uid="{9E2D574D-DCBC-4E02-B394-9AA9D32CAA6E}" name="ElectricityConsumption"/>
    <tableColumn id="31" xr3:uid="{F39AAB29-3399-4946-81EA-1113699C6B29}" name="HeatConsumption"/>
    <tableColumn id="32" xr3:uid="{8F08041C-4A4E-4E8D-8868-F076633E0A90}" name="HotWaterConsumption"/>
    <tableColumn id="38" xr3:uid="{78DDC5F5-BF88-4C49-B1FE-70F182392548}" name="EnergyReferenceYear"/>
    <tableColumn id="34" xr3:uid="{1153EA07-8BD0-4AA7-A17E-E2B5DA272C18}" name="MainUsageSharePercent"/>
    <tableColumn id="35" xr3:uid="{EAF0647F-BFDE-49B8-BBD8-E006B6F6A460}" name="SecondaryUsage"/>
    <tableColumn id="36" xr3:uid="{587F8CFB-D4C9-46EA-A511-5266E6951EF4}" name="SecondaryUsageSharePercent"/>
    <tableColumn id="37" xr3:uid="{34A3F9C5-3185-47C8-89E0-80B60B1C05E4}" name="Notes" dataDxfId="1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1CDEC-C008-468E-9812-F091A1EA7C73}" name="Tabelle3" displayName="Tabelle3" ref="A1:H3" totalsRowShown="0" headerRowDxfId="16" headerRowBorderDxfId="15" tableBorderDxfId="14">
  <autoFilter ref="A1:H3" xr:uid="{41A1CDEC-C008-468E-9812-F091A1EA7C73}"/>
  <tableColumns count="8">
    <tableColumn id="1" xr3:uid="{5EED49B5-1D01-4513-B912-61B3D64190AF}" name="MID">
      <calculatedColumnFormula>ROW(A2)-1</calculatedColumnFormula>
    </tableColumn>
    <tableColumn id="2" xr3:uid="{13023E73-4A88-4A73-8BF8-6B538A6382AD}" name="KID"/>
    <tableColumn id="3" xr3:uid="{3C4A6BF5-F86E-450E-A6F1-39E4FC8294C6}" name="Fahrzeugtypen"/>
    <tableColumn id="4" xr3:uid="{903D6521-19ED-4D68-A944-9E9A2CC8FE2D}" name="Anzahl VerbrennerFahrzeuge"/>
    <tableColumn id="5" xr3:uid="{040A7453-320E-4CDA-A37D-D32B9075A762}" name="Anzahl EFahrzeuge"/>
    <tableColumn id="6" xr3:uid="{12CCBE7B-7BA6-4685-8B2E-6FB39BAE626A}" name="gefahrene Kilometer pro Fahrzeug"/>
    <tableColumn id="7" xr3:uid="{F4363D61-04FA-44A1-8BD9-93F39E923464}" name="Treibstoff [Liter]"/>
    <tableColumn id="8" xr3:uid="{DEDC31C7-2A66-4F9E-9A73-718088ED822B}" name="Strom [kWh]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3D221C-CAB0-4D39-BC36-89D1D65C47BA}" name="Tabelle4" displayName="Tabelle4" ref="A1:O4" totalsRowShown="0" headerRowDxfId="13" headerRowBorderDxfId="12" tableBorderDxfId="11">
  <autoFilter ref="A1:O4" xr:uid="{FA3D221C-CAB0-4D39-BC36-89D1D65C47BA}"/>
  <tableColumns count="15">
    <tableColumn id="1" xr3:uid="{48C8F658-A9BE-4675-A608-209813E558A9}" name="EEGID">
      <calculatedColumnFormula>ROW(A2)-1</calculatedColumnFormula>
    </tableColumn>
    <tableColumn id="2" xr3:uid="{35609E8A-EF07-4D9D-B160-79929E2A64DD}" name="Name"/>
    <tableColumn id="3" xr3:uid="{4D1E0D12-F645-4061-A6B3-EFD1AA410FE1}" name="Modell (BEG,EEG,..)"/>
    <tableColumn id="4" xr3:uid="{2328A598-5191-4147-8B07-C9F594F2E8A9}" name="WebSite"/>
    <tableColumn id="5" xr3:uid="{CCF4E12B-841E-4DE8-AAC3-A74866BCAACE}" name="Obmann"/>
    <tableColumn id="6" xr3:uid="{D3B6A326-C63E-4EAE-BFE8-93F9A834252D}" name="Telefon"/>
    <tableColumn id="7" xr3:uid="{10E42138-E4D0-4768-8BCD-C7F4BBA3B9FD}" name="E-Mail Adresse" dataCellStyle="Link"/>
    <tableColumn id="8" xr3:uid="{F339FD88-6BC3-4634-B0D1-BA5CD346A865}" name="Erzeugertypen"/>
    <tableColumn id="9" xr3:uid="{55791B05-B3EC-4674-8C4E-33F024128420}" name="UW" dataDxfId="10"/>
    <tableColumn id="10" xr3:uid="{5EC7DC5F-DC6B-445F-B915-5CC375B1DF67}" name="Trafostation"/>
    <tableColumn id="11" xr3:uid="{AE7FD8C3-03DB-40A3-9655-7CBC4E8CF332}" name="ZPNs"/>
    <tableColumn id="12" xr3:uid="{26BA2BCB-50FE-43F1-9A99-514FB384DB88}" name="Abrechnungstool"/>
    <tableColumn id="13" xr3:uid="{0E80DA76-D3DB-43E8-8841-D3D17E956D80}" name="Einzugsgebiet (Bezirk)"/>
    <tableColumn id="14" xr3:uid="{AA5A027B-1D8E-4B1F-9C54-86C09B601A01}" name="aktuelles Interesse (Förderbedarf)"/>
    <tableColumn id="15" xr3:uid="{B6164919-A7C4-4D29-AEFF-2BD49107063F}" name="Notiz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5E589D-E164-4B49-AE02-302A78B11EFC}" name="Tabelle5" displayName="Tabelle5" ref="A1:E2" totalsRowShown="0" headerRowDxfId="9" headerRowBorderDxfId="8" tableBorderDxfId="7">
  <autoFilter ref="A1:E2" xr:uid="{2E5E589D-E164-4B49-AE02-302A78B11EFC}"/>
  <tableColumns count="5">
    <tableColumn id="1" xr3:uid="{728C1EE7-20CE-4014-A9B9-6D8CE4170181}" name="EEGTID">
      <calculatedColumnFormula>ROW(A2)-1</calculatedColumnFormula>
    </tableColumn>
    <tableColumn id="2" xr3:uid="{1F06B1C0-4625-4625-9416-68ABF2C50309}" name="KID"/>
    <tableColumn id="3" xr3:uid="{44B47E33-7406-41A6-AD7E-7396312F336D}" name="EEGID"/>
    <tableColumn id="4" xr3:uid="{B28F6787-84AD-48CC-95F0-0C462FB2A6D6}" name="Rolle"/>
    <tableColumn id="5" xr3:uid="{2A1FEFAB-86ED-4763-BBBE-76E7F19A97A6}" name="Zählpunk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AFB236-AC44-4F54-A40C-1CBE1D1E3627}" name="Tabelle6" displayName="Tabelle6" ref="A1:K4" totalsRowShown="0" headerRowDxfId="6" headerRowBorderDxfId="5" tableBorderDxfId="4">
  <autoFilter ref="A1:K4" xr:uid="{17AFB236-AC44-4F54-A40C-1CBE1D1E3627}"/>
  <tableColumns count="11">
    <tableColumn id="1" xr3:uid="{326138A6-2734-453B-87AF-208B43F9BB8E}" name="ExternalMeterId" dataDxfId="3"/>
    <tableColumn id="2" xr3:uid="{1ED7E083-F521-43BC-8019-D703AD9BB364}" name="ExternalBuildingId" dataDxfId="2"/>
    <tableColumn id="3" xr3:uid="{8AB279E3-B7FB-4CB3-A956-EA1F07BD2A27}" name="MeterName"/>
    <tableColumn id="4" xr3:uid="{6D2AE19E-48FC-4CF3-8341-759C7D0A1A3E}" name="MeterType"/>
    <tableColumn id="5" xr3:uid="{12C6ADAA-C738-4A79-9885-DF699A4A4649}" name="Medium"/>
    <tableColumn id="6" xr3:uid="{0E61128F-D28A-4CC7-93C7-960B2A98C5B9}" name="Unit"/>
    <tableColumn id="7" xr3:uid="{CF952E82-9BA3-403A-992A-7DDA9F350D8A}" name="Direction"/>
    <tableColumn id="8" xr3:uid="{B9603B55-9A3A-4FD3-BC26-006621DF8491}" name="IntervalMinutes"/>
    <tableColumn id="9" xr3:uid="{CA59F816-B3AF-4C0F-AA4A-417027037635}" name="IsVirtual"/>
    <tableColumn id="10" xr3:uid="{0504426A-4967-4236-AF86-A4FB0B6CF385}" name="AggregationType"/>
    <tableColumn id="11" xr3:uid="{190310DF-DFFC-411C-8B1E-821C1E576481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eg-kamp-taffa.at/" TargetMode="External"/><Relationship Id="rId2" Type="http://schemas.openxmlformats.org/officeDocument/2006/relationships/hyperlink" Target="mailto:info@weinstrom.at" TargetMode="External"/><Relationship Id="rId1" Type="http://schemas.openxmlformats.org/officeDocument/2006/relationships/hyperlink" Target="mailto:eeg@japons.info" TargetMode="External"/><Relationship Id="rId6" Type="http://schemas.openxmlformats.org/officeDocument/2006/relationships/table" Target="../tables/table4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info@eeg-kamp-taffa.a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B7960-7A40-40DF-9611-2DCED84A3BC4}">
  <sheetPr codeName="Tabelle1"/>
  <dimension ref="A1:AN200"/>
  <sheetViews>
    <sheetView showGridLines="0" topLeftCell="B1" zoomScaleNormal="85" workbookViewId="0">
      <selection activeCell="N16" sqref="N16"/>
    </sheetView>
  </sheetViews>
  <sheetFormatPr baseColWidth="10" defaultRowHeight="14.4" x14ac:dyDescent="0.3"/>
  <cols>
    <col min="1" max="1" width="11.5546875" hidden="1" customWidth="1"/>
    <col min="2" max="2" width="31.88671875" customWidth="1"/>
    <col min="3" max="3" width="10.109375" customWidth="1"/>
    <col min="4" max="4" width="19.109375" style="5" customWidth="1"/>
    <col min="5" max="5" width="13.5546875" style="5" customWidth="1"/>
    <col min="6" max="6" width="6.5546875" style="5" customWidth="1"/>
    <col min="7" max="7" width="32.88671875" style="5" customWidth="1"/>
    <col min="8" max="8" width="17.33203125" style="5" customWidth="1"/>
    <col min="9" max="9" width="10" style="5" bestFit="1" customWidth="1"/>
    <col min="10" max="10" width="9.6640625" style="5" bestFit="1" customWidth="1"/>
    <col min="11" max="11" width="13.5546875" style="5" bestFit="1" customWidth="1"/>
    <col min="12" max="12" width="5.6640625" style="5" bestFit="1" customWidth="1"/>
    <col min="13" max="13" width="11.109375" style="5" bestFit="1" customWidth="1"/>
    <col min="14" max="14" width="4.5546875" style="5" bestFit="1" customWidth="1"/>
    <col min="15" max="15" width="6.33203125" style="5" bestFit="1" customWidth="1"/>
    <col min="16" max="16" width="13.6640625" style="5" bestFit="1" customWidth="1"/>
    <col min="17" max="17" width="14.88671875" style="5" bestFit="1" customWidth="1"/>
    <col min="18" max="18" width="9.44140625" style="5" bestFit="1" customWidth="1"/>
    <col min="19" max="19" width="14.33203125" style="5" bestFit="1" customWidth="1"/>
    <col min="20" max="20" width="25.33203125" style="5" bestFit="1" customWidth="1"/>
    <col min="21" max="21" width="24.44140625" style="5" bestFit="1" customWidth="1"/>
    <col min="22" max="22" width="15" style="5" bestFit="1" customWidth="1"/>
    <col min="23" max="23" width="17.6640625" bestFit="1" customWidth="1"/>
    <col min="24" max="24" width="9.5546875" bestFit="1" customWidth="1"/>
  </cols>
  <sheetData>
    <row r="1" spans="1:40" s="5" customFormat="1" ht="12.6" customHeight="1" x14ac:dyDescent="0.3"/>
    <row r="2" spans="1:40" ht="14.4" customHeight="1" x14ac:dyDescent="0.3">
      <c r="D2" s="25"/>
      <c r="E2" s="25"/>
      <c r="F2" s="25"/>
      <c r="G2" s="25" t="s">
        <v>35</v>
      </c>
      <c r="H2" s="25"/>
      <c r="I2" s="25"/>
      <c r="J2" s="16" t="s">
        <v>157</v>
      </c>
      <c r="K2" s="24" t="e" cm="1">
        <f t="array" aca="1" ref="K2" ca="1">AktiverWert()</f>
        <v>#NAME?</v>
      </c>
      <c r="L2" s="24"/>
      <c r="M2" s="24"/>
      <c r="N2" s="24"/>
      <c r="O2" s="24"/>
      <c r="P2" s="24"/>
      <c r="Q2" s="24"/>
      <c r="S2"/>
      <c r="T2"/>
      <c r="U2"/>
      <c r="V2"/>
    </row>
    <row r="3" spans="1:40" ht="14.4" customHeight="1" x14ac:dyDescent="0.3">
      <c r="D3" s="25"/>
      <c r="E3" s="25"/>
      <c r="F3" s="25"/>
      <c r="G3" s="25"/>
      <c r="H3" s="25"/>
      <c r="I3" s="25"/>
      <c r="J3"/>
      <c r="R3"/>
      <c r="S3"/>
      <c r="T3"/>
      <c r="U3"/>
      <c r="V3"/>
    </row>
    <row r="4" spans="1:40" x14ac:dyDescent="0.3">
      <c r="D4" s="7"/>
      <c r="E4" s="7"/>
      <c r="F4" s="7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40" ht="24" customHeight="1" x14ac:dyDescent="0.3">
      <c r="D5" s="26" t="s">
        <v>167</v>
      </c>
      <c r="E5" s="26"/>
      <c r="F5" s="23" t="str">
        <f>IF(D5="Buildings",A34,A27)</f>
        <v>KundenFilterKriterien</v>
      </c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</row>
    <row r="6" spans="1:40" x14ac:dyDescent="0.3">
      <c r="C6" s="12" t="s">
        <v>28</v>
      </c>
      <c r="D6" s="19" t="str" cm="1">
        <f t="array" aca="1" ref="D6:Z6" ca="1">INDEX(INDIRECT($D$5),1,0)</f>
        <v>InternalCustomerId</v>
      </c>
      <c r="E6" s="19" t="str">
        <f ca="1"/>
        <v>FolderNumber</v>
      </c>
      <c r="F6" s="19" t="str">
        <f ca="1"/>
        <v>eKUTCustomer</v>
      </c>
      <c r="G6" s="19" t="str">
        <f ca="1"/>
        <v>ProjectName</v>
      </c>
      <c r="H6" s="19" t="str">
        <f ca="1"/>
        <v>OrganizationName</v>
      </c>
      <c r="I6" s="19" t="str">
        <f ca="1"/>
        <v>FirstName</v>
      </c>
      <c r="J6" s="19" t="str">
        <f ca="1"/>
        <v>LastName</v>
      </c>
      <c r="K6" s="19" t="str">
        <f ca="1"/>
        <v>PhoneNumber</v>
      </c>
      <c r="L6" s="19" t="str">
        <f ca="1"/>
        <v>Email</v>
      </c>
      <c r="M6" s="19" t="str">
        <f ca="1"/>
        <v>PostalCode</v>
      </c>
      <c r="N6" s="19" t="str">
        <f ca="1"/>
        <v>City</v>
      </c>
      <c r="O6" s="19" t="str">
        <f ca="1"/>
        <v>Street</v>
      </c>
      <c r="P6" s="19" t="str">
        <f ca="1"/>
        <v>HouseNumber</v>
      </c>
      <c r="Q6" s="19" t="str">
        <f ca="1"/>
        <v>AddressAddtion</v>
      </c>
      <c r="R6" s="19" t="str">
        <f ca="1"/>
        <v>Prosumer</v>
      </c>
      <c r="S6" s="19" t="str">
        <f ca="1"/>
        <v>HasLoadProfile</v>
      </c>
      <c r="T6" s="19" t="str">
        <f ca="1"/>
        <v>BuildingRenovationInterest</v>
      </c>
      <c r="U6" s="19" t="str">
        <f ca="1"/>
        <v>EnergyCommunityInterest</v>
      </c>
      <c r="V6" s="19" t="str">
        <f ca="1"/>
        <v>MobilityInterest</v>
      </c>
      <c r="W6" s="19" t="str">
        <f ca="1"/>
        <v>PlusEnergyInterest</v>
      </c>
      <c r="X6" s="19" t="str">
        <f ca="1"/>
        <v>Subsidies</v>
      </c>
      <c r="Y6" s="19" t="str">
        <f ca="1"/>
        <v>LastContact</v>
      </c>
      <c r="Z6" s="19" t="str">
        <f ca="1"/>
        <v>Notes</v>
      </c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</row>
    <row r="7" spans="1:40" ht="16.2" hidden="1" customHeight="1" x14ac:dyDescent="0.3">
      <c r="C7" s="11" t="str">
        <f t="shared" ref="C7:C70" ca="1" si="0">IF(E7=0,"",HYPERLINK("H:\Projekte\Projekte aktuell\Sonstige Projekte\1139 - ENSET\AP09_Innolab\Akquise\Datenbank &amp; Liste\"&amp;E7&amp;"_"&amp;G7,E7&amp;"_"&amp;G7))</f>
        <v>FolderNumber_ProjectName</v>
      </c>
      <c r="D7" s="5" t="str" cm="1">
        <f t="array" aca="1" ref="D7:Z12" ca="1">_xlfn._xlws.FILTER(INDIRECT($D$5),ISNUMBER(SEARCH($D$2,INDEX(INDIRECT($D$5),0,MATCH($G$2,INDEX(INDIRECT($D$5),1,0),0)))),"Kein Ergebnis gefunden.")</f>
        <v>InternalCustomerId</v>
      </c>
      <c r="E7" s="8" t="str">
        <f ca="1"/>
        <v>FolderNumber</v>
      </c>
      <c r="F7" s="8" t="str">
        <f ca="1"/>
        <v>eKUTCustomer</v>
      </c>
      <c r="G7" s="8" t="str">
        <f ca="1"/>
        <v>ProjectName</v>
      </c>
      <c r="H7" s="8" t="str">
        <f ca="1"/>
        <v>OrganizationName</v>
      </c>
      <c r="I7" s="8" t="str">
        <f ca="1"/>
        <v>FirstName</v>
      </c>
      <c r="J7" s="8" t="str">
        <f ca="1"/>
        <v>LastName</v>
      </c>
      <c r="K7" s="8" t="str">
        <f ca="1"/>
        <v>PhoneNumber</v>
      </c>
      <c r="L7" s="8" t="str">
        <f ca="1"/>
        <v>Email</v>
      </c>
      <c r="M7" s="8" t="str">
        <f ca="1"/>
        <v>PostalCode</v>
      </c>
      <c r="N7" s="8" t="str">
        <f ca="1"/>
        <v>City</v>
      </c>
      <c r="O7" s="8" t="str">
        <f ca="1"/>
        <v>Street</v>
      </c>
      <c r="P7" s="8" t="str">
        <f ca="1"/>
        <v>HouseNumber</v>
      </c>
      <c r="Q7" s="8" t="str">
        <f ca="1"/>
        <v>AddressAddtion</v>
      </c>
      <c r="R7" s="8" t="str">
        <f ca="1"/>
        <v>Prosumer</v>
      </c>
      <c r="S7" s="8" t="str">
        <f ca="1"/>
        <v>HasLoadProfile</v>
      </c>
      <c r="T7" s="8" t="str">
        <f ca="1"/>
        <v>BuildingRenovationInterest</v>
      </c>
      <c r="U7" s="8" t="str">
        <f ca="1"/>
        <v>EnergyCommunityInterest</v>
      </c>
      <c r="V7" s="8" t="str">
        <f ca="1"/>
        <v>MobilityInterest</v>
      </c>
      <c r="W7" t="str">
        <f ca="1"/>
        <v>PlusEnergyInterest</v>
      </c>
      <c r="X7" t="str">
        <f ca="1"/>
        <v>Subsidies</v>
      </c>
      <c r="Y7" t="str">
        <f ca="1"/>
        <v>LastContact</v>
      </c>
      <c r="Z7" t="str">
        <f ca="1"/>
        <v>Notes</v>
      </c>
    </row>
    <row r="8" spans="1:40" ht="16.2" customHeight="1" x14ac:dyDescent="0.3">
      <c r="C8" s="11" t="str">
        <f t="shared" ca="1" si="0"/>
        <v>836_Mustersanierung, PV-Anlage</v>
      </c>
      <c r="D8" s="5">
        <f ca="1"/>
        <v>1</v>
      </c>
      <c r="E8" s="5">
        <f ca="1"/>
        <v>836</v>
      </c>
      <c r="F8" s="5" t="str">
        <f ca="1"/>
        <v>x</v>
      </c>
      <c r="G8" s="5" t="str">
        <f ca="1"/>
        <v>Mustersanierung, PV-Anlage</v>
      </c>
      <c r="H8" s="5" t="str">
        <f ca="1"/>
        <v>Auto Berger</v>
      </c>
      <c r="I8" s="5" t="str">
        <f ca="1"/>
        <v>Testperson1</v>
      </c>
      <c r="J8" s="5" t="str">
        <f ca="1"/>
        <v>Berger</v>
      </c>
      <c r="K8" s="5" t="str">
        <f ca="1"/>
        <v>02822 / 52281 -201</v>
      </c>
      <c r="L8" s="5" t="str">
        <f ca="1"/>
        <v>ulrike.berger-braun@autohaus-berger.at</v>
      </c>
      <c r="M8" s="5">
        <f ca="1"/>
        <v>3910</v>
      </c>
      <c r="N8" s="5" t="str">
        <f ca="1"/>
        <v>Zwettl</v>
      </c>
      <c r="O8" s="5" t="str">
        <f ca="1"/>
        <v>Kremser Straße</v>
      </c>
      <c r="P8" s="5">
        <f ca="1"/>
        <v>34</v>
      </c>
      <c r="Q8" s="5" t="str">
        <f ca="1"/>
        <v/>
      </c>
      <c r="R8" s="5" t="str">
        <f ca="1"/>
        <v/>
      </c>
      <c r="S8" s="5" t="str">
        <f ca="1"/>
        <v/>
      </c>
      <c r="T8" s="5" t="str">
        <f ca="1"/>
        <v/>
      </c>
      <c r="U8" s="5" t="str">
        <f ca="1"/>
        <v/>
      </c>
      <c r="V8" s="5" t="str">
        <f ca="1"/>
        <v/>
      </c>
      <c r="W8" t="str">
        <f ca="1"/>
        <v/>
      </c>
      <c r="X8">
        <f ca="1"/>
        <v>0</v>
      </c>
      <c r="Y8">
        <f ca="1"/>
        <v>0</v>
      </c>
      <c r="Z8" t="str">
        <f ca="1"/>
        <v/>
      </c>
    </row>
    <row r="9" spans="1:40" ht="16.2" customHeight="1" x14ac:dyDescent="0.3">
      <c r="A9" s="17" t="s">
        <v>158</v>
      </c>
      <c r="C9" s="11" t="str">
        <f t="shared" ca="1" si="0"/>
        <v>609_Mustersanierung Workingspace, Carport Parkplatz PV-Anlagen</v>
      </c>
      <c r="D9" s="5">
        <f ca="1"/>
        <v>2</v>
      </c>
      <c r="E9" s="5">
        <f ca="1"/>
        <v>609</v>
      </c>
      <c r="F9" s="5" t="str">
        <f ca="1"/>
        <v>x</v>
      </c>
      <c r="G9" s="5" t="str">
        <f ca="1"/>
        <v>Mustersanierung Workingspace, Carport Parkplatz PV-Anlagen</v>
      </c>
      <c r="H9" s="5" t="str">
        <f ca="1"/>
        <v>Garser Immobilien GmbH</v>
      </c>
      <c r="I9" s="5" t="str">
        <f ca="1"/>
        <v>Testperson2</v>
      </c>
      <c r="J9" s="5" t="str">
        <f ca="1"/>
        <v>Groiß</v>
      </c>
      <c r="K9" s="5" t="str">
        <f ca="1"/>
        <v>02985 / 2656</v>
      </c>
      <c r="L9" s="5" t="str">
        <f ca="1"/>
        <v>werner.groiss@bzg.at</v>
      </c>
      <c r="M9" s="5">
        <f ca="1"/>
        <v>3571</v>
      </c>
      <c r="N9" s="5" t="str">
        <f ca="1"/>
        <v>Gars am Kamp</v>
      </c>
      <c r="O9" s="5" t="str">
        <f ca="1"/>
        <v>Schiller Straße</v>
      </c>
      <c r="P9" s="5">
        <f ca="1"/>
        <v>163</v>
      </c>
      <c r="Q9" s="5" t="str">
        <f ca="1"/>
        <v/>
      </c>
      <c r="R9" s="5" t="str">
        <f ca="1"/>
        <v/>
      </c>
      <c r="S9" s="5" t="str">
        <f ca="1"/>
        <v/>
      </c>
      <c r="T9" s="5" t="str">
        <f ca="1"/>
        <v/>
      </c>
      <c r="U9" s="5" t="str">
        <f ca="1"/>
        <v/>
      </c>
      <c r="V9" s="5" t="str">
        <f ca="1"/>
        <v/>
      </c>
      <c r="W9" t="str">
        <f ca="1"/>
        <v/>
      </c>
      <c r="X9">
        <f ca="1"/>
        <v>0</v>
      </c>
      <c r="Y9">
        <f ca="1"/>
        <v>0</v>
      </c>
      <c r="Z9" t="str">
        <f ca="1"/>
        <v/>
      </c>
    </row>
    <row r="10" spans="1:40" ht="16.2" customHeight="1" x14ac:dyDescent="0.3">
      <c r="A10" t="s">
        <v>167</v>
      </c>
      <c r="C10" s="11" t="str">
        <f t="shared" ca="1" si="0"/>
        <v>1106_Mustersanierung, Beratung</v>
      </c>
      <c r="D10" s="5">
        <f ca="1"/>
        <v>3</v>
      </c>
      <c r="E10" s="5">
        <f ca="1"/>
        <v>1106</v>
      </c>
      <c r="F10" s="5" t="str">
        <f ca="1"/>
        <v>x</v>
      </c>
      <c r="G10" s="5" t="str">
        <f ca="1"/>
        <v>Mustersanierung, Beratung</v>
      </c>
      <c r="H10" s="5" t="str">
        <f ca="1"/>
        <v>Gem Maissau</v>
      </c>
      <c r="I10" s="5" t="str">
        <f ca="1"/>
        <v>Max</v>
      </c>
      <c r="J10" s="5" t="str">
        <f ca="1"/>
        <v>Muster</v>
      </c>
      <c r="K10" s="5" t="str">
        <f ca="1"/>
        <v>0676 / 3477930</v>
      </c>
      <c r="L10" s="5" t="str">
        <f ca="1"/>
        <v>hubert.wimmer@stadtmusik-maissau.at</v>
      </c>
      <c r="M10" s="5">
        <f ca="1"/>
        <v>3712</v>
      </c>
      <c r="N10" s="5" t="str">
        <f ca="1"/>
        <v>Maissau</v>
      </c>
      <c r="O10" s="5" t="str">
        <f ca="1"/>
        <v>Franz-Gilly-Gasse</v>
      </c>
      <c r="P10" s="5">
        <f ca="1"/>
        <v>12</v>
      </c>
      <c r="Q10" s="5" t="str">
        <f ca="1"/>
        <v/>
      </c>
      <c r="R10" s="5" t="str">
        <f ca="1"/>
        <v/>
      </c>
      <c r="S10" s="5" t="str">
        <f ca="1"/>
        <v/>
      </c>
      <c r="T10" s="5" t="str">
        <f ca="1"/>
        <v/>
      </c>
      <c r="U10" s="5" t="str">
        <f ca="1"/>
        <v/>
      </c>
      <c r="V10" s="5" t="str">
        <f ca="1"/>
        <v/>
      </c>
      <c r="W10" t="str">
        <f ca="1"/>
        <v/>
      </c>
      <c r="X10">
        <f ca="1"/>
        <v>0</v>
      </c>
      <c r="Y10">
        <f ca="1"/>
        <v>0</v>
      </c>
      <c r="Z10" t="str">
        <f ca="1"/>
        <v/>
      </c>
    </row>
    <row r="11" spans="1:40" ht="16.2" customHeight="1" x14ac:dyDescent="0.3">
      <c r="A11" t="s">
        <v>159</v>
      </c>
      <c r="C11" s="11" t="str">
        <f t="shared" ca="1" si="0"/>
        <v>3148_Kurzberatung, PV, Energie, Mobilität</v>
      </c>
      <c r="D11" s="5">
        <f ca="1"/>
        <v>4</v>
      </c>
      <c r="E11" s="5">
        <f ca="1"/>
        <v>3148</v>
      </c>
      <c r="F11" s="5" t="str">
        <f ca="1"/>
        <v>x</v>
      </c>
      <c r="G11" s="5" t="str">
        <f ca="1"/>
        <v>Kurzberatung, PV, Energie, Mobilität</v>
      </c>
      <c r="H11" s="5" t="str">
        <f ca="1"/>
        <v>Blumen Szing</v>
      </c>
      <c r="I11" s="5" t="str">
        <f ca="1"/>
        <v>Max</v>
      </c>
      <c r="J11" s="5" t="str">
        <f ca="1"/>
        <v>Mustermann</v>
      </c>
      <c r="K11" s="5" t="str">
        <f ca="1"/>
        <v>02735 / 2541</v>
      </c>
      <c r="L11" s="5" t="str">
        <f ca="1"/>
        <v>office@szing.at</v>
      </c>
      <c r="M11" s="5">
        <f ca="1"/>
        <v>3492</v>
      </c>
      <c r="N11" s="5" t="str">
        <f ca="1"/>
        <v>Walkersdorf</v>
      </c>
      <c r="O11" s="5" t="str">
        <f ca="1"/>
        <v>Hauptstraße</v>
      </c>
      <c r="P11" s="5">
        <f ca="1"/>
        <v>10</v>
      </c>
      <c r="Q11" s="5" t="str">
        <f ca="1"/>
        <v/>
      </c>
      <c r="R11" s="5" t="str">
        <f ca="1"/>
        <v/>
      </c>
      <c r="S11" s="5" t="str">
        <f ca="1"/>
        <v/>
      </c>
      <c r="T11" s="5" t="str">
        <f ca="1"/>
        <v/>
      </c>
      <c r="U11" s="5" t="str">
        <f ca="1"/>
        <v/>
      </c>
      <c r="V11" s="5" t="str">
        <f ca="1"/>
        <v/>
      </c>
      <c r="W11" t="str">
        <f ca="1"/>
        <v/>
      </c>
      <c r="X11">
        <f ca="1"/>
        <v>0</v>
      </c>
      <c r="Y11">
        <f ca="1"/>
        <v>0</v>
      </c>
      <c r="Z11" t="str">
        <f ca="1"/>
        <v/>
      </c>
    </row>
    <row r="12" spans="1:40" ht="16.2" customHeight="1" x14ac:dyDescent="0.3">
      <c r="A12" t="s">
        <v>160</v>
      </c>
      <c r="C12" s="11" t="str">
        <f t="shared" ca="1" si="0"/>
        <v>XXX_TEST</v>
      </c>
      <c r="D12" s="5">
        <f ca="1"/>
        <v>0</v>
      </c>
      <c r="E12" s="5" t="str">
        <f ca="1"/>
        <v>XXX</v>
      </c>
      <c r="F12" s="5">
        <f ca="1"/>
        <v>0</v>
      </c>
      <c r="G12" s="5" t="str">
        <f ca="1"/>
        <v>TEST</v>
      </c>
      <c r="H12" s="5" t="str">
        <f ca="1"/>
        <v>TEST</v>
      </c>
      <c r="I12" s="5" t="str">
        <f ca="1"/>
        <v>TEST</v>
      </c>
      <c r="J12" s="5" t="str">
        <f ca="1"/>
        <v>TEST</v>
      </c>
      <c r="K12" s="5">
        <f ca="1"/>
        <v>0</v>
      </c>
      <c r="L12" s="5">
        <f ca="1"/>
        <v>0</v>
      </c>
      <c r="M12" s="5">
        <f ca="1"/>
        <v>0</v>
      </c>
      <c r="N12" s="5">
        <f ca="1"/>
        <v>0</v>
      </c>
      <c r="O12" s="5">
        <f ca="1"/>
        <v>0</v>
      </c>
      <c r="P12" s="5">
        <f ca="1"/>
        <v>0</v>
      </c>
      <c r="Q12" s="5" t="str">
        <f ca="1"/>
        <v/>
      </c>
      <c r="R12" s="5" t="str">
        <f ca="1"/>
        <v/>
      </c>
      <c r="S12" s="5" t="str">
        <f ca="1"/>
        <v/>
      </c>
      <c r="T12" s="5" t="str">
        <f ca="1"/>
        <v/>
      </c>
      <c r="U12" s="5" t="str">
        <f ca="1"/>
        <v/>
      </c>
      <c r="V12" s="5" t="str">
        <f ca="1"/>
        <v/>
      </c>
      <c r="W12" t="str">
        <f ca="1"/>
        <v/>
      </c>
      <c r="X12">
        <f ca="1"/>
        <v>0</v>
      </c>
      <c r="Y12">
        <f ca="1"/>
        <v>0</v>
      </c>
      <c r="Z12" t="str">
        <f ca="1"/>
        <v/>
      </c>
    </row>
    <row r="13" spans="1:40" ht="16.2" customHeight="1" x14ac:dyDescent="0.3">
      <c r="A13" t="s">
        <v>161</v>
      </c>
      <c r="C13" s="11" t="str">
        <f t="shared" si="0"/>
        <v/>
      </c>
    </row>
    <row r="14" spans="1:40" ht="16.2" customHeight="1" x14ac:dyDescent="0.3">
      <c r="A14" t="s">
        <v>162</v>
      </c>
      <c r="C14" s="11" t="str">
        <f t="shared" si="0"/>
        <v/>
      </c>
    </row>
    <row r="15" spans="1:40" ht="16.2" customHeight="1" x14ac:dyDescent="0.3">
      <c r="A15" t="s">
        <v>163</v>
      </c>
      <c r="C15" s="11" t="str">
        <f t="shared" ref="C15:C69" si="1">IF(E15=0,"",HYPERLINK("H:\Projekte\Projekte aktuell\Sonstige Projekte\1139 - ENSET\AP09_Innolab\Akquise\Datenbank &amp; Liste\"&amp;E15&amp;"_"&amp;G15,E15&amp;"_"&amp;G15))</f>
        <v/>
      </c>
    </row>
    <row r="16" spans="1:40" ht="16.2" customHeight="1" x14ac:dyDescent="0.3">
      <c r="A16" t="s">
        <v>164</v>
      </c>
      <c r="C16" s="11" t="str">
        <f t="shared" si="0"/>
        <v/>
      </c>
    </row>
    <row r="17" spans="1:3" ht="16.2" customHeight="1" x14ac:dyDescent="0.3">
      <c r="A17" t="s">
        <v>165</v>
      </c>
      <c r="C17" s="11" t="str">
        <f t="shared" si="0"/>
        <v/>
      </c>
    </row>
    <row r="18" spans="1:3" ht="16.2" customHeight="1" x14ac:dyDescent="0.3">
      <c r="A18" t="s">
        <v>166</v>
      </c>
      <c r="C18" s="11" t="str">
        <f t="shared" si="0"/>
        <v/>
      </c>
    </row>
    <row r="19" spans="1:3" ht="16.2" customHeight="1" x14ac:dyDescent="0.3">
      <c r="C19" s="11" t="str">
        <f t="shared" si="0"/>
        <v/>
      </c>
    </row>
    <row r="20" spans="1:3" ht="16.2" customHeight="1" x14ac:dyDescent="0.3">
      <c r="A20" s="17" t="s">
        <v>200</v>
      </c>
      <c r="C20" s="11" t="str">
        <f t="shared" si="0"/>
        <v/>
      </c>
    </row>
    <row r="21" spans="1:3" ht="16.2" customHeight="1" x14ac:dyDescent="0.3">
      <c r="A21" s="13" t="s">
        <v>201</v>
      </c>
      <c r="C21" s="11" t="str">
        <f t="shared" si="0"/>
        <v/>
      </c>
    </row>
    <row r="22" spans="1:3" ht="16.2" customHeight="1" x14ac:dyDescent="0.3">
      <c r="C22" s="11" t="str">
        <f t="shared" si="0"/>
        <v/>
      </c>
    </row>
    <row r="23" spans="1:3" ht="16.2" customHeight="1" x14ac:dyDescent="0.3">
      <c r="A23" s="17" t="s">
        <v>204</v>
      </c>
      <c r="C23" s="11" t="str">
        <f t="shared" si="0"/>
        <v/>
      </c>
    </row>
    <row r="24" spans="1:3" ht="16.2" customHeight="1" x14ac:dyDescent="0.3">
      <c r="A24" t="s">
        <v>202</v>
      </c>
      <c r="C24" s="11" t="str">
        <f t="shared" si="1"/>
        <v/>
      </c>
    </row>
    <row r="25" spans="1:3" ht="16.2" customHeight="1" x14ac:dyDescent="0.3">
      <c r="A25" t="s">
        <v>203</v>
      </c>
      <c r="C25" s="11" t="str">
        <f t="shared" si="0"/>
        <v/>
      </c>
    </row>
    <row r="26" spans="1:3" ht="16.2" customHeight="1" x14ac:dyDescent="0.3">
      <c r="C26" s="11" t="str">
        <f t="shared" si="0"/>
        <v/>
      </c>
    </row>
    <row r="27" spans="1:3" ht="16.2" customHeight="1" x14ac:dyDescent="0.3">
      <c r="A27" s="17" t="s">
        <v>202</v>
      </c>
      <c r="C27" s="11" t="str">
        <f t="shared" si="0"/>
        <v/>
      </c>
    </row>
    <row r="28" spans="1:3" ht="16.2" customHeight="1" x14ac:dyDescent="0.3">
      <c r="A28" t="s">
        <v>192</v>
      </c>
      <c r="C28" s="11" t="str">
        <f t="shared" si="0"/>
        <v/>
      </c>
    </row>
    <row r="29" spans="1:3" ht="16.2" customHeight="1" x14ac:dyDescent="0.3">
      <c r="A29" t="s">
        <v>31</v>
      </c>
      <c r="C29" s="11" t="str">
        <f t="shared" si="0"/>
        <v/>
      </c>
    </row>
    <row r="30" spans="1:3" ht="16.2" customHeight="1" x14ac:dyDescent="0.3">
      <c r="A30" t="s">
        <v>32</v>
      </c>
      <c r="C30" s="11" t="str">
        <f t="shared" si="0"/>
        <v/>
      </c>
    </row>
    <row r="31" spans="1:3" ht="16.2" customHeight="1" x14ac:dyDescent="0.3">
      <c r="A31" t="s">
        <v>35</v>
      </c>
      <c r="C31" s="11" t="str">
        <f t="shared" si="0"/>
        <v/>
      </c>
    </row>
    <row r="32" spans="1:3" ht="16.2" customHeight="1" x14ac:dyDescent="0.3">
      <c r="A32" t="s">
        <v>38</v>
      </c>
      <c r="C32" s="11" t="str">
        <f t="shared" si="0"/>
        <v/>
      </c>
    </row>
    <row r="33" spans="1:3" ht="16.2" customHeight="1" x14ac:dyDescent="0.3">
      <c r="C33" s="11" t="str">
        <f t="shared" si="1"/>
        <v/>
      </c>
    </row>
    <row r="34" spans="1:3" ht="16.2" customHeight="1" x14ac:dyDescent="0.3">
      <c r="A34" s="17" t="s">
        <v>203</v>
      </c>
      <c r="C34" s="11" t="str">
        <f t="shared" si="0"/>
        <v/>
      </c>
    </row>
    <row r="35" spans="1:3" ht="16.2" customHeight="1" x14ac:dyDescent="0.3">
      <c r="A35" t="s">
        <v>193</v>
      </c>
      <c r="C35" s="11" t="str">
        <f t="shared" si="0"/>
        <v/>
      </c>
    </row>
    <row r="36" spans="1:3" ht="16.2" customHeight="1" x14ac:dyDescent="0.3">
      <c r="A36" t="s">
        <v>35</v>
      </c>
      <c r="C36" s="11" t="str">
        <f t="shared" si="0"/>
        <v/>
      </c>
    </row>
    <row r="37" spans="1:3" ht="16.2" customHeight="1" x14ac:dyDescent="0.3">
      <c r="A37" t="s">
        <v>38</v>
      </c>
      <c r="C37" s="11" t="str">
        <f t="shared" si="0"/>
        <v/>
      </c>
    </row>
    <row r="38" spans="1:3" ht="16.2" customHeight="1" x14ac:dyDescent="0.3">
      <c r="A38" t="s">
        <v>48</v>
      </c>
      <c r="C38" s="11" t="str">
        <f t="shared" si="0"/>
        <v/>
      </c>
    </row>
    <row r="39" spans="1:3" ht="16.2" customHeight="1" x14ac:dyDescent="0.3">
      <c r="A39" t="s">
        <v>36</v>
      </c>
      <c r="C39" s="11" t="str">
        <f t="shared" si="0"/>
        <v/>
      </c>
    </row>
    <row r="40" spans="1:3" ht="16.2" customHeight="1" x14ac:dyDescent="0.3">
      <c r="A40" t="s">
        <v>49</v>
      </c>
      <c r="C40" s="11" t="str">
        <f t="shared" si="0"/>
        <v/>
      </c>
    </row>
    <row r="41" spans="1:3" ht="16.2" customHeight="1" x14ac:dyDescent="0.3">
      <c r="C41" s="11" t="str">
        <f t="shared" si="0"/>
        <v/>
      </c>
    </row>
    <row r="42" spans="1:3" ht="16.2" customHeight="1" x14ac:dyDescent="0.3">
      <c r="C42" s="11" t="str">
        <f t="shared" si="1"/>
        <v/>
      </c>
    </row>
    <row r="43" spans="1:3" ht="16.2" customHeight="1" x14ac:dyDescent="0.3">
      <c r="C43" s="11" t="str">
        <f t="shared" si="0"/>
        <v/>
      </c>
    </row>
    <row r="44" spans="1:3" ht="16.2" customHeight="1" x14ac:dyDescent="0.3">
      <c r="C44" s="11" t="str">
        <f t="shared" si="0"/>
        <v/>
      </c>
    </row>
    <row r="45" spans="1:3" ht="16.2" customHeight="1" x14ac:dyDescent="0.3">
      <c r="C45" s="11" t="str">
        <f t="shared" si="0"/>
        <v/>
      </c>
    </row>
    <row r="46" spans="1:3" ht="16.2" customHeight="1" x14ac:dyDescent="0.3">
      <c r="C46" s="11" t="str">
        <f t="shared" si="0"/>
        <v/>
      </c>
    </row>
    <row r="47" spans="1:3" ht="16.2" customHeight="1" x14ac:dyDescent="0.3">
      <c r="C47" s="11" t="str">
        <f t="shared" si="0"/>
        <v/>
      </c>
    </row>
    <row r="48" spans="1:3" ht="16.2" customHeight="1" x14ac:dyDescent="0.3">
      <c r="C48" s="11" t="str">
        <f t="shared" si="0"/>
        <v/>
      </c>
    </row>
    <row r="49" spans="3:3" ht="16.2" customHeight="1" x14ac:dyDescent="0.3">
      <c r="C49" s="11" t="str">
        <f t="shared" si="0"/>
        <v/>
      </c>
    </row>
    <row r="50" spans="3:3" ht="16.2" customHeight="1" x14ac:dyDescent="0.3">
      <c r="C50" s="11" t="str">
        <f t="shared" si="0"/>
        <v/>
      </c>
    </row>
    <row r="51" spans="3:3" ht="16.2" customHeight="1" x14ac:dyDescent="0.3">
      <c r="C51" s="11" t="str">
        <f t="shared" si="1"/>
        <v/>
      </c>
    </row>
    <row r="52" spans="3:3" ht="16.2" customHeight="1" x14ac:dyDescent="0.3">
      <c r="C52" s="11" t="str">
        <f t="shared" si="0"/>
        <v/>
      </c>
    </row>
    <row r="53" spans="3:3" ht="16.2" customHeight="1" x14ac:dyDescent="0.3">
      <c r="C53" s="11" t="str">
        <f t="shared" si="0"/>
        <v/>
      </c>
    </row>
    <row r="54" spans="3:3" ht="16.2" customHeight="1" x14ac:dyDescent="0.3">
      <c r="C54" s="11" t="str">
        <f t="shared" si="0"/>
        <v/>
      </c>
    </row>
    <row r="55" spans="3:3" ht="16.2" customHeight="1" x14ac:dyDescent="0.3">
      <c r="C55" s="11" t="str">
        <f t="shared" si="0"/>
        <v/>
      </c>
    </row>
    <row r="56" spans="3:3" ht="16.2" customHeight="1" x14ac:dyDescent="0.3">
      <c r="C56" s="11" t="str">
        <f t="shared" si="0"/>
        <v/>
      </c>
    </row>
    <row r="57" spans="3:3" ht="16.2" customHeight="1" x14ac:dyDescent="0.3">
      <c r="C57" s="11" t="str">
        <f t="shared" si="0"/>
        <v/>
      </c>
    </row>
    <row r="58" spans="3:3" ht="16.2" customHeight="1" x14ac:dyDescent="0.3">
      <c r="C58" s="11" t="str">
        <f t="shared" si="0"/>
        <v/>
      </c>
    </row>
    <row r="59" spans="3:3" ht="16.2" customHeight="1" x14ac:dyDescent="0.3">
      <c r="C59" s="11" t="str">
        <f t="shared" si="0"/>
        <v/>
      </c>
    </row>
    <row r="60" spans="3:3" ht="16.2" customHeight="1" x14ac:dyDescent="0.3">
      <c r="C60" s="11" t="str">
        <f t="shared" si="1"/>
        <v/>
      </c>
    </row>
    <row r="61" spans="3:3" ht="16.2" customHeight="1" x14ac:dyDescent="0.3">
      <c r="C61" s="11" t="str">
        <f t="shared" si="0"/>
        <v/>
      </c>
    </row>
    <row r="62" spans="3:3" ht="16.2" customHeight="1" x14ac:dyDescent="0.3">
      <c r="C62" s="11" t="str">
        <f t="shared" si="0"/>
        <v/>
      </c>
    </row>
    <row r="63" spans="3:3" ht="16.2" customHeight="1" x14ac:dyDescent="0.3">
      <c r="C63" s="11" t="str">
        <f t="shared" si="0"/>
        <v/>
      </c>
    </row>
    <row r="64" spans="3:3" ht="16.2" customHeight="1" x14ac:dyDescent="0.3">
      <c r="C64" s="11" t="str">
        <f t="shared" si="0"/>
        <v/>
      </c>
    </row>
    <row r="65" spans="3:3" ht="16.2" customHeight="1" x14ac:dyDescent="0.3">
      <c r="C65" s="11" t="str">
        <f t="shared" si="0"/>
        <v/>
      </c>
    </row>
    <row r="66" spans="3:3" ht="16.2" customHeight="1" x14ac:dyDescent="0.3">
      <c r="C66" s="11" t="str">
        <f t="shared" si="0"/>
        <v/>
      </c>
    </row>
    <row r="67" spans="3:3" ht="16.2" customHeight="1" x14ac:dyDescent="0.3">
      <c r="C67" s="11" t="str">
        <f t="shared" si="0"/>
        <v/>
      </c>
    </row>
    <row r="68" spans="3:3" ht="16.2" customHeight="1" x14ac:dyDescent="0.3">
      <c r="C68" s="11" t="str">
        <f t="shared" si="0"/>
        <v/>
      </c>
    </row>
    <row r="69" spans="3:3" ht="16.2" customHeight="1" x14ac:dyDescent="0.3">
      <c r="C69" s="11" t="str">
        <f t="shared" si="1"/>
        <v/>
      </c>
    </row>
    <row r="70" spans="3:3" ht="16.2" customHeight="1" x14ac:dyDescent="0.3">
      <c r="C70" s="11" t="str">
        <f t="shared" si="0"/>
        <v/>
      </c>
    </row>
    <row r="71" spans="3:3" ht="16.2" customHeight="1" x14ac:dyDescent="0.3">
      <c r="C71" s="11" t="str">
        <f t="shared" ref="C71:C134" si="2">IF(E71=0,"",HYPERLINK("H:\Projekte\Projekte aktuell\Sonstige Projekte\1139 - ENSET\AP09_Innolab\Akquise\Datenbank &amp; Liste\"&amp;E71&amp;"_"&amp;G71,E71&amp;"_"&amp;G71))</f>
        <v/>
      </c>
    </row>
    <row r="72" spans="3:3" ht="16.2" customHeight="1" x14ac:dyDescent="0.3">
      <c r="C72" s="11" t="str">
        <f t="shared" si="2"/>
        <v/>
      </c>
    </row>
    <row r="73" spans="3:3" ht="16.2" customHeight="1" x14ac:dyDescent="0.3">
      <c r="C73" s="11" t="str">
        <f t="shared" si="2"/>
        <v/>
      </c>
    </row>
    <row r="74" spans="3:3" ht="16.2" customHeight="1" x14ac:dyDescent="0.3">
      <c r="C74" s="11" t="str">
        <f t="shared" si="2"/>
        <v/>
      </c>
    </row>
    <row r="75" spans="3:3" ht="16.2" customHeight="1" x14ac:dyDescent="0.3">
      <c r="C75" s="11" t="str">
        <f t="shared" si="2"/>
        <v/>
      </c>
    </row>
    <row r="76" spans="3:3" ht="16.2" customHeight="1" x14ac:dyDescent="0.3">
      <c r="C76" s="11" t="str">
        <f t="shared" si="2"/>
        <v/>
      </c>
    </row>
    <row r="77" spans="3:3" ht="16.2" customHeight="1" x14ac:dyDescent="0.3">
      <c r="C77" s="11" t="str">
        <f t="shared" si="2"/>
        <v/>
      </c>
    </row>
    <row r="78" spans="3:3" ht="16.2" customHeight="1" x14ac:dyDescent="0.3">
      <c r="C78" s="11" t="str">
        <f t="shared" si="2"/>
        <v/>
      </c>
    </row>
    <row r="79" spans="3:3" ht="16.2" customHeight="1" x14ac:dyDescent="0.3">
      <c r="C79" s="11" t="str">
        <f t="shared" si="2"/>
        <v/>
      </c>
    </row>
    <row r="80" spans="3:3" ht="16.2" customHeight="1" x14ac:dyDescent="0.3">
      <c r="C80" s="11" t="str">
        <f t="shared" si="2"/>
        <v/>
      </c>
    </row>
    <row r="81" spans="3:3" ht="16.2" customHeight="1" x14ac:dyDescent="0.3">
      <c r="C81" s="11" t="str">
        <f t="shared" si="2"/>
        <v/>
      </c>
    </row>
    <row r="82" spans="3:3" ht="16.2" customHeight="1" x14ac:dyDescent="0.3">
      <c r="C82" s="11" t="str">
        <f t="shared" si="2"/>
        <v/>
      </c>
    </row>
    <row r="83" spans="3:3" ht="16.2" customHeight="1" x14ac:dyDescent="0.3">
      <c r="C83" s="11" t="str">
        <f t="shared" si="2"/>
        <v/>
      </c>
    </row>
    <row r="84" spans="3:3" ht="16.2" customHeight="1" x14ac:dyDescent="0.3">
      <c r="C84" s="11" t="str">
        <f t="shared" si="2"/>
        <v/>
      </c>
    </row>
    <row r="85" spans="3:3" ht="16.2" customHeight="1" x14ac:dyDescent="0.3">
      <c r="C85" s="11" t="str">
        <f t="shared" si="2"/>
        <v/>
      </c>
    </row>
    <row r="86" spans="3:3" ht="16.2" customHeight="1" x14ac:dyDescent="0.3">
      <c r="C86" s="11" t="str">
        <f t="shared" si="2"/>
        <v/>
      </c>
    </row>
    <row r="87" spans="3:3" ht="16.2" customHeight="1" x14ac:dyDescent="0.3">
      <c r="C87" s="11" t="str">
        <f t="shared" si="2"/>
        <v/>
      </c>
    </row>
    <row r="88" spans="3:3" ht="16.2" customHeight="1" x14ac:dyDescent="0.3">
      <c r="C88" s="11" t="str">
        <f t="shared" si="2"/>
        <v/>
      </c>
    </row>
    <row r="89" spans="3:3" ht="16.2" customHeight="1" x14ac:dyDescent="0.3">
      <c r="C89" s="11" t="str">
        <f t="shared" si="2"/>
        <v/>
      </c>
    </row>
    <row r="90" spans="3:3" ht="16.2" customHeight="1" x14ac:dyDescent="0.3">
      <c r="C90" s="11" t="str">
        <f t="shared" si="2"/>
        <v/>
      </c>
    </row>
    <row r="91" spans="3:3" ht="16.2" customHeight="1" x14ac:dyDescent="0.3">
      <c r="C91" s="11" t="str">
        <f t="shared" si="2"/>
        <v/>
      </c>
    </row>
    <row r="92" spans="3:3" ht="16.2" customHeight="1" x14ac:dyDescent="0.3">
      <c r="C92" s="11" t="str">
        <f t="shared" si="2"/>
        <v/>
      </c>
    </row>
    <row r="93" spans="3:3" ht="16.2" customHeight="1" x14ac:dyDescent="0.3">
      <c r="C93" s="11" t="str">
        <f t="shared" si="2"/>
        <v/>
      </c>
    </row>
    <row r="94" spans="3:3" ht="16.2" customHeight="1" x14ac:dyDescent="0.3">
      <c r="C94" s="11" t="str">
        <f t="shared" si="2"/>
        <v/>
      </c>
    </row>
    <row r="95" spans="3:3" ht="16.2" customHeight="1" x14ac:dyDescent="0.3">
      <c r="C95" s="11" t="str">
        <f t="shared" si="2"/>
        <v/>
      </c>
    </row>
    <row r="96" spans="3:3" ht="16.2" customHeight="1" x14ac:dyDescent="0.3">
      <c r="C96" s="11" t="str">
        <f t="shared" si="2"/>
        <v/>
      </c>
    </row>
    <row r="97" spans="3:3" ht="16.2" customHeight="1" x14ac:dyDescent="0.3">
      <c r="C97" s="11" t="str">
        <f t="shared" si="2"/>
        <v/>
      </c>
    </row>
    <row r="98" spans="3:3" ht="16.2" customHeight="1" x14ac:dyDescent="0.3">
      <c r="C98" s="11" t="str">
        <f t="shared" si="2"/>
        <v/>
      </c>
    </row>
    <row r="99" spans="3:3" ht="16.2" customHeight="1" x14ac:dyDescent="0.3">
      <c r="C99" s="11" t="str">
        <f t="shared" si="2"/>
        <v/>
      </c>
    </row>
    <row r="100" spans="3:3" ht="16.2" customHeight="1" x14ac:dyDescent="0.3">
      <c r="C100" s="11" t="str">
        <f t="shared" si="2"/>
        <v/>
      </c>
    </row>
    <row r="101" spans="3:3" ht="16.2" customHeight="1" x14ac:dyDescent="0.3">
      <c r="C101" s="11" t="str">
        <f t="shared" si="2"/>
        <v/>
      </c>
    </row>
    <row r="102" spans="3:3" ht="16.2" customHeight="1" x14ac:dyDescent="0.3">
      <c r="C102" s="11" t="str">
        <f t="shared" si="2"/>
        <v/>
      </c>
    </row>
    <row r="103" spans="3:3" ht="16.2" customHeight="1" x14ac:dyDescent="0.3">
      <c r="C103" s="11" t="str">
        <f t="shared" si="2"/>
        <v/>
      </c>
    </row>
    <row r="104" spans="3:3" ht="16.2" customHeight="1" x14ac:dyDescent="0.3">
      <c r="C104" s="11" t="str">
        <f t="shared" si="2"/>
        <v/>
      </c>
    </row>
    <row r="105" spans="3:3" ht="16.2" customHeight="1" x14ac:dyDescent="0.3">
      <c r="C105" s="11" t="str">
        <f t="shared" si="2"/>
        <v/>
      </c>
    </row>
    <row r="106" spans="3:3" ht="16.2" customHeight="1" x14ac:dyDescent="0.3">
      <c r="C106" s="11" t="str">
        <f t="shared" si="2"/>
        <v/>
      </c>
    </row>
    <row r="107" spans="3:3" ht="16.2" customHeight="1" x14ac:dyDescent="0.3">
      <c r="C107" s="11" t="str">
        <f t="shared" si="2"/>
        <v/>
      </c>
    </row>
    <row r="108" spans="3:3" ht="16.2" customHeight="1" x14ac:dyDescent="0.3">
      <c r="C108" s="11" t="str">
        <f t="shared" si="2"/>
        <v/>
      </c>
    </row>
    <row r="109" spans="3:3" ht="16.2" customHeight="1" x14ac:dyDescent="0.3">
      <c r="C109" s="11" t="str">
        <f t="shared" si="2"/>
        <v/>
      </c>
    </row>
    <row r="110" spans="3:3" ht="16.2" customHeight="1" x14ac:dyDescent="0.3">
      <c r="C110" s="11" t="str">
        <f t="shared" si="2"/>
        <v/>
      </c>
    </row>
    <row r="111" spans="3:3" ht="16.2" customHeight="1" x14ac:dyDescent="0.3">
      <c r="C111" s="11" t="str">
        <f t="shared" si="2"/>
        <v/>
      </c>
    </row>
    <row r="112" spans="3:3" ht="16.2" customHeight="1" x14ac:dyDescent="0.3">
      <c r="C112" s="11" t="str">
        <f t="shared" si="2"/>
        <v/>
      </c>
    </row>
    <row r="113" spans="3:3" ht="16.2" customHeight="1" x14ac:dyDescent="0.3">
      <c r="C113" s="11" t="str">
        <f t="shared" si="2"/>
        <v/>
      </c>
    </row>
    <row r="114" spans="3:3" ht="16.2" customHeight="1" x14ac:dyDescent="0.3">
      <c r="C114" s="11" t="str">
        <f t="shared" si="2"/>
        <v/>
      </c>
    </row>
    <row r="115" spans="3:3" ht="16.2" customHeight="1" x14ac:dyDescent="0.3">
      <c r="C115" s="11" t="str">
        <f t="shared" si="2"/>
        <v/>
      </c>
    </row>
    <row r="116" spans="3:3" ht="16.2" customHeight="1" x14ac:dyDescent="0.3">
      <c r="C116" s="11" t="str">
        <f t="shared" si="2"/>
        <v/>
      </c>
    </row>
    <row r="117" spans="3:3" ht="16.2" customHeight="1" x14ac:dyDescent="0.3">
      <c r="C117" s="11" t="str">
        <f t="shared" si="2"/>
        <v/>
      </c>
    </row>
    <row r="118" spans="3:3" ht="16.2" customHeight="1" x14ac:dyDescent="0.3">
      <c r="C118" s="11" t="str">
        <f t="shared" si="2"/>
        <v/>
      </c>
    </row>
    <row r="119" spans="3:3" ht="16.2" customHeight="1" x14ac:dyDescent="0.3">
      <c r="C119" s="11" t="str">
        <f t="shared" si="2"/>
        <v/>
      </c>
    </row>
    <row r="120" spans="3:3" ht="16.2" customHeight="1" x14ac:dyDescent="0.3">
      <c r="C120" s="11" t="str">
        <f t="shared" si="2"/>
        <v/>
      </c>
    </row>
    <row r="121" spans="3:3" ht="16.2" customHeight="1" x14ac:dyDescent="0.3">
      <c r="C121" s="11" t="str">
        <f t="shared" si="2"/>
        <v/>
      </c>
    </row>
    <row r="122" spans="3:3" ht="16.2" customHeight="1" x14ac:dyDescent="0.3">
      <c r="C122" s="11" t="str">
        <f t="shared" si="2"/>
        <v/>
      </c>
    </row>
    <row r="123" spans="3:3" ht="16.2" customHeight="1" x14ac:dyDescent="0.3">
      <c r="C123" s="11" t="str">
        <f t="shared" si="2"/>
        <v/>
      </c>
    </row>
    <row r="124" spans="3:3" ht="16.2" customHeight="1" x14ac:dyDescent="0.3">
      <c r="C124" s="11" t="str">
        <f t="shared" si="2"/>
        <v/>
      </c>
    </row>
    <row r="125" spans="3:3" ht="16.2" customHeight="1" x14ac:dyDescent="0.3">
      <c r="C125" s="11" t="str">
        <f t="shared" si="2"/>
        <v/>
      </c>
    </row>
    <row r="126" spans="3:3" ht="16.2" customHeight="1" x14ac:dyDescent="0.3">
      <c r="C126" s="11" t="str">
        <f t="shared" si="2"/>
        <v/>
      </c>
    </row>
    <row r="127" spans="3:3" ht="16.2" customHeight="1" x14ac:dyDescent="0.3">
      <c r="C127" s="11" t="str">
        <f t="shared" si="2"/>
        <v/>
      </c>
    </row>
    <row r="128" spans="3:3" ht="16.2" customHeight="1" x14ac:dyDescent="0.3">
      <c r="C128" s="11" t="str">
        <f t="shared" si="2"/>
        <v/>
      </c>
    </row>
    <row r="129" spans="3:3" ht="16.2" customHeight="1" x14ac:dyDescent="0.3">
      <c r="C129" s="11" t="str">
        <f t="shared" si="2"/>
        <v/>
      </c>
    </row>
    <row r="130" spans="3:3" ht="16.2" customHeight="1" x14ac:dyDescent="0.3">
      <c r="C130" s="11" t="str">
        <f t="shared" si="2"/>
        <v/>
      </c>
    </row>
    <row r="131" spans="3:3" ht="16.2" customHeight="1" x14ac:dyDescent="0.3">
      <c r="C131" s="11" t="str">
        <f t="shared" si="2"/>
        <v/>
      </c>
    </row>
    <row r="132" spans="3:3" ht="16.2" customHeight="1" x14ac:dyDescent="0.3">
      <c r="C132" s="11" t="str">
        <f t="shared" si="2"/>
        <v/>
      </c>
    </row>
    <row r="133" spans="3:3" ht="16.2" customHeight="1" x14ac:dyDescent="0.3">
      <c r="C133" s="11" t="str">
        <f t="shared" si="2"/>
        <v/>
      </c>
    </row>
    <row r="134" spans="3:3" ht="16.2" customHeight="1" x14ac:dyDescent="0.3">
      <c r="C134" s="11" t="str">
        <f t="shared" si="2"/>
        <v/>
      </c>
    </row>
    <row r="135" spans="3:3" ht="16.2" customHeight="1" x14ac:dyDescent="0.3">
      <c r="C135" s="11" t="str">
        <f t="shared" ref="C135:C185" si="3">IF(E135=0,"",HYPERLINK("H:\Projekte\Projekte aktuell\Sonstige Projekte\1139 - ENSET\AP09_Innolab\Akquise\Datenbank &amp; Liste\"&amp;E135&amp;"_"&amp;G135,E135&amp;"_"&amp;G135))</f>
        <v/>
      </c>
    </row>
    <row r="136" spans="3:3" ht="16.2" customHeight="1" x14ac:dyDescent="0.3">
      <c r="C136" s="11" t="str">
        <f t="shared" si="3"/>
        <v/>
      </c>
    </row>
    <row r="137" spans="3:3" ht="16.2" customHeight="1" x14ac:dyDescent="0.3">
      <c r="C137" s="11" t="str">
        <f t="shared" si="3"/>
        <v/>
      </c>
    </row>
    <row r="138" spans="3:3" ht="16.2" customHeight="1" x14ac:dyDescent="0.3">
      <c r="C138" s="11" t="str">
        <f t="shared" si="3"/>
        <v/>
      </c>
    </row>
    <row r="139" spans="3:3" ht="16.2" customHeight="1" x14ac:dyDescent="0.3">
      <c r="C139" s="11" t="str">
        <f t="shared" si="3"/>
        <v/>
      </c>
    </row>
    <row r="140" spans="3:3" ht="16.2" customHeight="1" x14ac:dyDescent="0.3">
      <c r="C140" s="11" t="str">
        <f t="shared" si="3"/>
        <v/>
      </c>
    </row>
    <row r="141" spans="3:3" ht="16.2" customHeight="1" x14ac:dyDescent="0.3">
      <c r="C141" s="11" t="str">
        <f t="shared" si="3"/>
        <v/>
      </c>
    </row>
    <row r="142" spans="3:3" ht="16.2" customHeight="1" x14ac:dyDescent="0.3">
      <c r="C142" s="11" t="str">
        <f t="shared" si="3"/>
        <v/>
      </c>
    </row>
    <row r="143" spans="3:3" ht="16.2" customHeight="1" x14ac:dyDescent="0.3">
      <c r="C143" s="11" t="str">
        <f t="shared" si="3"/>
        <v/>
      </c>
    </row>
    <row r="144" spans="3:3" ht="16.2" customHeight="1" x14ac:dyDescent="0.3">
      <c r="C144" s="11" t="str">
        <f t="shared" si="3"/>
        <v/>
      </c>
    </row>
    <row r="145" spans="3:3" ht="16.2" customHeight="1" x14ac:dyDescent="0.3">
      <c r="C145" s="11" t="str">
        <f t="shared" si="3"/>
        <v/>
      </c>
    </row>
    <row r="146" spans="3:3" ht="16.2" customHeight="1" x14ac:dyDescent="0.3">
      <c r="C146" s="11" t="str">
        <f t="shared" si="3"/>
        <v/>
      </c>
    </row>
    <row r="147" spans="3:3" ht="16.2" customHeight="1" x14ac:dyDescent="0.3">
      <c r="C147" s="11" t="str">
        <f t="shared" si="3"/>
        <v/>
      </c>
    </row>
    <row r="148" spans="3:3" ht="16.2" customHeight="1" x14ac:dyDescent="0.3">
      <c r="C148" s="11" t="str">
        <f t="shared" si="3"/>
        <v/>
      </c>
    </row>
    <row r="149" spans="3:3" ht="16.2" customHeight="1" x14ac:dyDescent="0.3">
      <c r="C149" s="11" t="str">
        <f t="shared" si="3"/>
        <v/>
      </c>
    </row>
    <row r="150" spans="3:3" ht="16.2" customHeight="1" x14ac:dyDescent="0.3">
      <c r="C150" s="11" t="str">
        <f t="shared" si="3"/>
        <v/>
      </c>
    </row>
    <row r="151" spans="3:3" ht="16.2" customHeight="1" x14ac:dyDescent="0.3">
      <c r="C151" s="11" t="str">
        <f t="shared" si="3"/>
        <v/>
      </c>
    </row>
    <row r="152" spans="3:3" ht="16.2" customHeight="1" x14ac:dyDescent="0.3">
      <c r="C152" s="11" t="str">
        <f t="shared" si="3"/>
        <v/>
      </c>
    </row>
    <row r="153" spans="3:3" ht="16.2" customHeight="1" x14ac:dyDescent="0.3">
      <c r="C153" s="11" t="str">
        <f t="shared" si="3"/>
        <v/>
      </c>
    </row>
    <row r="154" spans="3:3" ht="16.2" customHeight="1" x14ac:dyDescent="0.3">
      <c r="C154" s="11" t="str">
        <f t="shared" si="3"/>
        <v/>
      </c>
    </row>
    <row r="155" spans="3:3" ht="16.2" customHeight="1" x14ac:dyDescent="0.3">
      <c r="C155" s="11" t="str">
        <f t="shared" si="3"/>
        <v/>
      </c>
    </row>
    <row r="156" spans="3:3" ht="16.2" customHeight="1" x14ac:dyDescent="0.3">
      <c r="C156" s="11" t="str">
        <f t="shared" si="3"/>
        <v/>
      </c>
    </row>
    <row r="157" spans="3:3" ht="16.2" customHeight="1" x14ac:dyDescent="0.3">
      <c r="C157" s="11" t="str">
        <f t="shared" si="3"/>
        <v/>
      </c>
    </row>
    <row r="158" spans="3:3" ht="16.2" customHeight="1" x14ac:dyDescent="0.3">
      <c r="C158" s="11" t="str">
        <f t="shared" si="3"/>
        <v/>
      </c>
    </row>
    <row r="159" spans="3:3" ht="16.2" customHeight="1" x14ac:dyDescent="0.3">
      <c r="C159" s="11" t="str">
        <f t="shared" si="3"/>
        <v/>
      </c>
    </row>
    <row r="160" spans="3:3" ht="16.2" customHeight="1" x14ac:dyDescent="0.3">
      <c r="C160" s="11" t="str">
        <f t="shared" si="3"/>
        <v/>
      </c>
    </row>
    <row r="161" spans="3:3" ht="16.2" customHeight="1" x14ac:dyDescent="0.3">
      <c r="C161" s="11" t="str">
        <f t="shared" si="3"/>
        <v/>
      </c>
    </row>
    <row r="162" spans="3:3" ht="16.2" customHeight="1" x14ac:dyDescent="0.3">
      <c r="C162" s="11" t="str">
        <f t="shared" si="3"/>
        <v/>
      </c>
    </row>
    <row r="163" spans="3:3" ht="16.2" customHeight="1" x14ac:dyDescent="0.3">
      <c r="C163" s="11" t="str">
        <f t="shared" si="3"/>
        <v/>
      </c>
    </row>
    <row r="164" spans="3:3" ht="16.2" customHeight="1" x14ac:dyDescent="0.3">
      <c r="C164" s="11" t="str">
        <f t="shared" si="3"/>
        <v/>
      </c>
    </row>
    <row r="165" spans="3:3" ht="16.2" customHeight="1" x14ac:dyDescent="0.3">
      <c r="C165" s="11" t="str">
        <f t="shared" si="3"/>
        <v/>
      </c>
    </row>
    <row r="166" spans="3:3" ht="16.2" customHeight="1" x14ac:dyDescent="0.3">
      <c r="C166" s="11" t="str">
        <f t="shared" si="3"/>
        <v/>
      </c>
    </row>
    <row r="167" spans="3:3" ht="16.2" customHeight="1" x14ac:dyDescent="0.3">
      <c r="C167" s="11" t="str">
        <f t="shared" si="3"/>
        <v/>
      </c>
    </row>
    <row r="168" spans="3:3" ht="16.2" customHeight="1" x14ac:dyDescent="0.3">
      <c r="C168" s="11" t="str">
        <f t="shared" si="3"/>
        <v/>
      </c>
    </row>
    <row r="169" spans="3:3" ht="16.2" customHeight="1" x14ac:dyDescent="0.3">
      <c r="C169" s="11" t="str">
        <f t="shared" si="3"/>
        <v/>
      </c>
    </row>
    <row r="170" spans="3:3" ht="16.2" customHeight="1" x14ac:dyDescent="0.3">
      <c r="C170" s="11" t="str">
        <f t="shared" si="3"/>
        <v/>
      </c>
    </row>
    <row r="171" spans="3:3" ht="16.2" customHeight="1" x14ac:dyDescent="0.3">
      <c r="C171" s="11" t="str">
        <f t="shared" si="3"/>
        <v/>
      </c>
    </row>
    <row r="172" spans="3:3" ht="16.2" customHeight="1" x14ac:dyDescent="0.3">
      <c r="C172" s="11" t="str">
        <f t="shared" si="3"/>
        <v/>
      </c>
    </row>
    <row r="173" spans="3:3" ht="16.2" customHeight="1" x14ac:dyDescent="0.3">
      <c r="C173" s="11" t="str">
        <f t="shared" si="3"/>
        <v/>
      </c>
    </row>
    <row r="174" spans="3:3" ht="16.2" customHeight="1" x14ac:dyDescent="0.3">
      <c r="C174" s="11" t="str">
        <f t="shared" si="3"/>
        <v/>
      </c>
    </row>
    <row r="175" spans="3:3" ht="16.2" customHeight="1" x14ac:dyDescent="0.3">
      <c r="C175" s="11" t="str">
        <f t="shared" si="3"/>
        <v/>
      </c>
    </row>
    <row r="176" spans="3:3" ht="16.2" customHeight="1" x14ac:dyDescent="0.3">
      <c r="C176" s="11" t="str">
        <f t="shared" si="3"/>
        <v/>
      </c>
    </row>
    <row r="177" spans="3:3" ht="16.2" customHeight="1" x14ac:dyDescent="0.3">
      <c r="C177" s="11" t="str">
        <f t="shared" si="3"/>
        <v/>
      </c>
    </row>
    <row r="178" spans="3:3" ht="16.2" customHeight="1" x14ac:dyDescent="0.3">
      <c r="C178" s="11" t="str">
        <f t="shared" si="3"/>
        <v/>
      </c>
    </row>
    <row r="179" spans="3:3" ht="16.2" customHeight="1" x14ac:dyDescent="0.3">
      <c r="C179" s="11" t="str">
        <f t="shared" si="3"/>
        <v/>
      </c>
    </row>
    <row r="180" spans="3:3" ht="16.2" customHeight="1" x14ac:dyDescent="0.3">
      <c r="C180" s="11" t="str">
        <f t="shared" si="3"/>
        <v/>
      </c>
    </row>
    <row r="181" spans="3:3" ht="16.2" customHeight="1" x14ac:dyDescent="0.3">
      <c r="C181" s="11" t="str">
        <f t="shared" si="3"/>
        <v/>
      </c>
    </row>
    <row r="182" spans="3:3" ht="16.2" customHeight="1" x14ac:dyDescent="0.3">
      <c r="C182" s="11" t="str">
        <f t="shared" si="3"/>
        <v/>
      </c>
    </row>
    <row r="183" spans="3:3" ht="16.2" customHeight="1" x14ac:dyDescent="0.3">
      <c r="C183" s="11" t="str">
        <f t="shared" si="3"/>
        <v/>
      </c>
    </row>
    <row r="184" spans="3:3" ht="16.2" customHeight="1" x14ac:dyDescent="0.3">
      <c r="C184" s="11" t="str">
        <f t="shared" si="3"/>
        <v/>
      </c>
    </row>
    <row r="185" spans="3:3" ht="16.2" customHeight="1" x14ac:dyDescent="0.3">
      <c r="C185" s="11" t="str">
        <f t="shared" si="3"/>
        <v/>
      </c>
    </row>
    <row r="186" spans="3:3" ht="16.2" customHeight="1" x14ac:dyDescent="0.3">
      <c r="C186" s="12"/>
    </row>
    <row r="187" spans="3:3" ht="16.2" customHeight="1" x14ac:dyDescent="0.3">
      <c r="C187" s="12"/>
    </row>
    <row r="188" spans="3:3" ht="16.2" customHeight="1" x14ac:dyDescent="0.3">
      <c r="C188" s="12"/>
    </row>
    <row r="189" spans="3:3" ht="16.2" customHeight="1" x14ac:dyDescent="0.3">
      <c r="C189" s="12"/>
    </row>
    <row r="190" spans="3:3" ht="16.2" customHeight="1" x14ac:dyDescent="0.3">
      <c r="C190" s="12"/>
    </row>
    <row r="191" spans="3:3" ht="16.2" customHeight="1" x14ac:dyDescent="0.3">
      <c r="C191" s="12"/>
    </row>
    <row r="192" spans="3:3" ht="16.2" customHeight="1" x14ac:dyDescent="0.3">
      <c r="C192" s="12"/>
    </row>
    <row r="193" spans="3:3" ht="16.2" customHeight="1" x14ac:dyDescent="0.3">
      <c r="C193" s="12"/>
    </row>
    <row r="194" spans="3:3" ht="16.2" customHeight="1" x14ac:dyDescent="0.3">
      <c r="C194" s="12"/>
    </row>
    <row r="195" spans="3:3" ht="16.2" customHeight="1" x14ac:dyDescent="0.3">
      <c r="C195" s="12"/>
    </row>
    <row r="196" spans="3:3" ht="16.2" customHeight="1" x14ac:dyDescent="0.3">
      <c r="C196" s="12"/>
    </row>
    <row r="197" spans="3:3" ht="16.2" customHeight="1" x14ac:dyDescent="0.3">
      <c r="C197" s="12"/>
    </row>
    <row r="198" spans="3:3" ht="16.2" customHeight="1" x14ac:dyDescent="0.3">
      <c r="C198" s="12"/>
    </row>
    <row r="199" spans="3:3" ht="16.2" customHeight="1" x14ac:dyDescent="0.3">
      <c r="C199" s="12"/>
    </row>
    <row r="200" spans="3:3" ht="16.2" customHeight="1" x14ac:dyDescent="0.3">
      <c r="C200" s="12"/>
    </row>
  </sheetData>
  <sheetProtection formatCells="0" formatColumns="0" formatRows="0" insertColumns="0" insertRows="0" insertHyperlinks="0" deleteColumns="0" deleteRows="0" sort="0" autoFilter="0" pivotTables="0"/>
  <mergeCells count="4">
    <mergeCell ref="K2:Q2"/>
    <mergeCell ref="D2:F3"/>
    <mergeCell ref="G2:I3"/>
    <mergeCell ref="D5:E5"/>
  </mergeCells>
  <dataValidations count="2">
    <dataValidation type="list" allowBlank="1" showInputMessage="1" showErrorMessage="1" sqref="D5" xr:uid="{9818DCF8-5A38-4D13-8EFE-B2EF23A030F4}">
      <formula1>INDIRECT("Reiter")</formula1>
    </dataValidation>
    <dataValidation type="list" allowBlank="1" showInputMessage="1" showErrorMessage="1" sqref="G2:I3" xr:uid="{FEA2B512-113B-468C-A34B-A3BE764FE605}">
      <formula1>INDIRECT($F$5)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Datenbank_bearbeiten">
                <anchor moveWithCells="1" sizeWithCells="1">
                  <from>
                    <xdr:col>1</xdr:col>
                    <xdr:colOff>152400</xdr:colOff>
                    <xdr:row>1</xdr:row>
                    <xdr:rowOff>22860</xdr:rowOff>
                  </from>
                  <to>
                    <xdr:col>1</xdr:col>
                    <xdr:colOff>1828800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Gebaeudedaten_bearbeiten">
                <anchor moveWithCells="1" sizeWithCells="1">
                  <from>
                    <xdr:col>1</xdr:col>
                    <xdr:colOff>152400</xdr:colOff>
                    <xdr:row>4</xdr:row>
                    <xdr:rowOff>106680</xdr:rowOff>
                  </from>
                  <to>
                    <xdr:col>1</xdr:col>
                    <xdr:colOff>1828800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obilitaetsdaten_bearbeiten">
                <anchor moveWithCells="1" sizeWithCells="1">
                  <from>
                    <xdr:col>1</xdr:col>
                    <xdr:colOff>152400</xdr:colOff>
                    <xdr:row>7</xdr:row>
                    <xdr:rowOff>114300</xdr:rowOff>
                  </from>
                  <to>
                    <xdr:col>1</xdr:col>
                    <xdr:colOff>1828800</xdr:colOff>
                    <xdr:row>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EEGDaten_bearbeiten">
                <anchor moveWithCells="1" sizeWithCells="1">
                  <from>
                    <xdr:col>1</xdr:col>
                    <xdr:colOff>152400</xdr:colOff>
                    <xdr:row>10</xdr:row>
                    <xdr:rowOff>114300</xdr:rowOff>
                  </from>
                  <to>
                    <xdr:col>1</xdr:col>
                    <xdr:colOff>1828800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EEGTeilnehmer_bearbeiten">
                <anchor moveWithCells="1" sizeWithCells="1">
                  <from>
                    <xdr:col>1</xdr:col>
                    <xdr:colOff>152400</xdr:colOff>
                    <xdr:row>13</xdr:row>
                    <xdr:rowOff>121920</xdr:rowOff>
                  </from>
                  <to>
                    <xdr:col>1</xdr:col>
                    <xdr:colOff>1828800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9EEC-5D3B-442F-8DB7-310604BFA92D}">
  <sheetPr codeName="Tabelle2"/>
  <dimension ref="A1:W508"/>
  <sheetViews>
    <sheetView showGridLines="0" zoomScale="101" zoomScaleNormal="400" workbookViewId="0">
      <selection activeCell="F6" sqref="F6"/>
    </sheetView>
  </sheetViews>
  <sheetFormatPr baseColWidth="10" defaultColWidth="11.44140625" defaultRowHeight="14.4" x14ac:dyDescent="0.3"/>
  <cols>
    <col min="1" max="1" width="6.6640625" style="10" customWidth="1"/>
    <col min="2" max="2" width="18.6640625" style="10" bestFit="1" customWidth="1"/>
    <col min="3" max="3" width="2.5546875" style="10" customWidth="1"/>
    <col min="4" max="5" width="18.6640625" style="10" customWidth="1"/>
    <col min="6" max="6" width="13.109375" style="1" bestFit="1" customWidth="1"/>
    <col min="7" max="7" width="14.6640625" style="1" bestFit="1" customWidth="1"/>
    <col min="8" max="8" width="17.88671875" style="10" bestFit="1" customWidth="1"/>
    <col min="9" max="9" width="21.88671875" style="1" customWidth="1"/>
    <col min="10" max="10" width="15.44140625" style="10" bestFit="1" customWidth="1"/>
    <col min="11" max="11" width="8.6640625" style="1" bestFit="1" customWidth="1"/>
    <col min="12" max="12" width="14.6640625" bestFit="1" customWidth="1"/>
    <col min="13" max="13" width="17.88671875" bestFit="1" customWidth="1"/>
    <col min="14" max="14" width="19.33203125" bestFit="1" customWidth="1"/>
    <col min="15" max="15" width="13.6640625" bestFit="1" customWidth="1"/>
    <col min="16" max="16" width="18.5546875" bestFit="1" customWidth="1"/>
    <col min="17" max="17" width="29.33203125" bestFit="1" customWidth="1"/>
    <col min="18" max="18" width="28.33203125" bestFit="1" customWidth="1"/>
    <col min="19" max="19" width="19.109375" bestFit="1" customWidth="1"/>
    <col min="20" max="20" width="21.6640625" bestFit="1" customWidth="1"/>
    <col min="21" max="22" width="21.6640625" customWidth="1"/>
    <col min="23" max="23" width="11.5546875"/>
  </cols>
  <sheetData>
    <row r="1" spans="1:23" x14ac:dyDescent="0.3">
      <c r="A1" s="9" t="s">
        <v>192</v>
      </c>
      <c r="B1" s="9" t="s">
        <v>30</v>
      </c>
      <c r="C1" s="9" t="s">
        <v>116</v>
      </c>
      <c r="D1" s="9" t="s">
        <v>115</v>
      </c>
      <c r="E1" s="6" t="s">
        <v>35</v>
      </c>
      <c r="F1" s="6" t="s">
        <v>31</v>
      </c>
      <c r="G1" s="6" t="s">
        <v>32</v>
      </c>
      <c r="H1" s="9" t="s">
        <v>33</v>
      </c>
      <c r="I1" s="6" t="s">
        <v>34</v>
      </c>
      <c r="J1" s="9" t="s">
        <v>36</v>
      </c>
      <c r="K1" s="6" t="s">
        <v>37</v>
      </c>
      <c r="L1" s="6" t="s">
        <v>38</v>
      </c>
      <c r="M1" s="6" t="s">
        <v>39</v>
      </c>
      <c r="N1" s="6" t="s">
        <v>40</v>
      </c>
      <c r="O1" s="6" t="s">
        <v>17</v>
      </c>
      <c r="P1" s="6" t="s">
        <v>41</v>
      </c>
      <c r="Q1" s="6" t="s">
        <v>42</v>
      </c>
      <c r="R1" s="6" t="s">
        <v>43</v>
      </c>
      <c r="S1" s="6" t="s">
        <v>44</v>
      </c>
      <c r="T1" s="6" t="s">
        <v>45</v>
      </c>
      <c r="U1" s="6" t="s">
        <v>198</v>
      </c>
      <c r="V1" s="6" t="s">
        <v>199</v>
      </c>
      <c r="W1" s="6" t="s">
        <v>46</v>
      </c>
    </row>
    <row r="2" spans="1:23" ht="43.2" x14ac:dyDescent="0.3">
      <c r="A2" s="1">
        <f>ROW(A2)-1</f>
        <v>1</v>
      </c>
      <c r="B2" s="10">
        <v>836</v>
      </c>
      <c r="C2" s="10" t="s">
        <v>117</v>
      </c>
      <c r="D2" s="10" t="s">
        <v>118</v>
      </c>
      <c r="E2" s="10" t="s">
        <v>119</v>
      </c>
      <c r="F2" s="1" t="s">
        <v>208</v>
      </c>
      <c r="G2" s="10" t="s">
        <v>120</v>
      </c>
      <c r="H2" s="15" t="s">
        <v>121</v>
      </c>
      <c r="I2" s="15" t="s">
        <v>122</v>
      </c>
      <c r="J2" s="10">
        <v>3910</v>
      </c>
      <c r="K2" s="1" t="s">
        <v>123</v>
      </c>
      <c r="L2" t="s">
        <v>124</v>
      </c>
      <c r="M2">
        <v>34</v>
      </c>
      <c r="N2" t="str">
        <f>""</f>
        <v/>
      </c>
      <c r="O2" t="str">
        <f>""</f>
        <v/>
      </c>
      <c r="P2" t="str">
        <f>""</f>
        <v/>
      </c>
      <c r="Q2" t="str">
        <f>""</f>
        <v/>
      </c>
      <c r="R2" t="str">
        <f>""</f>
        <v/>
      </c>
      <c r="S2" t="str">
        <f>""</f>
        <v/>
      </c>
      <c r="T2" t="str">
        <f>""</f>
        <v/>
      </c>
      <c r="W2" t="str">
        <f>""</f>
        <v/>
      </c>
    </row>
    <row r="3" spans="1:23" ht="57.6" x14ac:dyDescent="0.3">
      <c r="A3" s="1">
        <f t="shared" ref="A3:A5" si="0">ROW(A3)-1</f>
        <v>2</v>
      </c>
      <c r="B3" s="10">
        <v>609</v>
      </c>
      <c r="C3" s="10" t="s">
        <v>117</v>
      </c>
      <c r="D3" s="10" t="s">
        <v>125</v>
      </c>
      <c r="E3" s="10" t="s">
        <v>126</v>
      </c>
      <c r="F3" s="1" t="s">
        <v>209</v>
      </c>
      <c r="G3" s="10" t="s">
        <v>127</v>
      </c>
      <c r="H3" s="15" t="s">
        <v>128</v>
      </c>
      <c r="I3" s="15" t="s">
        <v>129</v>
      </c>
      <c r="J3" s="10">
        <v>3571</v>
      </c>
      <c r="K3" s="1" t="s">
        <v>130</v>
      </c>
      <c r="L3" t="s">
        <v>131</v>
      </c>
      <c r="M3">
        <v>163</v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W3" t="str">
        <f>""</f>
        <v/>
      </c>
    </row>
    <row r="4" spans="1:23" ht="28.8" x14ac:dyDescent="0.3">
      <c r="A4" s="1">
        <f t="shared" si="0"/>
        <v>3</v>
      </c>
      <c r="B4" s="10">
        <v>1106</v>
      </c>
      <c r="C4" s="10" t="s">
        <v>117</v>
      </c>
      <c r="D4" s="10" t="s">
        <v>132</v>
      </c>
      <c r="E4" s="10" t="s">
        <v>133</v>
      </c>
      <c r="F4" s="1" t="s">
        <v>210</v>
      </c>
      <c r="G4" s="10" t="s">
        <v>211</v>
      </c>
      <c r="H4" s="15" t="s">
        <v>134</v>
      </c>
      <c r="I4" s="15" t="s">
        <v>135</v>
      </c>
      <c r="J4" s="10">
        <v>3712</v>
      </c>
      <c r="K4" s="1" t="s">
        <v>136</v>
      </c>
      <c r="L4" t="s">
        <v>137</v>
      </c>
      <c r="M4">
        <v>12</v>
      </c>
      <c r="N4" t="str">
        <f>""</f>
        <v/>
      </c>
      <c r="O4" t="str">
        <f>""</f>
        <v/>
      </c>
      <c r="P4" t="str">
        <f>""</f>
        <v/>
      </c>
      <c r="Q4" t="str">
        <f>""</f>
        <v/>
      </c>
      <c r="R4" t="str">
        <f>""</f>
        <v/>
      </c>
      <c r="S4" t="str">
        <f>""</f>
        <v/>
      </c>
      <c r="T4" t="str">
        <f>""</f>
        <v/>
      </c>
      <c r="W4" t="str">
        <f>""</f>
        <v/>
      </c>
    </row>
    <row r="5" spans="1:23" ht="28.8" x14ac:dyDescent="0.3">
      <c r="A5" s="1">
        <f t="shared" si="0"/>
        <v>4</v>
      </c>
      <c r="B5" s="10">
        <v>3148</v>
      </c>
      <c r="C5" s="10" t="s">
        <v>117</v>
      </c>
      <c r="D5" s="10" t="s">
        <v>138</v>
      </c>
      <c r="E5" s="10" t="s">
        <v>139</v>
      </c>
      <c r="F5" s="1" t="s">
        <v>210</v>
      </c>
      <c r="G5" s="10" t="s">
        <v>212</v>
      </c>
      <c r="H5" s="15" t="s">
        <v>140</v>
      </c>
      <c r="I5" s="15" t="s">
        <v>141</v>
      </c>
      <c r="J5" s="10">
        <v>3492</v>
      </c>
      <c r="K5" s="1" t="s">
        <v>142</v>
      </c>
      <c r="L5" t="s">
        <v>143</v>
      </c>
      <c r="M5">
        <v>10</v>
      </c>
      <c r="N5" t="str">
        <f>""</f>
        <v/>
      </c>
      <c r="O5" t="str">
        <f>""</f>
        <v/>
      </c>
      <c r="P5" t="str">
        <f>""</f>
        <v/>
      </c>
      <c r="Q5" t="str">
        <f>""</f>
        <v/>
      </c>
      <c r="R5" t="str">
        <f>""</f>
        <v/>
      </c>
      <c r="S5" t="str">
        <f>""</f>
        <v/>
      </c>
      <c r="T5" t="str">
        <f>""</f>
        <v/>
      </c>
      <c r="W5" t="str">
        <f>""</f>
        <v/>
      </c>
    </row>
    <row r="6" spans="1:23" x14ac:dyDescent="0.3">
      <c r="B6" s="10" t="s">
        <v>205</v>
      </c>
      <c r="D6" s="10" t="s">
        <v>206</v>
      </c>
      <c r="E6" s="10" t="s">
        <v>206</v>
      </c>
      <c r="F6" s="1" t="s">
        <v>206</v>
      </c>
      <c r="G6" s="1" t="s">
        <v>206</v>
      </c>
      <c r="I6" s="22"/>
      <c r="N6" t="str">
        <f>""</f>
        <v/>
      </c>
      <c r="O6" t="str">
        <f>""</f>
        <v/>
      </c>
      <c r="P6" t="str">
        <f>""</f>
        <v/>
      </c>
      <c r="Q6" t="str">
        <f>""</f>
        <v/>
      </c>
      <c r="R6" t="str">
        <f>""</f>
        <v/>
      </c>
      <c r="S6" t="str">
        <f>""</f>
        <v/>
      </c>
      <c r="T6" t="str">
        <f>""</f>
        <v/>
      </c>
      <c r="W6" t="str">
        <f>""</f>
        <v/>
      </c>
    </row>
    <row r="7" spans="1:23" x14ac:dyDescent="0.3">
      <c r="A7"/>
      <c r="B7"/>
      <c r="C7"/>
      <c r="D7"/>
      <c r="E7"/>
      <c r="F7"/>
      <c r="G7"/>
      <c r="H7"/>
      <c r="I7"/>
      <c r="J7"/>
      <c r="K7"/>
    </row>
    <row r="8" spans="1:23" x14ac:dyDescent="0.3">
      <c r="A8"/>
      <c r="B8"/>
      <c r="C8"/>
      <c r="D8"/>
      <c r="E8"/>
      <c r="F8"/>
      <c r="G8"/>
      <c r="H8"/>
      <c r="I8"/>
      <c r="J8"/>
      <c r="K8"/>
    </row>
    <row r="9" spans="1:23" x14ac:dyDescent="0.3">
      <c r="A9"/>
      <c r="B9"/>
      <c r="C9"/>
      <c r="D9"/>
      <c r="E9"/>
      <c r="F9"/>
      <c r="G9"/>
      <c r="H9"/>
      <c r="I9"/>
      <c r="J9"/>
      <c r="K9"/>
    </row>
    <row r="10" spans="1:23" x14ac:dyDescent="0.3">
      <c r="A10"/>
      <c r="B10"/>
      <c r="C10"/>
      <c r="D10"/>
      <c r="E10"/>
      <c r="F10"/>
      <c r="G10"/>
      <c r="H10"/>
      <c r="I10"/>
      <c r="J10"/>
      <c r="K10"/>
    </row>
    <row r="11" spans="1:23" x14ac:dyDescent="0.3">
      <c r="A11"/>
      <c r="B11"/>
      <c r="C11"/>
      <c r="D11"/>
      <c r="E11"/>
      <c r="F11"/>
      <c r="G11"/>
      <c r="H11"/>
      <c r="I11"/>
      <c r="J11"/>
      <c r="K11"/>
    </row>
    <row r="12" spans="1:23" x14ac:dyDescent="0.3">
      <c r="A12"/>
      <c r="B12"/>
      <c r="C12"/>
      <c r="D12"/>
      <c r="E12"/>
      <c r="F12"/>
      <c r="G12"/>
      <c r="H12"/>
      <c r="I12"/>
      <c r="J12"/>
      <c r="K12"/>
    </row>
    <row r="13" spans="1:23" x14ac:dyDescent="0.3">
      <c r="A13"/>
      <c r="B13"/>
      <c r="C13"/>
      <c r="D13"/>
      <c r="E13"/>
      <c r="F13"/>
      <c r="G13"/>
      <c r="H13"/>
      <c r="I13"/>
      <c r="J13"/>
      <c r="K13"/>
    </row>
    <row r="14" spans="1:23" x14ac:dyDescent="0.3">
      <c r="A14"/>
      <c r="B14"/>
      <c r="C14"/>
      <c r="D14"/>
      <c r="E14"/>
      <c r="F14"/>
      <c r="G14"/>
      <c r="H14"/>
      <c r="I14"/>
      <c r="J14"/>
      <c r="K14"/>
    </row>
    <row r="15" spans="1:23" x14ac:dyDescent="0.3">
      <c r="A15"/>
      <c r="B15"/>
      <c r="C15"/>
      <c r="D15"/>
      <c r="E15"/>
      <c r="F15"/>
      <c r="G15"/>
      <c r="H15"/>
      <c r="I15"/>
      <c r="J15"/>
      <c r="K15"/>
    </row>
    <row r="16" spans="1:23" x14ac:dyDescent="0.3">
      <c r="A16"/>
      <c r="B16"/>
      <c r="C16"/>
      <c r="D16"/>
      <c r="E16"/>
      <c r="F16"/>
      <c r="G16"/>
      <c r="H16"/>
      <c r="I16"/>
      <c r="J16"/>
      <c r="K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</sheetData>
  <phoneticPr fontId="7" type="noConversion"/>
  <conditionalFormatting sqref="E1:E1048576">
    <cfRule type="duplicateValues" dxfId="1" priority="1"/>
  </conditionalFormatting>
  <conditionalFormatting sqref="B2:B6">
    <cfRule type="duplicateValues" dxfId="0" priority="3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75CE-CC7A-48BB-9D8C-FE45BEE89A3D}">
  <sheetPr codeName="Tabelle3"/>
  <dimension ref="A1:AK12"/>
  <sheetViews>
    <sheetView tabSelected="1" zoomScaleNormal="100" workbookViewId="0">
      <selection activeCell="N7" sqref="N7"/>
    </sheetView>
  </sheetViews>
  <sheetFormatPr baseColWidth="10" defaultRowHeight="14.4" x14ac:dyDescent="0.3"/>
  <cols>
    <col min="1" max="1" width="11.44140625" customWidth="1"/>
    <col min="2" max="3" width="26.44140625" customWidth="1"/>
    <col min="4" max="4" width="17.33203125" bestFit="1" customWidth="1"/>
    <col min="5" max="6" width="17.33203125" customWidth="1"/>
    <col min="7" max="7" width="10.5546875" bestFit="1" customWidth="1"/>
    <col min="8" max="8" width="17.44140625" bestFit="1" customWidth="1"/>
    <col min="9" max="9" width="19.33203125" bestFit="1" customWidth="1"/>
    <col min="10" max="10" width="15" bestFit="1" customWidth="1"/>
    <col min="11" max="11" width="8.6640625" bestFit="1" customWidth="1"/>
    <col min="12" max="12" width="11.88671875" bestFit="1" customWidth="1"/>
    <col min="13" max="13" width="19.6640625" bestFit="1" customWidth="1"/>
    <col min="14" max="16" width="19.6640625" customWidth="1"/>
    <col min="17" max="17" width="18.33203125" bestFit="1" customWidth="1"/>
    <col min="18" max="18" width="13.44140625" bestFit="1" customWidth="1"/>
    <col min="19" max="25" width="13.44140625" customWidth="1"/>
    <col min="26" max="26" width="15.6640625" bestFit="1" customWidth="1"/>
    <col min="27" max="27" width="10.88671875" bestFit="1" customWidth="1"/>
    <col min="28" max="28" width="14.6640625" bestFit="1" customWidth="1"/>
    <col min="29" max="29" width="20.109375" bestFit="1" customWidth="1"/>
    <col min="30" max="30" width="25.33203125" bestFit="1" customWidth="1"/>
    <col min="31" max="31" width="20.6640625" bestFit="1" customWidth="1"/>
    <col min="32" max="32" width="24.6640625" bestFit="1" customWidth="1"/>
    <col min="33" max="33" width="23" bestFit="1" customWidth="1"/>
    <col min="34" max="34" width="25.88671875" bestFit="1" customWidth="1"/>
    <col min="35" max="35" width="19.33203125" bestFit="1" customWidth="1"/>
    <col min="36" max="36" width="30.6640625" bestFit="1" customWidth="1"/>
    <col min="37" max="37" width="10.33203125" bestFit="1" customWidth="1"/>
  </cols>
  <sheetData>
    <row r="1" spans="1:37" s="1" customFormat="1" ht="44.4" customHeight="1" x14ac:dyDescent="0.3">
      <c r="A1" s="20" t="s">
        <v>193</v>
      </c>
      <c r="B1" s="20" t="s">
        <v>192</v>
      </c>
      <c r="C1" s="20" t="s">
        <v>30</v>
      </c>
      <c r="D1" s="20" t="s">
        <v>115</v>
      </c>
      <c r="E1" s="20" t="s">
        <v>35</v>
      </c>
      <c r="F1" s="20" t="s">
        <v>48</v>
      </c>
      <c r="G1" s="20" t="s">
        <v>53</v>
      </c>
      <c r="H1" s="20" t="s">
        <v>36</v>
      </c>
      <c r="I1" s="20" t="s">
        <v>37</v>
      </c>
      <c r="J1" s="20" t="s">
        <v>38</v>
      </c>
      <c r="K1" s="20" t="s">
        <v>39</v>
      </c>
      <c r="L1" s="20" t="s">
        <v>52</v>
      </c>
      <c r="M1" s="20" t="s">
        <v>49</v>
      </c>
      <c r="N1" s="20" t="s">
        <v>51</v>
      </c>
      <c r="O1" s="20" t="s">
        <v>196</v>
      </c>
      <c r="P1" s="20" t="s">
        <v>62</v>
      </c>
      <c r="Q1" s="20" t="s">
        <v>168</v>
      </c>
      <c r="R1" s="20" t="s">
        <v>50</v>
      </c>
      <c r="S1" s="20" t="s">
        <v>169</v>
      </c>
      <c r="T1" s="20" t="s">
        <v>170</v>
      </c>
      <c r="U1" s="20" t="s">
        <v>171</v>
      </c>
      <c r="V1" s="20" t="s">
        <v>172</v>
      </c>
      <c r="W1" s="20" t="s">
        <v>173</v>
      </c>
      <c r="X1" s="20" t="s">
        <v>174</v>
      </c>
      <c r="Y1" s="20" t="s">
        <v>175</v>
      </c>
      <c r="Z1" s="20" t="s">
        <v>55</v>
      </c>
      <c r="AA1" s="20" t="s">
        <v>56</v>
      </c>
      <c r="AB1" s="20" t="s">
        <v>57</v>
      </c>
      <c r="AC1" s="20" t="s">
        <v>54</v>
      </c>
      <c r="AD1" s="20" t="s">
        <v>58</v>
      </c>
      <c r="AE1" s="20" t="s">
        <v>59</v>
      </c>
      <c r="AF1" s="20" t="s">
        <v>60</v>
      </c>
      <c r="AG1" s="20" t="s">
        <v>61</v>
      </c>
      <c r="AH1" s="20" t="s">
        <v>63</v>
      </c>
      <c r="AI1" s="20" t="s">
        <v>64</v>
      </c>
      <c r="AJ1" s="20" t="s">
        <v>65</v>
      </c>
      <c r="AK1" s="20" t="s">
        <v>46</v>
      </c>
    </row>
    <row r="2" spans="1:37" x14ac:dyDescent="0.3">
      <c r="A2">
        <f t="shared" ref="A2:A11" si="0">ROW(A2)-1</f>
        <v>1</v>
      </c>
      <c r="B2">
        <v>4</v>
      </c>
      <c r="C2">
        <v>836</v>
      </c>
      <c r="D2" t="s">
        <v>118</v>
      </c>
      <c r="E2" t="s">
        <v>119</v>
      </c>
      <c r="F2" t="s">
        <v>176</v>
      </c>
      <c r="G2" t="s">
        <v>197</v>
      </c>
      <c r="M2">
        <v>2025</v>
      </c>
      <c r="N2">
        <v>2025</v>
      </c>
      <c r="O2" t="s">
        <v>190</v>
      </c>
      <c r="S2">
        <v>787</v>
      </c>
      <c r="W2" s="21"/>
      <c r="X2">
        <v>16674</v>
      </c>
      <c r="Y2" s="21">
        <v>133340</v>
      </c>
    </row>
    <row r="3" spans="1:37" x14ac:dyDescent="0.3">
      <c r="A3">
        <f t="shared" si="0"/>
        <v>2</v>
      </c>
      <c r="B3">
        <v>5</v>
      </c>
      <c r="C3">
        <v>609</v>
      </c>
      <c r="D3" t="s">
        <v>125</v>
      </c>
      <c r="E3" t="s">
        <v>126</v>
      </c>
      <c r="F3" t="s">
        <v>177</v>
      </c>
      <c r="G3" t="s">
        <v>197</v>
      </c>
      <c r="H3" t="s">
        <v>178</v>
      </c>
      <c r="I3" t="s">
        <v>130</v>
      </c>
      <c r="J3" t="s">
        <v>179</v>
      </c>
      <c r="K3" t="s">
        <v>180</v>
      </c>
      <c r="M3">
        <v>2016</v>
      </c>
      <c r="N3">
        <v>2023</v>
      </c>
      <c r="O3" t="s">
        <v>195</v>
      </c>
      <c r="S3">
        <v>5700</v>
      </c>
      <c r="W3" s="21"/>
      <c r="X3">
        <v>90000</v>
      </c>
      <c r="AK3" t="s">
        <v>194</v>
      </c>
    </row>
    <row r="4" spans="1:37" x14ac:dyDescent="0.3">
      <c r="A4">
        <f t="shared" si="0"/>
        <v>3</v>
      </c>
      <c r="B4">
        <v>6</v>
      </c>
      <c r="C4">
        <v>1106</v>
      </c>
      <c r="D4" t="s">
        <v>132</v>
      </c>
      <c r="E4" t="s">
        <v>133</v>
      </c>
      <c r="F4" t="s">
        <v>181</v>
      </c>
      <c r="G4" t="s">
        <v>197</v>
      </c>
      <c r="I4" t="s">
        <v>136</v>
      </c>
      <c r="N4">
        <v>2025</v>
      </c>
      <c r="O4" t="s">
        <v>191</v>
      </c>
      <c r="S4">
        <v>530</v>
      </c>
      <c r="V4">
        <v>18907</v>
      </c>
      <c r="W4" s="21"/>
      <c r="X4">
        <v>12500</v>
      </c>
    </row>
    <row r="5" spans="1:37" x14ac:dyDescent="0.3">
      <c r="A5">
        <f t="shared" si="0"/>
        <v>4</v>
      </c>
      <c r="B5">
        <v>7</v>
      </c>
      <c r="C5">
        <v>3148</v>
      </c>
      <c r="D5" t="s">
        <v>138</v>
      </c>
      <c r="E5" t="s">
        <v>139</v>
      </c>
      <c r="F5" t="s">
        <v>182</v>
      </c>
      <c r="G5" t="s">
        <v>197</v>
      </c>
      <c r="N5">
        <v>2024</v>
      </c>
      <c r="O5" t="s">
        <v>189</v>
      </c>
      <c r="W5" s="21"/>
    </row>
    <row r="6" spans="1:37" x14ac:dyDescent="0.3">
      <c r="A6">
        <f t="shared" si="0"/>
        <v>5</v>
      </c>
      <c r="B6">
        <v>8</v>
      </c>
      <c r="C6">
        <v>3151</v>
      </c>
      <c r="D6" t="s">
        <v>144</v>
      </c>
      <c r="E6" t="s">
        <v>145</v>
      </c>
      <c r="F6" t="s">
        <v>183</v>
      </c>
      <c r="G6" t="s">
        <v>197</v>
      </c>
      <c r="N6">
        <v>2025</v>
      </c>
      <c r="O6" t="s">
        <v>190</v>
      </c>
      <c r="W6" s="21"/>
      <c r="X6">
        <v>232000</v>
      </c>
    </row>
    <row r="7" spans="1:37" x14ac:dyDescent="0.3">
      <c r="A7">
        <f t="shared" si="0"/>
        <v>6</v>
      </c>
      <c r="B7">
        <v>9</v>
      </c>
      <c r="C7">
        <v>1115</v>
      </c>
      <c r="D7" t="s">
        <v>146</v>
      </c>
      <c r="E7" t="s">
        <v>147</v>
      </c>
      <c r="F7" t="s">
        <v>184</v>
      </c>
      <c r="G7" t="s">
        <v>197</v>
      </c>
      <c r="N7">
        <v>2024</v>
      </c>
      <c r="W7" s="21"/>
    </row>
    <row r="8" spans="1:37" x14ac:dyDescent="0.3">
      <c r="A8">
        <f t="shared" si="0"/>
        <v>7</v>
      </c>
      <c r="B8">
        <v>10</v>
      </c>
      <c r="C8">
        <v>1118</v>
      </c>
      <c r="D8" t="s">
        <v>148</v>
      </c>
      <c r="E8" t="s">
        <v>149</v>
      </c>
      <c r="F8" t="s">
        <v>185</v>
      </c>
      <c r="G8" t="s">
        <v>197</v>
      </c>
      <c r="N8">
        <v>2024</v>
      </c>
      <c r="W8" s="21"/>
    </row>
    <row r="9" spans="1:37" x14ac:dyDescent="0.3">
      <c r="A9">
        <f t="shared" si="0"/>
        <v>8</v>
      </c>
      <c r="B9">
        <v>11</v>
      </c>
      <c r="C9">
        <v>350</v>
      </c>
      <c r="D9" t="s">
        <v>150</v>
      </c>
      <c r="E9" t="s">
        <v>151</v>
      </c>
      <c r="F9" t="s">
        <v>186</v>
      </c>
      <c r="G9" t="s">
        <v>197</v>
      </c>
      <c r="I9" t="s">
        <v>152</v>
      </c>
      <c r="M9">
        <v>1957</v>
      </c>
      <c r="N9">
        <v>2014</v>
      </c>
      <c r="O9" t="s">
        <v>190</v>
      </c>
      <c r="S9">
        <v>355</v>
      </c>
      <c r="V9">
        <v>48000</v>
      </c>
      <c r="W9" s="21"/>
      <c r="X9">
        <v>17800</v>
      </c>
    </row>
    <row r="10" spans="1:37" x14ac:dyDescent="0.3">
      <c r="A10">
        <f t="shared" si="0"/>
        <v>9</v>
      </c>
      <c r="B10">
        <v>12</v>
      </c>
      <c r="C10">
        <v>3156</v>
      </c>
      <c r="D10" t="s">
        <v>153</v>
      </c>
      <c r="E10" t="s">
        <v>154</v>
      </c>
      <c r="F10" t="s">
        <v>187</v>
      </c>
      <c r="G10" t="s">
        <v>197</v>
      </c>
      <c r="N10">
        <v>2025</v>
      </c>
      <c r="S10">
        <v>9000</v>
      </c>
      <c r="W10" s="21"/>
    </row>
    <row r="11" spans="1:37" x14ac:dyDescent="0.3">
      <c r="A11">
        <f t="shared" si="0"/>
        <v>10</v>
      </c>
      <c r="B11">
        <v>13</v>
      </c>
      <c r="C11">
        <v>1126</v>
      </c>
      <c r="D11" t="s">
        <v>155</v>
      </c>
      <c r="E11" t="s">
        <v>156</v>
      </c>
      <c r="F11" t="s">
        <v>188</v>
      </c>
      <c r="G11" t="s">
        <v>197</v>
      </c>
      <c r="N11">
        <v>2024</v>
      </c>
      <c r="W11" s="21"/>
    </row>
    <row r="12" spans="1:37" x14ac:dyDescent="0.3">
      <c r="C12" t="s">
        <v>207</v>
      </c>
      <c r="D12" t="s">
        <v>29</v>
      </c>
      <c r="E12" t="s">
        <v>29</v>
      </c>
      <c r="F12" t="s">
        <v>29</v>
      </c>
      <c r="W12" s="21"/>
      <c r="Y12" s="21"/>
    </row>
  </sheetData>
  <phoneticPr fontId="7" type="noConversion"/>
  <pageMargins left="0.7" right="0.7" top="0.78740157499999996" bottom="0.78740157499999996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FE1A-1FA7-4743-87BB-9F9791F4FAA3}">
  <sheetPr codeName="Tabelle6"/>
  <dimension ref="A1:H3"/>
  <sheetViews>
    <sheetView workbookViewId="0"/>
  </sheetViews>
  <sheetFormatPr baseColWidth="10" defaultRowHeight="14.4" x14ac:dyDescent="0.3"/>
  <cols>
    <col min="1" max="1" width="6" customWidth="1"/>
    <col min="2" max="2" width="5.5546875" customWidth="1"/>
    <col min="3" max="3" width="14.5546875" customWidth="1"/>
    <col min="4" max="4" width="26" customWidth="1"/>
    <col min="5" max="5" width="17.88671875" customWidth="1"/>
    <col min="6" max="6" width="30" bestFit="1" customWidth="1"/>
    <col min="7" max="7" width="15.44140625" customWidth="1"/>
    <col min="8" max="8" width="12.6640625" customWidth="1"/>
  </cols>
  <sheetData>
    <row r="1" spans="1:8" x14ac:dyDescent="0.3">
      <c r="A1" s="6" t="s">
        <v>7</v>
      </c>
      <c r="B1" s="6" t="s">
        <v>14</v>
      </c>
      <c r="C1" s="6" t="s">
        <v>5</v>
      </c>
      <c r="D1" s="6" t="s">
        <v>4</v>
      </c>
      <c r="E1" s="6" t="s">
        <v>18</v>
      </c>
      <c r="F1" s="6" t="s">
        <v>6</v>
      </c>
      <c r="G1" s="6" t="s">
        <v>2</v>
      </c>
      <c r="H1" s="6" t="s">
        <v>3</v>
      </c>
    </row>
    <row r="2" spans="1:8" x14ac:dyDescent="0.3">
      <c r="A2">
        <f>ROW(A2)-1</f>
        <v>1</v>
      </c>
      <c r="C2" t="s">
        <v>29</v>
      </c>
    </row>
    <row r="3" spans="1:8" x14ac:dyDescent="0.3">
      <c r="A3">
        <f>ROW(A3)-1</f>
        <v>2</v>
      </c>
      <c r="C3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DB1A-7025-4C3C-A74B-20A2136545D7}">
  <sheetPr codeName="Tabelle7"/>
  <dimension ref="A1:S19"/>
  <sheetViews>
    <sheetView workbookViewId="0"/>
  </sheetViews>
  <sheetFormatPr baseColWidth="10" defaultRowHeight="14.4" x14ac:dyDescent="0.3"/>
  <cols>
    <col min="2" max="2" width="7.6640625" customWidth="1"/>
    <col min="3" max="3" width="19" bestFit="1" customWidth="1"/>
    <col min="4" max="4" width="21.6640625" bestFit="1" customWidth="1"/>
    <col min="5" max="5" width="29.6640625" bestFit="1" customWidth="1"/>
    <col min="6" max="6" width="41.44140625" bestFit="1" customWidth="1"/>
    <col min="7" max="7" width="22.33203125" bestFit="1" customWidth="1"/>
    <col min="8" max="8" width="14.33203125" customWidth="1"/>
    <col min="9" max="9" width="5.6640625" customWidth="1"/>
    <col min="10" max="10" width="13.33203125" bestFit="1" customWidth="1"/>
    <col min="11" max="11" width="31.6640625" bestFit="1" customWidth="1"/>
    <col min="12" max="12" width="18.6640625" bestFit="1" customWidth="1"/>
    <col min="13" max="13" width="23.33203125" bestFit="1" customWidth="1"/>
    <col min="14" max="14" width="29.88671875" customWidth="1"/>
  </cols>
  <sheetData>
    <row r="1" spans="1:19" x14ac:dyDescent="0.3">
      <c r="A1" s="6" t="s">
        <v>0</v>
      </c>
      <c r="B1" s="6" t="s">
        <v>8</v>
      </c>
      <c r="C1" s="6" t="s">
        <v>15</v>
      </c>
      <c r="D1" s="6" t="s">
        <v>10</v>
      </c>
      <c r="E1" s="6" t="s">
        <v>19</v>
      </c>
      <c r="F1" s="6" t="s">
        <v>9</v>
      </c>
      <c r="G1" s="6" t="s">
        <v>11</v>
      </c>
      <c r="H1" s="6" t="s">
        <v>20</v>
      </c>
      <c r="I1" s="6" t="s">
        <v>12</v>
      </c>
      <c r="J1" s="6" t="s">
        <v>13</v>
      </c>
      <c r="K1" s="6" t="s">
        <v>21</v>
      </c>
      <c r="L1" s="6" t="s">
        <v>1</v>
      </c>
      <c r="M1" s="6" t="s">
        <v>16</v>
      </c>
      <c r="N1" s="6" t="s">
        <v>22</v>
      </c>
      <c r="O1" s="6" t="s">
        <v>23</v>
      </c>
    </row>
    <row r="2" spans="1:19" ht="28.8" x14ac:dyDescent="0.3">
      <c r="A2">
        <f>ROW(A2)-1</f>
        <v>1</v>
      </c>
      <c r="B2" t="s">
        <v>94</v>
      </c>
      <c r="C2" t="s">
        <v>95</v>
      </c>
      <c r="D2" t="s">
        <v>96</v>
      </c>
      <c r="E2" t="s">
        <v>97</v>
      </c>
      <c r="F2">
        <v>6644530783</v>
      </c>
      <c r="G2" s="14" t="s">
        <v>98</v>
      </c>
      <c r="H2" t="s">
        <v>99</v>
      </c>
      <c r="I2" s="1" t="s">
        <v>100</v>
      </c>
      <c r="J2" t="s">
        <v>96</v>
      </c>
      <c r="L2" t="s">
        <v>101</v>
      </c>
      <c r="M2" t="s">
        <v>102</v>
      </c>
      <c r="N2" t="s">
        <v>103</v>
      </c>
    </row>
    <row r="3" spans="1:19" ht="43.2" x14ac:dyDescent="0.3">
      <c r="A3">
        <f>ROW(A3)-1</f>
        <v>2</v>
      </c>
      <c r="B3" t="s">
        <v>104</v>
      </c>
      <c r="C3" t="s">
        <v>95</v>
      </c>
      <c r="D3" t="s">
        <v>105</v>
      </c>
      <c r="E3" t="s">
        <v>106</v>
      </c>
      <c r="F3" t="s">
        <v>107</v>
      </c>
      <c r="G3" s="14" t="s">
        <v>108</v>
      </c>
      <c r="H3" t="s">
        <v>99</v>
      </c>
      <c r="I3" s="1" t="s">
        <v>109</v>
      </c>
      <c r="J3" t="s">
        <v>96</v>
      </c>
      <c r="L3" t="s">
        <v>110</v>
      </c>
      <c r="M3" t="s">
        <v>111</v>
      </c>
      <c r="N3" t="s">
        <v>103</v>
      </c>
    </row>
    <row r="4" spans="1:19" x14ac:dyDescent="0.3">
      <c r="A4">
        <f>ROW(A4)-1</f>
        <v>3</v>
      </c>
      <c r="B4" t="s">
        <v>112</v>
      </c>
      <c r="C4" t="s">
        <v>95</v>
      </c>
      <c r="D4" s="14" t="s">
        <v>113</v>
      </c>
      <c r="G4" s="14" t="s">
        <v>114</v>
      </c>
      <c r="I4" s="1"/>
    </row>
    <row r="9" spans="1:19" x14ac:dyDescent="0.3"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3">
      <c r="F10" s="3"/>
      <c r="G10" s="3"/>
      <c r="H10" s="3"/>
      <c r="I10" s="3"/>
      <c r="J10" s="3"/>
      <c r="K10" s="4"/>
      <c r="L10" s="3"/>
      <c r="M10" s="3"/>
      <c r="N10" s="3"/>
      <c r="O10" s="3"/>
      <c r="P10" s="3"/>
      <c r="Q10" s="3"/>
      <c r="R10" s="3"/>
      <c r="S10" s="3"/>
    </row>
    <row r="11" spans="1:19" x14ac:dyDescent="0.3">
      <c r="F11" s="3"/>
      <c r="G11" s="3"/>
      <c r="H11" s="3"/>
      <c r="I11" s="3"/>
      <c r="J11" s="3"/>
      <c r="K11" s="4"/>
      <c r="L11" s="3"/>
      <c r="M11" s="3"/>
      <c r="N11" s="3"/>
      <c r="O11" s="3"/>
      <c r="P11" s="3"/>
      <c r="Q11" s="3"/>
      <c r="R11" s="3"/>
      <c r="S11" s="3"/>
    </row>
    <row r="12" spans="1:19" x14ac:dyDescent="0.3">
      <c r="F12" s="3"/>
      <c r="G12" s="3"/>
      <c r="H12" s="3"/>
      <c r="I12" s="3"/>
      <c r="J12" s="3"/>
      <c r="K12" s="4"/>
      <c r="L12" s="3"/>
      <c r="M12" s="3"/>
      <c r="N12" s="3"/>
      <c r="O12" s="3"/>
      <c r="P12" s="3"/>
      <c r="Q12" s="3"/>
      <c r="R12" s="3"/>
      <c r="S12" s="3"/>
    </row>
    <row r="13" spans="1:19" x14ac:dyDescent="0.3">
      <c r="F13" s="3"/>
      <c r="G13" s="3"/>
      <c r="H13" s="3"/>
      <c r="I13" s="3"/>
      <c r="J13" s="3"/>
      <c r="K13" s="4"/>
      <c r="L13" s="3"/>
      <c r="M13" s="3"/>
      <c r="N13" s="3"/>
      <c r="O13" s="3"/>
      <c r="P13" s="3"/>
      <c r="Q13" s="3"/>
      <c r="R13" s="3"/>
      <c r="S13" s="3"/>
    </row>
    <row r="14" spans="1:19" x14ac:dyDescent="0.3">
      <c r="F14" s="3"/>
      <c r="G14" s="3"/>
      <c r="H14" s="3"/>
      <c r="I14" s="3"/>
      <c r="J14" s="3"/>
      <c r="K14" s="4"/>
      <c r="L14" s="3"/>
      <c r="M14" s="3"/>
      <c r="N14" s="3"/>
      <c r="O14" s="3"/>
      <c r="P14" s="3"/>
      <c r="Q14" s="3"/>
      <c r="R14" s="3"/>
      <c r="S14" s="3"/>
    </row>
    <row r="15" spans="1:19" x14ac:dyDescent="0.3">
      <c r="F15" s="3"/>
      <c r="G15" s="3"/>
      <c r="H15" s="3"/>
      <c r="I15" s="3"/>
      <c r="J15" s="3"/>
      <c r="K15" s="4"/>
      <c r="L15" s="3"/>
      <c r="M15" s="3"/>
      <c r="N15" s="3"/>
      <c r="O15" s="3"/>
      <c r="P15" s="3"/>
      <c r="Q15" s="3"/>
      <c r="R15" s="3"/>
      <c r="S15" s="3"/>
    </row>
    <row r="16" spans="1:19" x14ac:dyDescent="0.3">
      <c r="F16" s="3"/>
      <c r="G16" s="3"/>
      <c r="H16" s="3"/>
      <c r="I16" s="3"/>
      <c r="J16" s="3"/>
      <c r="K16" s="4"/>
      <c r="L16" s="3"/>
      <c r="M16" s="3"/>
      <c r="N16" s="3"/>
      <c r="O16" s="3"/>
      <c r="P16" s="3"/>
      <c r="Q16" s="3"/>
      <c r="R16" s="3"/>
      <c r="S16" s="3"/>
    </row>
    <row r="17" spans="6:19" x14ac:dyDescent="0.3">
      <c r="F17" s="3"/>
      <c r="G17" s="3"/>
      <c r="H17" s="3"/>
      <c r="I17" s="3"/>
      <c r="J17" s="3"/>
      <c r="K17" s="4"/>
      <c r="L17" s="3"/>
      <c r="M17" s="3"/>
      <c r="N17" s="3"/>
      <c r="O17" s="3"/>
      <c r="P17" s="3"/>
      <c r="Q17" s="3"/>
      <c r="R17" s="3"/>
      <c r="S17" s="3"/>
    </row>
    <row r="18" spans="6:19" x14ac:dyDescent="0.3">
      <c r="F18" s="3"/>
      <c r="G18" s="3"/>
      <c r="H18" s="3"/>
      <c r="I18" s="3"/>
      <c r="J18" s="3"/>
      <c r="K18" s="4"/>
      <c r="L18" s="3"/>
      <c r="M18" s="3"/>
      <c r="N18" s="3"/>
      <c r="O18" s="3"/>
      <c r="P18" s="3"/>
      <c r="Q18" s="3"/>
      <c r="R18" s="3"/>
      <c r="S18" s="3"/>
    </row>
    <row r="19" spans="6:19" x14ac:dyDescent="0.3">
      <c r="F19" s="3"/>
      <c r="G19" s="3"/>
      <c r="H19" s="3"/>
      <c r="I19" s="3"/>
      <c r="J19" s="3"/>
      <c r="K19" s="4"/>
      <c r="L19" s="3"/>
      <c r="M19" s="3"/>
      <c r="N19" s="3"/>
      <c r="O19" s="3"/>
      <c r="P19" s="3"/>
      <c r="Q19" s="3"/>
      <c r="R19" s="3"/>
      <c r="S19" s="3"/>
    </row>
  </sheetData>
  <hyperlinks>
    <hyperlink ref="G2" r:id="rId1" xr:uid="{AD3042D7-F2F7-417A-A032-DD955C4A63BB}"/>
    <hyperlink ref="G3" r:id="rId2" xr:uid="{2CB2C88F-64E8-4B8D-905D-B41C9BA3D704}"/>
    <hyperlink ref="D4" r:id="rId3" xr:uid="{4499D228-8CA9-4FA9-BB0C-F83DFD483113}"/>
    <hyperlink ref="G4" r:id="rId4" xr:uid="{90958530-632F-4DAE-84DE-518F95334E8A}"/>
  </hyperlinks>
  <pageMargins left="0.7" right="0.7" top="0.78740157499999996" bottom="0.78740157499999996" header="0.3" footer="0.3"/>
  <pageSetup paperSize="9" orientation="portrait" r:id="rId5"/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B8FAB-E257-4AEF-BB18-2B21D93BF236}">
  <sheetPr codeName="Tabelle8"/>
  <dimension ref="A1:E2"/>
  <sheetViews>
    <sheetView workbookViewId="0"/>
  </sheetViews>
  <sheetFormatPr baseColWidth="10" defaultRowHeight="14.4" x14ac:dyDescent="0.3"/>
  <sheetData>
    <row r="1" spans="1:5" x14ac:dyDescent="0.3">
      <c r="A1" s="6" t="s">
        <v>26</v>
      </c>
      <c r="B1" s="6" t="s">
        <v>14</v>
      </c>
      <c r="C1" s="6" t="s">
        <v>0</v>
      </c>
      <c r="D1" s="6" t="s">
        <v>24</v>
      </c>
      <c r="E1" s="6" t="s">
        <v>25</v>
      </c>
    </row>
    <row r="2" spans="1:5" x14ac:dyDescent="0.3">
      <c r="A2">
        <f>ROW(A2)-1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BCB51-F2C9-41A1-B0FE-4F08F8242256}">
  <sheetPr codeName="Tabelle9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073A9-CF8B-4A0C-BFAC-7F20D7D0F4BA}">
  <sheetPr codeName="Tabelle5"/>
  <dimension ref="A1:K4"/>
  <sheetViews>
    <sheetView workbookViewId="0">
      <selection activeCell="G7" sqref="G7"/>
    </sheetView>
  </sheetViews>
  <sheetFormatPr baseColWidth="10" defaultRowHeight="14.4" x14ac:dyDescent="0.3"/>
  <cols>
    <col min="1" max="1" width="18.6640625" style="13" bestFit="1" customWidth="1"/>
    <col min="2" max="2" width="20.6640625" style="13" bestFit="1" customWidth="1"/>
    <col min="3" max="3" width="16.33203125" bestFit="1" customWidth="1"/>
    <col min="4" max="4" width="14.109375" bestFit="1" customWidth="1"/>
    <col min="5" max="5" width="12.33203125" bestFit="1" customWidth="1"/>
    <col min="6" max="6" width="8.88671875" bestFit="1" customWidth="1"/>
    <col min="7" max="7" width="13.109375" bestFit="1" customWidth="1"/>
    <col min="8" max="8" width="18.33203125" bestFit="1" customWidth="1"/>
    <col min="9" max="9" width="12.44140625" bestFit="1" customWidth="1"/>
    <col min="10" max="10" width="19" bestFit="1" customWidth="1"/>
    <col min="11" max="11" width="15.109375" bestFit="1" customWidth="1"/>
  </cols>
  <sheetData>
    <row r="1" spans="1:11" x14ac:dyDescent="0.3">
      <c r="A1" s="9" t="s">
        <v>66</v>
      </c>
      <c r="B1" s="9" t="s">
        <v>47</v>
      </c>
      <c r="C1" s="6" t="s">
        <v>67</v>
      </c>
      <c r="D1" s="6" t="s">
        <v>68</v>
      </c>
      <c r="E1" s="6" t="s">
        <v>69</v>
      </c>
      <c r="F1" s="6" t="s">
        <v>70</v>
      </c>
      <c r="G1" s="6" t="s">
        <v>71</v>
      </c>
      <c r="H1" s="6" t="s">
        <v>72</v>
      </c>
      <c r="I1" s="6" t="s">
        <v>73</v>
      </c>
      <c r="J1" s="6" t="s">
        <v>74</v>
      </c>
      <c r="K1" s="6" t="s">
        <v>75</v>
      </c>
    </row>
    <row r="2" spans="1:11" x14ac:dyDescent="0.3">
      <c r="A2" s="13" t="s">
        <v>76</v>
      </c>
      <c r="B2" s="13" t="s">
        <v>77</v>
      </c>
      <c r="C2" t="s">
        <v>91</v>
      </c>
      <c r="D2" t="s">
        <v>78</v>
      </c>
      <c r="E2" t="s">
        <v>79</v>
      </c>
      <c r="F2" t="s">
        <v>80</v>
      </c>
      <c r="G2" t="s">
        <v>81</v>
      </c>
      <c r="H2">
        <v>15</v>
      </c>
      <c r="I2" t="s">
        <v>27</v>
      </c>
      <c r="J2" t="s">
        <v>89</v>
      </c>
      <c r="K2" t="s">
        <v>82</v>
      </c>
    </row>
    <row r="3" spans="1:11" x14ac:dyDescent="0.3">
      <c r="A3" s="13" t="s">
        <v>83</v>
      </c>
      <c r="B3" s="13" t="s">
        <v>77</v>
      </c>
      <c r="C3" t="s">
        <v>90</v>
      </c>
      <c r="D3" t="s">
        <v>84</v>
      </c>
      <c r="E3" t="s">
        <v>79</v>
      </c>
      <c r="F3" t="s">
        <v>80</v>
      </c>
      <c r="G3" t="s">
        <v>85</v>
      </c>
      <c r="H3">
        <v>15</v>
      </c>
      <c r="I3" t="s">
        <v>27</v>
      </c>
      <c r="J3" t="s">
        <v>88</v>
      </c>
    </row>
    <row r="4" spans="1:11" x14ac:dyDescent="0.3">
      <c r="A4" s="13" t="s">
        <v>86</v>
      </c>
      <c r="B4" s="13" t="s">
        <v>93</v>
      </c>
      <c r="C4" t="s">
        <v>92</v>
      </c>
      <c r="D4" t="s">
        <v>78</v>
      </c>
      <c r="E4" t="s">
        <v>79</v>
      </c>
      <c r="F4" t="s">
        <v>80</v>
      </c>
      <c r="G4" t="s">
        <v>81</v>
      </c>
      <c r="H4">
        <v>15</v>
      </c>
      <c r="I4" t="s">
        <v>27</v>
      </c>
      <c r="J4" t="s">
        <v>87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004B8-224C-4740-A7E0-3FCCB3F295DB}">
  <sheetPr codeName="Tabelle10"/>
  <dimension ref="A1"/>
  <sheetViews>
    <sheetView workbookViewId="0">
      <selection activeCell="K44" sqref="K44"/>
    </sheetView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E9DF-2C7A-4073-AF5D-26015E7B59F3}">
  <sheetPr codeName="Tabelle11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Otmar Schlager</dc:creator>
  <cp:lastModifiedBy>Simon Steinschaden</cp:lastModifiedBy>
  <dcterms:created xsi:type="dcterms:W3CDTF">2026-02-11T07:58:00Z</dcterms:created>
  <dcterms:modified xsi:type="dcterms:W3CDTF">2026-07-26T19:57:02Z</dcterms:modified>
</cp:coreProperties>
</file>